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<sst xmlns="http://schemas.openxmlformats.org/spreadsheetml/2006/main" count="22346" uniqueCount="7023">
  <si>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</si>
  <si>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</si>
  <si>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</si>
  <si>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</si>
  <si>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</si>
  <si>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</si>
  <si>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</si>
  <si>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</si>
  <si>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</si>
  <si>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</si>
  <si>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</si>
  <si>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</si>
  <si>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</si>
  <si>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</si>
  <si>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</si>
  <si>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</si>
  <si>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</si>
  <si>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</si>
  <si>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</si>
  <si>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</si>
  <si>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</si>
  <si>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</si>
  <si>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</si>
  <si>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</si>
  <si>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</si>
  <si>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</si>
  <si>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</si>
  <si>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</si>
  <si>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</si>
  <si>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</si>
  <si>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</si>
  <si>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</si>
  <si>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</si>
  <si>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</si>
  <si>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</si>
  <si>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</si>
  <si>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</si>
  <si>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</si>
  <si>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</si>
  <si>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</si>
  <si>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</si>
  <si>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</si>
  <si>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</si>
  <si>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</si>
  <si>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</si>
  <si>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</si>
  <si>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</si>
  <si>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</si>
  <si>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</si>
  <si>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</si>
  <si>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</si>
  <si>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</si>
  <si>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</si>
  <si>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</si>
  <si>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</si>
  <si>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</si>
  <si>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</si>
  <si>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</si>
  <si>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</si>
  <si>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</si>
  <si>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</si>
  <si>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</si>
  <si>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</si>
  <si>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</si>
  <si>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</si>
  <si>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</si>
  <si>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</si>
  <si>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</si>
  <si>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</si>
  <si>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</si>
  <si>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</si>
  <si>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</si>
  <si>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</si>
  <si>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</si>
  <si>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</si>
  <si>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</si>
  <si>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</si>
  <si>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0</t>
  </si>
  <si>
    <t>Su, T; Yang, Q; Si, M; Sun, YY; Ji, XY; Zhang, YY; Ji, B</t>
  </si>
  <si>
    <t>Background and objective: Osteoporosis is characterized by reduced bone mass and deterioration of bone structure, yet screening rates prior to fractures remain low. Given its high prevalence and severe consequences, developing an effective osteoporosis screening model is highly significant. However, constructing these screening models presents two main challenges. First, selecting representative slices from CT image sequences is challenging, making it crucial to filter the most indicative slices. Second, samples lacking complete modal data cannot be directly used in multimodal fusion, resulting in underutilization of available data and limiting the performance of the multimodal osteoporosis screening model. Methods: In this paper, we propose a reinforcement learning-driven knowledge distillation-assisted multimodal model for osteoporosis screening. The model integrates demographic characteristics, routine laboratory indicators, and CT images. Specifically, our framework includes two novel components: 1) a deep reinforcement learning-based image selection module (DRLIS) designed to select representative image slices from CT sequences; and 2) a knowledge distillation-assisted multimodal model (KDAMM) that transfers information from singlemodal teacher networks to the multimodal model, effectively utilizing samples with incomplete modalities. The codes are published on: https://github.com/AImedcinesdu212/Osteoporosis-Predictionhttps://github.co m/Hidden-neurosis/osreoporosis.git. Results: The proposed multimodal osteoporosis screening model achieves an accuracy of 88.65 % and an AUC of 0.9542, surpassing existing models by 2.85 % in accuracy and 0.0212 in AUC. Additionally, we demonstrate the effectiveness of each novelty within our framework. The SHAP values are calculated to assess the importance of demographic characteristics and routine laboratory test data. Conclusion: This paper presents a knowledge distillation-assisted multimodal model for opportunistic osteoporosis screening. The model incorporates demographic characteristics, routine laboratory indicators (including blood tests and urinalysis), and CT images. Extensive experiments, conducted on self-collected datasets, validate that the proposed framework achieves state-of-the-art performance.</t>
  </si>
  <si>
    <t>Su, Teng; Yang, Qing; Si, Meng; Sun, Yuanyuan; Ji, Xinyu; Zhang, Yuyan; Ji, Bing</t>
  </si>
  <si>
    <t/>
  </si>
  <si>
    <t>Science Citation Index Expanded (SCI-EXPANDED)</t>
  </si>
  <si>
    <t>Ji, B (corresponding author), Shandong Univ, Sch Control Sci &amp; Engn, Jinan 250061, Shandong, Peoples R China.</t>
  </si>
  <si>
    <t>b.ji@sdu.edu.cn</t>
  </si>
  <si>
    <t>National Natural Science Foundation of China [62203276]; Natural Science Foundation of Shandong Province [ZR2022QF100]</t>
  </si>
  <si>
    <t>National Natural Science Foundation of China (National Natural Science Foundation of China (NSFC)); Natural Science Foundation of Shandong Province (Natural Science Foundation of Shandong Province)</t>
  </si>
  <si>
    <t>This work was partly supported by the National Natural Science Foundation of China (Grant No. 62203276), and the Natural Science Foundation of Shandong Province (Grant No. ZR2022QF100)</t>
  </si>
  <si>
    <t>[Su, Teng; Sun, Yuanyuan; Ji, Xinyu; Zhang, Yuyan; Ji, Bing] Shandong Univ, Sch Control Sci &amp; Engn, Jinan 250061, Shandong, Peoples R China; [Yang, Qing] Shandong First Med Univ, Shandong Prov Hosp, Dept Breast &amp; Thyroid Surg, Jinan 250021, Shandong, Peoples R China; [Si, Meng] Shandong Univ, Qilu Hosp, Dept Orthoped, Jinan 250000, Shandong, Peoples R China</t>
  </si>
  <si>
    <t>Shandong University; Shandong First Medical University &amp; Shandong Academy of Medical Sciences; Shandong University</t>
  </si>
  <si>
    <t>J</t>
  </si>
  <si>
    <t>The knowledge distillation-assisted multimodal model for osteoporosis screening</t>
  </si>
  <si>
    <t>COMPUTER METHODS AND PROGRAMS IN BIOMEDICINE</t>
  </si>
  <si>
    <t>English</t>
  </si>
  <si>
    <t>Article</t>
  </si>
  <si>
    <t>Osteoporosis screening model; Deep learning; Multimodal fusion; Knowledge distillation</t>
  </si>
  <si>
    <t>FACILITATE SELECTION; RISK-ASSESSMENT; WOMEN; VALIDATION; TOOL</t>
  </si>
  <si>
    <t>sun, yasmine/IAR-8719-2023; Ji, Xinyu/LRT-8972-2024; JI, Bing/GRS-6888-2022</t>
  </si>
  <si>
    <t>JI, Bing/0000-0003-1326-4120</t>
  </si>
  <si>
    <t>51</t>
  </si>
  <si>
    <t>3</t>
  </si>
  <si>
    <t>2</t>
  </si>
  <si>
    <t>17</t>
  </si>
  <si>
    <t>ELSEVIER IRELAND LTD</t>
  </si>
  <si>
    <t>CLARE</t>
  </si>
  <si>
    <t>ELSEVIER HOUSE, BROOKVALE PLAZA, EAST PARK SHANNON, CO, CLARE, 00000, IRELAND</t>
  </si>
  <si>
    <t>0169-2607</t>
  </si>
  <si>
    <t>1872-7565</t>
  </si>
  <si>
    <t>COMPUT METH PROG BIO</t>
  </si>
  <si>
    <t>Comput. Meth. Programs Biomed.</t>
  </si>
  <si>
    <t>SEP 2025</t>
  </si>
  <si>
    <t>2025</t>
  </si>
  <si>
    <t>269</t>
  </si>
  <si>
    <t>108848</t>
  </si>
  <si>
    <t>10.1016/j.cmpb.2025.108848</t>
  </si>
  <si>
    <t>http://dx.doi.org/10.1016/j.cmpb.2025.108848</t>
  </si>
  <si>
    <t>JAN 2025</t>
  </si>
  <si>
    <t>13</t>
  </si>
  <si>
    <t>Computer Science, Interdisciplinary Applications; Computer Science, Theory &amp; Methods; Engineering, Biomedical; Medical Informatics</t>
  </si>
  <si>
    <t>Computer Science; Engineering; Medical Informatics</t>
  </si>
  <si>
    <t>3QZ5J</t>
  </si>
  <si>
    <t>40483842</t>
  </si>
  <si>
    <t>WOS:001506930800002</t>
  </si>
  <si>
    <t>View Record in Web of Science</t>
  </si>
  <si>
    <t>2026-08-26</t>
  </si>
  <si>
    <t>Chang, CL; Chen, YL; Jiang, DX</t>
  </si>
  <si>
    <t>Outfit coordination is a direct way for people to express themselves. However, judging the compatibility between tops and bottoms requires considering multiple factors such as color and style. This process is time-consuming and prone to errors. In recent years, the development of large language models and large multi-modal models has transformed many application fields. This study aims to explore how to leverage these models to achieve breakthroughs in fashion outfit recommendations. This research combines the keyword response text from the large language model Gemini in the Vision Question Answering (VQA) task with the deep feature fusion technology of the large multi-modal model Beit3. By providing only image data of the clothing, users can evaluate the compatibility of tops and bottoms, making the process more convenient. Our proposed model, the Large Multi-modality Language Model for Outfit Recommendation (LMLMO), outperforms previously proposed models on the FashionVC and Evaluation3 datasets. Moreover, experimental results show that different types of keyword responses have varying impacts on the model, offering new directions and insights for future research.</t>
  </si>
  <si>
    <t>Chang, Chia-Ling; Chen, Yen-Liang; Jiang, Dao-Xuan</t>
  </si>
  <si>
    <t>Chen, YL (corresponding author), Natl Cent Univ, Dept Informat Management, Chungli, Taiwan.</t>
  </si>
  <si>
    <t>lindam@mail.tku.edu.tw; ylchen@mgt.ncu.edu.tw</t>
  </si>
  <si>
    <t>[Chang, Chia-Ling] Tamkang Univ, Dept Informat &amp; Lib Sci, New Taipei, Taiwan; [Chen, Yen-Liang; Jiang, Dao-Xuan] Natl Cent Univ, Dept Informat Management, Chungli, Taiwan</t>
  </si>
  <si>
    <t>Tamkang University; National Central University</t>
  </si>
  <si>
    <t>Using large multimodal models to predict outfit compatibility</t>
  </si>
  <si>
    <t>DECISION SUPPORT SYSTEMS</t>
  </si>
  <si>
    <t>Large multi-modal models; Large language models; Outfit compatibility; Outfit recommendation</t>
  </si>
  <si>
    <t>Chen, Yen-Liang/0000-0001-9103-772X</t>
  </si>
  <si>
    <t>55</t>
  </si>
  <si>
    <t>1</t>
  </si>
  <si>
    <t>8</t>
  </si>
  <si>
    <t>33</t>
  </si>
  <si>
    <t>ELSEVIER</t>
  </si>
  <si>
    <t>AMSTERDAM</t>
  </si>
  <si>
    <t>RADARWEG 29, 1043 NX AMSTERDAM, NETHERLANDS</t>
  </si>
  <si>
    <t>0167-9236</t>
  </si>
  <si>
    <t>1873-5797</t>
  </si>
  <si>
    <t>DECIS SUPPORT SYST</t>
  </si>
  <si>
    <t>Decis. Support Syst.</t>
  </si>
  <si>
    <t>JUL 2025</t>
  </si>
  <si>
    <t>194</t>
  </si>
  <si>
    <t>114457</t>
  </si>
  <si>
    <t>10.1016/j.dss.2025.114457</t>
  </si>
  <si>
    <t>http://dx.doi.org/10.1016/j.dss.2025.114457</t>
  </si>
  <si>
    <t>11</t>
  </si>
  <si>
    <t>Computer Science, Artificial Intelligence; Computer Science, Information Systems; Operations Research &amp; Management Science</t>
  </si>
  <si>
    <t>Computer Science; Operations Research &amp; Management Science</t>
  </si>
  <si>
    <t>2OA8R</t>
  </si>
  <si>
    <t>WOS:001487224100001</t>
  </si>
  <si>
    <t>hybrid</t>
  </si>
  <si>
    <t>5</t>
  </si>
  <si>
    <t>Xiong, F; Shen, CY; Wang, XF</t>
  </si>
  <si>
    <t>Gliomas, primary brain tumors arising from glial cells, can be effectively identified using Magnetic Resonance Imaging (MRI), a widely employed diagnostic tool in clinical settings. Accurate glioma segmentation, which is crucial for diagnosis and surgical intervention, can be achieved by integrating multiple MRI modalities that offer complementary information. However, limited access to multiple modalities in certain clinical contexts often results in suboptimal performance of glioma segmentation methods. This study introduces a novel generalized knowledge distillation framework designed to transfer multimodal knowledge from a teacher model to a unimodal student model via two distinct distillation strategies: segmentation graph distillation and cascade region attention distillation. The former enables the student to replicate the teacher's softened output, whereas the latter facilitates extraction and learning of region feature information at various levels within the teacher model. Our evaluation of the proposed distillation strategies using the BraTS 2018 dataset confirms their superior performance in unimodal segmentation contexts compared with existing methods.</t>
  </si>
  <si>
    <t>Xiong, Feng; Shen, Chuyun; Wang, Xiangfeng</t>
  </si>
  <si>
    <t>Wang, XF (corresponding author), East China Normal Univ, Sch Comp Sci &amp; Technol, Shanghai 200062, Peoples R China.</t>
  </si>
  <si>
    <t>xfwang@cs.ecnu.edu.cn</t>
  </si>
  <si>
    <t>[Xiong, Feng; Shen, Chuyun; Wang, Xiangfeng] East China Normal Univ, Sch Comp Sci &amp; Technol, Shanghai 200062, Peoples R China</t>
  </si>
  <si>
    <t>East China Normal University</t>
  </si>
  <si>
    <t>Generalized Knowledge Distillation for Unimodal Glioma Segmentation from Multimodal Models</t>
  </si>
  <si>
    <t>ELECTRONICS</t>
  </si>
  <si>
    <t>medical segmentation; missing modalities; knowledge distillation; brain tumor; glioma</t>
  </si>
  <si>
    <t>BRAIN-TUMOR SEGMENTATION</t>
  </si>
  <si>
    <t>Wang, Xiangfeng/0000-0003-1802-4425</t>
  </si>
  <si>
    <t>35</t>
  </si>
  <si>
    <t>10</t>
  </si>
  <si>
    <t>21</t>
  </si>
  <si>
    <t>MDPI</t>
  </si>
  <si>
    <t>BASEL</t>
  </si>
  <si>
    <t>ST ALBAN-ANLAGE 66, CH-4052 BASEL, SWITZERLAND</t>
  </si>
  <si>
    <t>2079-9292</t>
  </si>
  <si>
    <t>ELECTRONICS-SWITZ</t>
  </si>
  <si>
    <t>Electronics</t>
  </si>
  <si>
    <t>APR 2023</t>
  </si>
  <si>
    <t>2023</t>
  </si>
  <si>
    <t>12</t>
  </si>
  <si>
    <t>7</t>
  </si>
  <si>
    <t>1516</t>
  </si>
  <si>
    <t>10.3390/electronics12071516</t>
  </si>
  <si>
    <t>http://dx.doi.org/10.3390/electronics12071516</t>
  </si>
  <si>
    <t>Computer Science, Information Systems; Engineering, Electrical &amp; Electronic; Physics, Applied</t>
  </si>
  <si>
    <t>Computer Science; Engineering; Physics</t>
  </si>
  <si>
    <t>D9IQ6</t>
  </si>
  <si>
    <t>WOS:000971794800001</t>
  </si>
  <si>
    <t>gold; Green Submitted</t>
  </si>
  <si>
    <t>Guo, L; Yin, YH; Wang, C; Chen, HY; Cui, QH; Wan, XK</t>
  </si>
  <si>
    <t>Sleep staging based on PSG is largely confined to clinical settings, while home-based sleep monitoring often faces the challenges of insufficient unimodal information and missing modalities. Aiming to overcome these challenges, this paper proposes a unified multimodal model for sleep staging based on cardiopulmonary signals. First, a heterogeneous multi-scale feature encoder with long and short branches is adopted to adapt to the cross-modal heterogeneity of ECG and THX. It combines a Transformer encoder and a Dilated CNN to complete feature fusion and temporal modeling. Subsequently, the unified model adaptively handles flexible modality combinations by introducing global context via a modal feature alignment strategy, which is built upon a framework consisting of a bimodal global branch and unimodal dedicated branches. On the SHHS dataset, the proposed model achieved Cohen's kappa coefficients of 0.7547, 0.7121, and 0.7305 for four-stage sleep classification under ECG+THX, ECG-only, and THX-only inputs, respectively, demonstrating consistent improvements over three separately trained individual models. Furthermore, the model exhibits robust generalization performance on the P2018 external dataset and across samples with different severity levels of SDB. This work establishes a reliable algorithmic baseline for unobtrusive, long-term home sleep monitoring with missing modalities.</t>
  </si>
  <si>
    <t>Guo, Lin; Yin, Yuhang; Wang, Chen; Chen, Hongyu; Cui, Qinghua; Wan, Xiangkui</t>
  </si>
  <si>
    <t>Emerging Sources Citation Index (ESCI)</t>
  </si>
  <si>
    <t>Wan, XK (corresponding author), Hubei Univ Technol, Sch Elect &amp; Elect Engn, Wuhan 430068, Peoples R China.</t>
  </si>
  <si>
    <t>xkwan@hbut.edu.cn; 102410236@hbut.edu.cn</t>
  </si>
  <si>
    <t>National Natural Science Foundation of China [82427801]</t>
  </si>
  <si>
    <t>National Natural Science Foundation of China (National Natural Science Foundation of China (NSFC))</t>
  </si>
  <si>
    <t>This research was supported by the National Natural Science Foundation of China under Grant No. 82427801.</t>
  </si>
  <si>
    <t>[Guo, Lin; Yin, Yuhang; Wang, Chen; Chen, Hongyu; Wan, Xiangkui] Hubei Univ Technol, Sch Elect &amp; Elect Engn, Wuhan 430068, Peoples R China; [Cui, Qinghua] Wuhan Sports Univ, Sch Sports Med, Wuhan 430079, Peoples R China</t>
  </si>
  <si>
    <t>Hubei University of Technology; Wuhan Sports University</t>
  </si>
  <si>
    <t>A Sleep Staging Method Based on Cardiopulmonary Signals Using a Unified Multimodal Model</t>
  </si>
  <si>
    <t>TECHNOLOGIES</t>
  </si>
  <si>
    <t>sleep staging; cardiopulmonary signals; modal feature alignment; multi-scale feature encoder; home sleep monitoring</t>
  </si>
  <si>
    <t>Wan, Xiangkui/PFJ-4349-2025</t>
  </si>
  <si>
    <t>40</t>
  </si>
  <si>
    <t>MDPI AG, Grosspeteranlage 5, CH-4052 BASEL, SWITZERLAND</t>
  </si>
  <si>
    <t>2227-7080</t>
  </si>
  <si>
    <t>Technologies</t>
  </si>
  <si>
    <t>JUL 17 2026</t>
  </si>
  <si>
    <t>2026</t>
  </si>
  <si>
    <t>14</t>
  </si>
  <si>
    <t>441</t>
  </si>
  <si>
    <t>10.3390/technologies14070441</t>
  </si>
  <si>
    <t>http://dx.doi.org/10.3390/technologies14070441</t>
  </si>
  <si>
    <t>20</t>
  </si>
  <si>
    <t>Engineering, Multidisciplinary</t>
  </si>
  <si>
    <t>Engineering</t>
  </si>
  <si>
    <t>LR8KC</t>
  </si>
  <si>
    <t>WOS:001831722800001</t>
  </si>
  <si>
    <t>gold</t>
  </si>
  <si>
    <t>D'Amico, S; Mercorio, F; Nobani, N; Sperlì, G; Ventre, C</t>
  </si>
  <si>
    <t>Multimodal learning has recently emerged as a powerful paradigm for financial forecasting, enabling the integration of heterogeneous data sources such as market time series, textual news, and relational graphs. This survey presents a unified taxonomy for multimodal financial forecasting models, structured along four key dimensions: input modalities, modelling architectures, fusion strategies, and predictive tasks. Using this taxonomy, we conduct a systematic review of 35 representative works published between 2018 and 2025, highlighting methodological trends, design choices, and performance patterns. Our analysis identifies persistent challenges, including temporal misalignment, modality imbalance, missing or noisy data, and limited cross-market generalization. We also discuss emerging trends and promising research directions, such as adaptive fusion, incomplete modality learning, and the integration of large language models and temporal graph neural networks, and analyse how architectural and fusion design choices impact practical considerations such as interpretability and deployability, aiming to bridge methodological innovation with domain-specific requirements.</t>
  </si>
  <si>
    <t>D'amico, Simone; Mercorio, Fabio; Nobani, Navid; Sperli, Giancarlo; Ventre, Carmine</t>
  </si>
  <si>
    <t>D'Amico, S (corresponding author), Univ Naples Federico II, Dept Elect Engn &amp; Informat Technol DIETI, Naples, Italy.; Mercorio, F (corresponding author), Univ Milano Bicocca, Dept Stat &amp; Quantitat Methods, Milan, Italy.; Ventre, C (corresponding author), Kings Coll London, London, England.</t>
  </si>
  <si>
    <t>fabio.mercorio@unimib.it; simone.damico@unina.it; carmine.ventre@kcl.ac.uk</t>
  </si>
  <si>
    <t>Italian Ministry of University and Research (MUR) within the PRIN2022-ISALDI: Interpretable Stock Analysis Leveraging Deep multImodal models [CUP: E53D23008150006]</t>
  </si>
  <si>
    <t>Italian Ministry of University and Research (MUR) within the PRIN2022-ISALDI: Interpretable Stock Analysis Leveraging Deep multImodal models (Ministry of Education, Universities and Research (MIUR))</t>
  </si>
  <si>
    <t>This work is supported by the Italian Ministry of University and Research (MUR) within the PRIN2022-ISALDI: Interpretable Stock Analysis Leveraging Deep multImodal models (CUP: E53D23008150006).</t>
  </si>
  <si>
    <t>[D'amico, Simone; Sperli, Giancarlo] Univ Naples Federico II, Dept Elect Engn &amp; Informat Technol DIETI, Naples, Italy; [Mercorio, Fabio; Nobani, Navid] Univ Milano Bicocca, Dept Stat &amp; Quantitat Methods, Milan, Italy; [Ventre, Carmine] Kings Coll London, London, England</t>
  </si>
  <si>
    <t>University of Naples Federico II; University of Milano-Bicocca; University of London; King's College London</t>
  </si>
  <si>
    <t>Learning across modalities: a systematic survey of multimodal models for financial analysis</t>
  </si>
  <si>
    <t>INFORMATION FUSION</t>
  </si>
  <si>
    <t>Fusion strategies; Multimodal analysis; Market predictive analysis; Stock market analysis</t>
  </si>
  <si>
    <t>NEURAL-NETWORK; TIME-SERIES; STOCK</t>
  </si>
  <si>
    <t>Nobani, Navid/HSI-1131-2023; Mercorio, Fabio/E-4369-2013</t>
  </si>
  <si>
    <t>Sperlì, Giancarlo/0000-0003-4033-3777</t>
  </si>
  <si>
    <t>103</t>
  </si>
  <si>
    <t>1566-2535</t>
  </si>
  <si>
    <t>1872-6305</t>
  </si>
  <si>
    <t>INFORM FUSION</t>
  </si>
  <si>
    <t>Inf. Fusion</t>
  </si>
  <si>
    <t>SEP 2026</t>
  </si>
  <si>
    <t>133</t>
  </si>
  <si>
    <t>104249</t>
  </si>
  <si>
    <t>10.1016/j.inffus.2026.104249</t>
  </si>
  <si>
    <t>http://dx.doi.org/10.1016/j.inffus.2026.104249</t>
  </si>
  <si>
    <t>Computer Science, Artificial Intelligence; Computer Science, Theory &amp; Methods</t>
  </si>
  <si>
    <t>Computer Science</t>
  </si>
  <si>
    <t>ES6WT</t>
  </si>
  <si>
    <t>WOS:001708803900001</t>
  </si>
  <si>
    <t>Kita, K; Suzuki, Y; Fujimoto, T; Uemura, K; Otake, Y; Furuya, M; Kanie, Y; Wataya, T; Nishigaki, D; Sato, J; Tomiyama, M; Tomiyama, N; Okada, S; Hori, M; Fujimori, T</t>
  </si>
  <si>
    <t>Background Sarcopenia is a muscle disease that increases the risk of falls, fractures, and mortality. Appendicular lean mass (ALM) assessment is central to its diagnosis, but standard methods like dual-energy X-ray absorptiometry (DXA) have accessibility and cost issues. Previous artificial intelligence (AI) studies for sarcopenia assessment have been limited to single modalities and have not adequately addressed missing data modalities. This study aimed to develop and validate a multimodal AI model using frontal and lateral chest radiographs and electronic health record (EHR) data to estimate ALM and detect low muscle mass, and to investigate the robustness of a transformer-based algorithm to missing modalities. Methods This model development and validation study adhered to TRIPOD guidelines. The derivation cohort included 3,295 observations from 1,524 participants (mean age 61.9 years, 30% female). External validation was performed on an independent cohort of 3,771 observations from 1,976 participants (mean age 58.4 years, 59% female). Our multimodal model uses a transformer-based TabPFN to predict ALM from 75 features, which integrate 18 features extracted from each of the frontal and lateral chest radiographs by TorchXray with 39 features from EHR data (demographics and blood tests). Model performance for ALM estimation was evaluated using the root mean square error (RMSE), and mean absolute error (MAE), and Pearson correlation coefficient. Estimation of appendicular lean mass performance was assessed using the area under the receiver operating characteristic curve (AUROC). Results The prevalence of low muscle mass was 30% in the derivation set and 29% in the external validation set. The multimodal model achieved high accuracy in ALM estimation, with an RMSE of 1.23 kg, MAE of 0.96 kg, and correlation coefficient of 0.958 in the internal test set. In external validation, the model yielded an RMSE of 1.87 kg, and MAE of 1.41 kg, and correlation of 0.930. For estimation of appendicular lean mass in the external validation set, the model yielded an AUROC of 0.825 for males and 0.730 for females. Sensitivity analyses demonstrated the model's robustness to missing modalities, maintaining stable prediction errors in participants missing part of the EHR (RMSE: 2.00 kg), frontal (RMSE: 1.99 kg), or lateral (RMSE: 2.08 kg) chest radiographs. Conclusions Our transformer-based multimodal AI model accurately estimates ALM and detects low muscle mass from routinely collected clinical data, outperforming unimodal approaches. The model demonstrated robustness even with missing data modalities, supporting its potential utility as a screening tool in clinical settings where data completeness varies. This approach has the potential to serve as an accessible screening tool for low muscle mass, especially in settings where DXA is not readily available.</t>
  </si>
  <si>
    <t>Kita, Kosuke; Suzuki, Yuki; Fujimoto, Takashi; Uemura, Keisuke; Otake, Yoshito; Furuya, Masayuki; Kanie, Yuya; Wataya, Tomohiro; Nishigaki, Daiki; Sato, Junya; Tomiyama, Miyuki; Tomiyama, Noriyuki; Okada, Seiji; Hori, Masatoshi; Fujimori, Takahito</t>
  </si>
  <si>
    <t>Fujimori, T (corresponding author), Univ Osaka, Grad Sch Med, Dept Orthoped Surg, 2-2 Yamadaoka, Suita, Osaka 5650871, Japan.</t>
  </si>
  <si>
    <t>fujimori-takahito-ys@alumni.osaka-u.ac.jp</t>
  </si>
  <si>
    <t>JSPS KAKENHI [JP24KJ1559]; Japan Osteoporosis Foundation [JP21K20966]</t>
  </si>
  <si>
    <t>JSPS KAKENHI (Ministry of Education, Culture, Sports, Science and Technology, Japan (MEXT), Japan Society for the Promotion of Science, Grants-in-Aid for Scientific Research (KAKENHI)); Japan Osteoporosis Foundation (Japan Osteoporosis Foundation)</t>
  </si>
  <si>
    <t>This work was supported by Japan Osteoporosis Foundation, JSPS KAKENHI Grant Numbers JP21K20966, JP24KJ1559, JP26K12146, and the Project Research Grant of the Japanese Orthopaedic Association.</t>
  </si>
  <si>
    <t>[Kita, Kosuke; Suzuki, Yuki; Wataya, Tomohiro; Nishigaki, Daiki; Sato, Junya; Tomiyama, Miyuki; Hori, Masatoshi] Univ Osaka, Dept Artificial Intelligence Diagnost Radiol, Grad Sch Med, 2-2 Yamadaoka, Suita, Osaka 5650871, Japan; [Fujimoto, Takashi] Sumitomo Hosp, Hlth Care Ctr, 5-3-20 Kitaku Nakanoshima, Osaka, Osaka 5300005, Japan; [Uemura, Keisuke] Univ Osaka, Grad Sch Med, Dept Orthopaed Med Engn, 2-2 Yamadaoka, Suita, Osaka, Japan; [Otake, Yoshito] Nara Inst Sci &amp; Technol, Grad Sch Sci &amp; Technol, Div Informat Sci, Ikoma, Nara 89165, Japan; [Furuya, Masayuki; Kanie, Yuya; Okada, Seiji; Fujimori, Takahito] Univ Osaka, Grad Sch Med, Dept Orthoped Surg, 2-2 Yamadaoka, Suita, Osaka 5650871, Japan; [Tomiyama, Noriyuki] Univ Osaka, Dept Radiol, Grad Sch Med, 2-2 Yamadaoka, Suita, Osaka 5650871, Japan</t>
  </si>
  <si>
    <t>University of Osaka; Sumitomo Hospital; University of Osaka; Nara Institute of Science &amp; Technology; University of Osaka; University of Osaka</t>
  </si>
  <si>
    <t>Transformer-based multimodal model for estimation of appendicular lean mass using incomplete chest radiographs and electronic health record</t>
  </si>
  <si>
    <t>JOURNAL OF TRANSLATIONAL MEDICINE</t>
  </si>
  <si>
    <t>Sarcopenia; Multimodal artificial intelligence; Transformer; Missing modality; Chest radiography</t>
  </si>
  <si>
    <t>Uemura, Keisuke/ABC-5817-2020; Kanie, Yuya/OBO-1739-2025; Fujimori, Takahito/AFJ-9807-2022; Okada, Seiji/F-5785-2013</t>
  </si>
  <si>
    <t>25</t>
  </si>
  <si>
    <t>BMC</t>
  </si>
  <si>
    <t>LONDON</t>
  </si>
  <si>
    <t>CAMPUS, 4 CRINAN ST, LONDON N1 9XW, ENGLAND</t>
  </si>
  <si>
    <t>1479-5876</t>
  </si>
  <si>
    <t>J TRANSL MED</t>
  </si>
  <si>
    <t>J. Transl. Med.</t>
  </si>
  <si>
    <t>APR 2 2026</t>
  </si>
  <si>
    <t>24</t>
  </si>
  <si>
    <t>589</t>
  </si>
  <si>
    <t>10.1186/s12967-026-08079-0</t>
  </si>
  <si>
    <t>http://dx.doi.org/10.1186/s12967-026-08079-0</t>
  </si>
  <si>
    <t>APR 2026</t>
  </si>
  <si>
    <t>Medicine, Research &amp; Experimental</t>
  </si>
  <si>
    <t>Research &amp; Experimental Medicine</t>
  </si>
  <si>
    <t>HE7GB</t>
  </si>
  <si>
    <t>41928289</t>
  </si>
  <si>
    <t>WOS:001752283100001</t>
  </si>
  <si>
    <t>Burkhart, MC; Lee, LY; Vaghari, D; Toh, AQ; Chong, E; Chen, C; Tino, P; Kourtzi, Z</t>
  </si>
  <si>
    <t>Predicting the course of neurodegenerative disorders early has potential to greatly improve clinical management and patient outcomes. A key challenge for early prediction in real-world clinical settings is the lack of labeled data (i.e., clinical diagnosis). In contrast to supervised classification approaches that require labeled data, we propose an unsupervised multimodal trajectory modeling (MTM) approach based on a mixture of state space models that captures changes in longitudinal data (i.e., trajectories) and stratifies individuals without using clinical diagnosis for model training. MTM learns the relationship between states comprising expensive, invasive biomarkers (beta-amyloid, grey matter density) and readily obtainable cognitive observations. MTM training on trajectories stratifies individuals into clinically meaningful clusters more reliably than MTM training on baseline data alone and is robust to missing data (i.e., cognitive data alone or single assessments). Extracting an individualized cognitive health index (i.e., MTM-derived cluster membership index) allows us to predict progression to AD more precisely than standard clinical assessments (i.e., cognitive tests or MRI scans alone). Importantly, MTM generalizes successfully from research cohort to real-world clinical data from memory clinic patients with missing data, enhancing the clinical utility of our approach. Thus, our multimodal trajectory modeling approach provides a cost-effective and non-invasive tool for early dementia prediction without labeled data (i.e., clinical diagnosis) with strong potential for translation to clinical practice.</t>
  </si>
  <si>
    <t>Burkhart, Michael C.; Lee, Liz Y.; Vaghari, Delshad; Toh, An Qi; Chong, Eddie; Chen, Christopher; Tino, Peter; Kourtzi, Zoe</t>
  </si>
  <si>
    <t>Kourtzi, Z (corresponding author), Univ Cambridge, Dept Psychol, Cambridge CB2 3EB, England.</t>
  </si>
  <si>
    <t>zk240@cam.ac.uk</t>
  </si>
  <si>
    <t>Alzheimer's Research UK (Early Detection of Neurodegen-erative diseases (EDoN) research initiative); Alzheimer's Drug Discovery Foundation Diagnostics Accelerator; EPSRC; Alan Turing Institute [221633/Z/20/Z]; Wellcome Trust [INF\R2\202107]; Royal Society</t>
  </si>
  <si>
    <t>Alzheimer's Research UK (Early Detection of Neurodegen-erative diseases (EDoN) research initiative); Alzheimer's Drug Discovery Foundation Diagnostics Accelerator; EPSRC (UK Research &amp; Innovation (UKRI), Engineering &amp; Physical Sciences Research Council (EPSRC)); Alan Turing Institute; Wellcome Trust (Wellcome Trust); Royal Society (Royal Society UK)</t>
  </si>
  <si>
    <t>This work was supported by grants to Z.K. from the Alzheimer's Research UK (Early Detection of Neurodegen-erative diseases (EDoN) research initiative), the Alzheimer's Drug Discovery Foundation Diagnostics Accelerator, EPSRC &amp; Alan Turing Institute (TU/B/000095), Wellcome Trust (205067/Z/16/Z, 221633/Z/20/Z), Royal Society (INF\R2\202107). For the purpose of open access, the authors have applied for a CC BY public copyright license to any Author Accepted Manuscript version arising from this submission.</t>
  </si>
  <si>
    <t>[Burkhart, Michael C.; Lee, Liz Y.; Vaghari, Delshad; Kourtzi, Zoe] Univ Cambridge, Dept Psychol, Cambridge CB2 3EB, England; [Toh, An Qi; Chong, Eddie; Chen, Christopher] Natl Univ Singapore, Memory Aging &amp; Cognit Ctr, Yong Loo Lin Sch Med, Dept Pharmacol, Singapore, Singapore; [Tino, Peter] Univ Birmingham, Sch Comp Sci, Birmingham B15 2TT, England</t>
  </si>
  <si>
    <t>University of Cambridge; National University of Singapore; University of Birmingham</t>
  </si>
  <si>
    <t>Unsupervised multimodal modeling of cognitive and brain health trajectories for early dementia prediction</t>
  </si>
  <si>
    <t>SCIENTIFIC REPORTS</t>
  </si>
  <si>
    <t>ALZHEIMERS-DISEASE; HYPOTHETICAL MODEL; COMPOSITE SCORE; STATE; PROGRESSION; IMPAIRMENT; DIAGNOSIS; DRUGS</t>
  </si>
  <si>
    <t>Tino, Peter/Z-5748-2019; Chen, Christopher/E-7023-2013; Burkhart, Michael Craig/KRR-0007-2024</t>
  </si>
  <si>
    <t>Tino, Peter/0000-0003-2330-128X; Chen, Christopher/0000-0002-1047-9225; Kourtzi, Zoe/0000-0001-9441-7832; Vaghari, Delshad/0000-0002-4390-323X; Toh, An Qi/0009-0008-9519-3867; Burkhart, Michael Craig/0000-0002-2772-5840</t>
  </si>
  <si>
    <t>49</t>
  </si>
  <si>
    <t>4</t>
  </si>
  <si>
    <t>NATURE PORTFOLIO</t>
  </si>
  <si>
    <t>BERLIN</t>
  </si>
  <si>
    <t>HEIDELBERGER PLATZ 3, BERLIN, 14197, GERMANY</t>
  </si>
  <si>
    <t>2045-2322</t>
  </si>
  <si>
    <t>SCI REP-UK</t>
  </si>
  <si>
    <t>Sci Rep</t>
  </si>
  <si>
    <t>MAY 10 2024</t>
  </si>
  <si>
    <t>2024</t>
  </si>
  <si>
    <t>10755</t>
  </si>
  <si>
    <t>10.1038/s41598-024-60914-w</t>
  </si>
  <si>
    <t>http://dx.doi.org/10.1038/s41598-024-60914-w</t>
  </si>
  <si>
    <t>Multidisciplinary Sciences</t>
  </si>
  <si>
    <t>Science &amp; Technology - Other Topics</t>
  </si>
  <si>
    <t>QC6T5</t>
  </si>
  <si>
    <t>38729989</t>
  </si>
  <si>
    <t>WOS:001218726300057</t>
  </si>
  <si>
    <t>Mao, XH; Zhang, P; Xu, XY; Zhang, XZ; Cao, L; He, M; Wang, ZZ; Ke, ZP; Xiao, W</t>
  </si>
  <si>
    <t>Existing drug-target binding affinity (DTA) models still face two major challenges. First, current multimodal approaches often rely on fixed fusion strategies or single model architectures, which limits their ability to adaptively capture the complex and heterogeneous relationships between drugs and targets. Second, heavy dependence on a single learning algorithm reduces model robustness and generalization, resulting in persistently large prediction errors. We propose MLDTA, a multimodal framework for DTA prediction that integrates dynamic feature fusion and ensemble-inspired modeling principles. MLDTA jointly exploits structural information, Geary autocorrelation descriptors, and tripeptide composition to construct complementary drug and target representations. Instead of relying on a single predictor, five representative DTA models from the literature are incorporated as auxiliary predictive modules (APMs), enabling affinity prediction from multiple algorithmic perspectives. These APMs are integrated with the learned drug and target representations through a dynamic fusion mechanism based on attention modules, which adaptively learns the relative importance of different features and predictive signals, thereby enhancing cross-modal interaction and reducing dependence on any individual model. Evaluation on standard datasets indicates that our model surpasses existing methods. Case studies further highlight MLDTA's effectiveness in drug screening.</t>
  </si>
  <si>
    <t>Mao, Xiaohan; Zhang, Peng; Xu, Xinyu; Zhang, Xinzhuang; Cao, Liang; He, Min; Wang, Zhenzhong; Ke, Zhipeng; Xiao, Wei</t>
  </si>
  <si>
    <t>Ke, ZP; Xiao, W (corresponding author), Jiangsu Kanion Pharmaceut Co Ltd, State Key Lab Technol Chinese Med Pharmaceut Proc, Nanjing 210000, Peoples R China.; Ke, ZP; Xiao, W (corresponding author), Nanjing Univ Chinese Med, Nanjing 210000, Peoples R China.; Ke, ZP; Xiao, W (corresponding author), Jiangsu Kanion Pharmaceut Co Ltd, Lianyungang 222001, Peoples R China.</t>
  </si>
  <si>
    <t>kzp0901@163.com; xw_kanion@163.com</t>
  </si>
  <si>
    <t>Jiangsu Key Laboratory on Innovation for Marine Medicine and Modern Chinese Medicine [BM2024008]; the State Key Laboratory on Technologies for Chinese Medicine Pharmaceutical Process Control and Intelligent Manufacture [SKL 2023D01004]; Basic Research Program Natural Science Fund - Frontier Leading Technology Basic Research Special Project of Jiangsu Province [BK20232014]; Jiangsu Province Talent RD Alliance [Jiangsu Province Talent RD Alliance]</t>
  </si>
  <si>
    <t>Jiangsu Key Laboratory on Innovation for Marine Medicine and Modern Chinese Medicine; the State Key Laboratory on Technologies for Chinese Medicine Pharmaceutical Process Control and Intelligent Manufacture; Basic Research Program Natural Science Fund - Frontier Leading Technology Basic Research Special Project of Jiangsu Province; Jiangsu Province Talent RD Alliance</t>
  </si>
  <si>
    <t>This work was supported by the State Key Laboratory on Technologies for Chinese Medicine Pharmaceutical Process Control and Intelligent Manufacture (SKL 2023D01004), Jiangsu Key Laboratory on Innovation for Marine Medicine and Modern Chinese Medicine (BM2024008), Basic Research Program Natural Science Fund - Frontier Leading Technology Basic Research Special Project of Jiangsu Province (BK20232014) and Jiangsu Province Talent R&amp;D Alliance.</t>
  </si>
  <si>
    <t>[Mao, Xiaohan; Zhang, Peng; Xu, Xinyu; Zhang, Xinzhuang; Cao, Liang; He, Min; Wang, Zhenzhong; Ke, Zhipeng; Xiao, Wei] Jiangsu Kanion Pharmaceut Co Ltd, State Key Lab Technol Chinese Med Pharmaceut Proc, Nanjing 210000, Peoples R China; [Mao, Xiaohan; Zhang, Peng; Xu, Xinyu; Zhang, Xinzhuang; Cao, Liang; He, Min; Wang, Zhenzhong; Ke, Zhipeng; Xiao, Wei] Nanjing Univ Chinese Med, Nanjing 210000, Peoples R China; [Mao, Xiaohan; Zhang, Peng; Xu, Xinyu; Zhang, Xinzhuang; Cao, Liang; He, Min; Wang, Zhenzhong; Ke, Zhipeng; Xiao, Wei] Jiangsu Kanion Pharmaceut Co Ltd, Lianyungang 222001, Peoples R China</t>
  </si>
  <si>
    <t>Nanjing University of Chinese Medicine</t>
  </si>
  <si>
    <t>MLDTA an Ensemble-Driven Multimodal Model with Dynamic Fusion for Drug-Target Affinity Prediction</t>
  </si>
  <si>
    <t>INTERDISCIPLINARY SCIENCES-COMPUTATIONAL LIFE SCIENCES</t>
  </si>
  <si>
    <t>Article; Early Access</t>
  </si>
  <si>
    <t>Drug-target affinity; Multimodal; Auxiliary predictive module; Attention; Drug screening</t>
  </si>
  <si>
    <t>HYDROPHOBICITY; DOPAMINE; RESIDUES; NETWORK</t>
  </si>
  <si>
    <t>6</t>
  </si>
  <si>
    <t>SPRINGER HEIDELBERG</t>
  </si>
  <si>
    <t>HEIDELBERG</t>
  </si>
  <si>
    <t>Europaplatz 3, HEIDELBERG, GERMANY</t>
  </si>
  <si>
    <t>1913-2751</t>
  </si>
  <si>
    <t>1867-1462</t>
  </si>
  <si>
    <t>INTERDISCIP SCI</t>
  </si>
  <si>
    <t>Interdiscip. Sci.</t>
  </si>
  <si>
    <t>10.1007/s12539-026-00813-y</t>
  </si>
  <si>
    <t>http://dx.doi.org/10.1007/s12539-026-00813-y</t>
  </si>
  <si>
    <t>MAR 2026</t>
  </si>
  <si>
    <t>Mathematical &amp; Computational Biology</t>
  </si>
  <si>
    <t>EX0YT</t>
  </si>
  <si>
    <t>41784765</t>
  </si>
  <si>
    <t>WOS:001711805800001</t>
  </si>
  <si>
    <t>Minster, N; Jafri, S</t>
  </si>
  <si>
    <t>Blood-based biomarkers could facilitate early detection and severity monitoring for Parkinson's disease (PD), yet the relative diagnostic utility of proteomic versus transcriptomic signals and the added value of multimodal integration under cross-cohort transfer remain unclear. We trained diagnostic classifiers (PD versus healthy control) using targeted plasma proteomics (Olink) and whole-blood RNA sequencing from a development cohort under participant-grouped cross-validation with nested preprocessing, then externally validated models on an independent cohort. RNA-only models were benchmarked across multiple dimensionality-reduction and regularization strategies, and multimodal integration was evaluated using early fusion, balanced early fusion, late fusion, and stacking. A Proteomic Severity Index (PSI) was derived from baseline protein expression and assessed with linear and non-linear regressors. The proteomics-only Random Forest classifier achieved the strongest external validation (AUROC = 0.8724, 95% CI 0.8305-0.9097; AUPRC = 0.8989), whereas the best RNA-only configuration reached only 0.5978. No fusion strategy significantly improved discrimination beyond proteomics alone. Among 32 selected proteins, DDC showed the strongest severity association with total MDS-UPDRS (rho = 0.61), and the linear PSI explained 28.2% of severity variance, though PSI residuals showed no independent longitudinal association. These findings support targeted plasma proteomics as the primary molecular modality for blood-based PD biomarker development.</t>
  </si>
  <si>
    <t>Minster, Nicholas; Jafri, Saleet</t>
  </si>
  <si>
    <t>Minster, N (corresponding author), George Mason Univ, Sch Syst Biol, 4400 Univ Dr, Fairfax, VA 22030 USA.</t>
  </si>
  <si>
    <t>nminster@gmu.edu</t>
  </si>
  <si>
    <t>Accelerating Medicines Partnership (AMP) Parkinson's Disease (AMP-PD) Knowledge Platform - National Institute of Neurological Disorders and Stroke (NINDS); Celgene Corporation; GlaxoSmithKline plc (GSK); Michael J. Fox Foundation; Pfizer Inc.; AbbVie Inc.; Sanofi US Services Inc.; Verily Life Sciences; U.S. Department of Health and Human Services; Michael J. Fox Foundation for Parkinson's Research; Parkinson's Disease Biomarker Program; National Institute of Neurological Disorders and Stroke (NINDS) at the National Institutes of Health</t>
  </si>
  <si>
    <t>Accelerating Medicines Partnership (AMP) Parkinson's Disease (AMP-PD) Knowledge Platform - National Institute of Neurological Disorders and Stroke (NINDS); Celgene Corporation (Bristol-Myers Squibb, Celgene Corporation); GlaxoSmithKline plc (GSK); Michael J. Fox Foundation (Michael J Fox Foundation); Pfizer Inc. (Pfizer); AbbVie Inc. (AbbVie); Sanofi US Services Inc.; Verily Life Sciences; U.S. Department of Health and Human Services; Michael J. Fox Foundation for Parkinson's Research (Michael J Fox Foundation); Parkinson's Disease Biomarker Program; National Institute of Neurological Disorders and Stroke (NINDS) at the National Institutes of Health</t>
  </si>
  <si>
    <t>The PPMI investigators have not participated in reviewing the data analysis or content of the manuscript. Data used in the preparation of this article were obtained from the Accelerating Medicines Partnership (AMP) Parkinson's Disease (AMP-PD) Knowledge Platform. For up-to-date information on the study, visit https://www.amp-pd.org. The AMP-PD program is a public-private partnership managed by the Foundation for the National Institutes of Health and funded by the National Institute of Neurological Disorders and Stroke (NINDS) in partnership with the Aligning Science Across Parkinson's (ASAP) initiative; Celgene Corporation, a subsidiary of Bristol-Myers Squibb Company; GlaxoSmithKline plc (GSK); The Michael J. Fox Foundation for Parkinson's Research; Pfizer Inc.; AbbVie Inc.; Sanofi US Services Inc.; and Verily Life Sciences. ACCELERATING MEDICINES PARTNERSHIP and AMP are registered service marks of the U.S. Department of Health and Human Services. PPMI is sponsored by The Michael J. Fox Foundation for Parkinson's Research and supported by a consortium of scientific partners. For up-to-date information on the study, visit https://www.ppmi-info.org. The Parkinson's Disease Biomarker Program (PDBP) consortium is supported by the National Institute of Neurological Disorders and Stroke (NINDS) at the National Institutes of Health. A full list of PDBP investigators can be found at https://pdbp.ninds.nih.gov/policy. The PDBP investigators have not participated in reviewing the data analysis or content of the manuscript.</t>
  </si>
  <si>
    <t>[Minster, Nicholas; Jafri, Saleet] George Mason Univ, Sch Syst Biol, 4400 Univ Dr, Fairfax, VA 22030 USA; [Jafri, Saleet] George Mason Univ, Krasnow Inst Adv Study, 4400 Univ Dr, Fairfax, VA USA; [Jafri, Saleet] George Mason Univ, Interdisciplinary Program Neurosci, 4400 Univ Dr, Fairfax, VA USA</t>
  </si>
  <si>
    <t>George Mason University; George Mason University; George Mason University</t>
  </si>
  <si>
    <t>Plasma proteomics for Parkinson's disease classification: cross-cohort benchmarking of proteomic, transcriptomic, and multimodal models</t>
  </si>
  <si>
    <t>NPJ PARKINSONS DISEASE</t>
  </si>
  <si>
    <t>LEVODOPA</t>
  </si>
  <si>
    <t>62</t>
  </si>
  <si>
    <t>2373-8057</t>
  </si>
  <si>
    <t>NPJ PARKINSONS DIS</t>
  </si>
  <si>
    <t>npj Parkinsons Dis.</t>
  </si>
  <si>
    <t>APR 25 2026</t>
  </si>
  <si>
    <t>162</t>
  </si>
  <si>
    <t>10.1038/s41531-026-01344-5</t>
  </si>
  <si>
    <t>http://dx.doi.org/10.1038/s41531-026-01344-5</t>
  </si>
  <si>
    <t>Neurosciences</t>
  </si>
  <si>
    <t>Neurosciences &amp; Neurology</t>
  </si>
  <si>
    <t>KN2KV</t>
  </si>
  <si>
    <t>42034648</t>
  </si>
  <si>
    <t>WOS:001810967500001</t>
  </si>
  <si>
    <t>Zhou, GW; Liu, WQ; Yu, YW; Saxen, H</t>
  </si>
  <si>
    <t>This study develops a data-driven framework to predict the thermal state of blast furnaces using feature fusion from thermocouple data and spatial temperature distribution. The article proposes a hybrid framework based on multimodal integration and clustering algorithms, utilizing data extracted from thermocouples and the temperature distribution features around the furnace hearth. Through these fused features, multiple ensemble models are constructed to predict the thermal state of the blast furnace, with a focus on the thermocouple readings at the hearth. This method enhances understanding of the thermal state of the blast furnace, aiming to improve prediction accuracy and operational reliability. By validating the model with actual industrial data, its effectiveness in thermal state monitoring is demonstrated. The integration of multimodal data sources allows for the extraction of rich information from the thermocouple data, significantly enhancing the model's predictive performance.</t>
  </si>
  <si>
    <t>Zhou, Guanwei; Liu, Weiqiang; Yu, Yaowei; Saxen, Henrik</t>
  </si>
  <si>
    <t>Zhou, GW (corresponding author), Abo Akad Univ, Fac Sci &amp; Engn, Proc &amp; Syst Engn Lab, FI-20500 Turku, Finland.</t>
  </si>
  <si>
    <t>guanwei.zhou@abo.fi</t>
  </si>
  <si>
    <t>China Scholarship Council</t>
  </si>
  <si>
    <t>China Scholarship Council (China Scholarship Council)</t>
  </si>
  <si>
    <t>This research was funded by the China Scholarship Council, grant number 202106890010.</t>
  </si>
  <si>
    <t>[Zhou, Guanwei; Saxen, Henrik] Abo Akad Univ, Fac Sci &amp; Engn, Proc &amp; Syst Engn Lab, FI-20500 Turku, Finland; [Liu, Weiqiang] Chongqing Univ Sci &amp; Technol, Sch Met &amp; Mat Engn, Chongqing 401331, Peoples R China; [Yu, Yaowei] Shanghai Univ, Sch Mat Sci &amp; Engn, State Key Lab Adv Special Steel, Shanghai Key Lab Adv Ferrometallurgy, Shanghai 200444, Peoples R China</t>
  </si>
  <si>
    <t>Abo Akademi University; Chongqing University of Science &amp; Technology; Shanghai University</t>
  </si>
  <si>
    <t>Advancing Blast Furnace Thermal State Prediction: A Data-Driven Approach Using Thermocouple Integration and Multimodal Modeling</t>
  </si>
  <si>
    <t>STEEL RESEARCH INTERNATIONAL</t>
  </si>
  <si>
    <t>blast furnace optimizations; data-driven modeling; ensemble machine learning; thermal state predictions; thermocouple data integrations</t>
  </si>
  <si>
    <t>OPERATION GUIDANCE</t>
  </si>
  <si>
    <t>Saxen, Henrik/K-5134-2019</t>
  </si>
  <si>
    <t>zhou, guanwei/0009-0001-4078-8272</t>
  </si>
  <si>
    <t>32</t>
  </si>
  <si>
    <t>WILEY-V C H VERLAG GMBH</t>
  </si>
  <si>
    <t>WEINHEIM</t>
  </si>
  <si>
    <t>POSTFACH 101161, 69451 WEINHEIM, GERMANY</t>
  </si>
  <si>
    <t>1611-3683</t>
  </si>
  <si>
    <t>1869-344X</t>
  </si>
  <si>
    <t>STEEL RES INT</t>
  </si>
  <si>
    <t>Steel Res. Int.</t>
  </si>
  <si>
    <t>96</t>
  </si>
  <si>
    <t>9</t>
  </si>
  <si>
    <t>433</t>
  </si>
  <si>
    <t>447</t>
  </si>
  <si>
    <t>10.1002/srin.202400896</t>
  </si>
  <si>
    <t>http://dx.doi.org/10.1002/srin.202400896</t>
  </si>
  <si>
    <t>FEB 2025</t>
  </si>
  <si>
    <t>15</t>
  </si>
  <si>
    <t>Metallurgy &amp; Metallurgical Engineering</t>
  </si>
  <si>
    <t>7LM3V</t>
  </si>
  <si>
    <t>WOS:001481218600001</t>
  </si>
  <si>
    <t>Guo, LH; Yao, YN; Wu, QR; Wang, H; Niu, CY; Wang, G; Chen, F</t>
  </si>
  <si>
    <t>Background Dermatomyositis-associated interstitial lung disease (DM-ILD) is a life-threatening condition that often leads to respiratory failure, poor prognosis, and high mortality, especially in patients positive for anti-melanoma differentiation-associated gene 5 (anti-MDA5) antibodies. Early identification of MDA5 positivity is crucial for timely intervention, yet routine testing is not consistently available across different regions. In some centers, the test is omitted or sent to external laboratories, which can delay recognition of disease severity and postpone appropriate treatment. Because risk assessment based on admission data remains limited, we focused on 90-day respiratory failure as an early and clinically relevant outcome, collecting patients' clinical information within the first 48 hours of admission while excluding anti-MDA5 results. Using these data, we developed and internally tested a multimodal model to predict 90-day respiratory failure in patients with DM-ILD.Methods In this exploratory single-center retrospective study, 124 adult patients with DM-ILD were analyzed using a 7:3 train-test split, with five-fold cross-validation used within the training set. Baseline predictors included demographic characteristics, clinical features, laboratory results, pulmonary function indices, and latent computed tomography (CT) features extracted from chest CT scans using a pre-trained model, all collected within 48 hours of admission. Multiple dimensionality-reduction, modeling, and fusion strategies were compared to identify the optimal framework. We evaluated model performance using the area under the receiver operating characteristic curve (AUC) and assessed interpretability with SHapley Additive exPlanations (SHAP).Results Among the prespecified candidate models, the early-fusion random forest model incorporating principal component analysis (PCA) showed the best discriminative performance in the held-out test set, with an AUC of 0.967 and a PR-AUC of 0.879. SHAP analysis showed that arthritis, pulmonary function indices, laboratory markers, and several latent CT features were among the most influential predictors.Conclusions The admission-based multimodal model demonstrated encouraging performance in internal testing and may aid early stratification of 90-day respiratory failure risk in patients with DM-ILD, particularly when anti-MDA5 antibody results are unavailable or delayed.</t>
  </si>
  <si>
    <t>Guo, Lihui; Yao, Yaning; Wu, Qirui; Wang, Hui; Niu, Caiyun; Wang, Gang; Chen, Fei</t>
  </si>
  <si>
    <t>Guo, LH (corresponding author), Lanzhou Univ, Hosp 1, Dept Ultrasound, Lanzhou, Gansu, Peoples R China.</t>
  </si>
  <si>
    <t>lhguo@cmu.edu.cn</t>
  </si>
  <si>
    <t>[Guo, Lihui; Yao, Yaning; Wang, Hui; Chen, Fei] Lanzhou Univ, Hosp 1, Dept Ultrasound, Lanzhou, Gansu, Peoples R China; [Wu, Qirui; Niu, Caiyun] Lanzhou Univ, Hosp 1, Informat Ctr, Lanzhou, Gansu, Peoples R China; [Wang, Gang] Lanzhou Univ, Hosp 1, Dept Radiol, Lanzhou, Gansu, Peoples R China</t>
  </si>
  <si>
    <t>Lanzhou University; Lanzhou University; Lanzhou University</t>
  </si>
  <si>
    <t>A transfer learning-based multimodal model for early prediction of 90-day respiratory failure in dermatomyositis-associated interstitial lung disease</t>
  </si>
  <si>
    <t>FRONTIERS IN IMMUNOLOGY</t>
  </si>
  <si>
    <t>artificial intelligence; dermatomyositis; interstitial lung disease; machine learning; multimodal prediction model; respiratory failure; transfer learning</t>
  </si>
  <si>
    <t>DIFFUSING-CAPACITY; POLYMYOSITIS; INVOLVEMENT; DIAGNOSIS; ANTIBODY; SYSTEM; ADULT</t>
  </si>
  <si>
    <t>60</t>
  </si>
  <si>
    <t>FRONTIERS MEDIA SA</t>
  </si>
  <si>
    <t>LAUSANNE</t>
  </si>
  <si>
    <t>AVENUE DU TRIBUNAL FEDERAL 34, LAUSANNE, CH-1015, SWITZERLAND</t>
  </si>
  <si>
    <t>1664-3224</t>
  </si>
  <si>
    <t>FRONT IMMUNOL</t>
  </si>
  <si>
    <t>Front. Immunol.</t>
  </si>
  <si>
    <t>JUL 16 2026</t>
  </si>
  <si>
    <t>1867606</t>
  </si>
  <si>
    <t>10.3389/fimmu.2026.1867606</t>
  </si>
  <si>
    <t>http://dx.doi.org/10.3389/fimmu.2026.1867606</t>
  </si>
  <si>
    <t>Immunology</t>
  </si>
  <si>
    <t>LX3FG</t>
  </si>
  <si>
    <t>42534982</t>
  </si>
  <si>
    <t>WOS:001835441500001</t>
  </si>
  <si>
    <t>Fu, R; Wang, LL; Wang, N; Yan, Q; Li, XJ; Wang, TS; Liu, JZ; Kong, MX; Zhang, KQ; Li, X; Tang, HQ</t>
  </si>
  <si>
    <t>To develop a multimodal computational pathology framework integrating handcrafted morphology and deep Vision Transformer (ViT) features to improve lymph node metastasis prediction and survival risk stratification in early-stage lung squamous cell carcinoma. Whole-slide images (WSIs) from 211 TCGA LUSC patients and an external cohort of 150 cases underwent standardized stain normalization, adaptive multiresolution patch extraction, and stringent artifact removal. Handcrafted morphological features were extracted using a customized CellProfiler pipeline, and deep embeddings were obtained from a fine-tuned ViT model. After ICC reliability filtering and correlation reduction, LASSO, mutual information (MI), and Boruta selection strategies were applied. A unified early-fusion vector was constructed and evaluated using SVM, XGBoost, TabNet, and TabTransformer classifiers. Survival analyses employed Cox-LASSO, Elastic Net, Random Survival Forests, and Gradient Boosting Survival models, with performance assessed using AUC, C-index, IBS, and time-dependent AUC. Deep ViT-derived features outperformed handcrafted morphology across all metrics (external AUC 0.82 vs. 0.71), and fusion significantly enhanced predictive performance, achieving test and external AUCs up to 0.94 and 0.92, respectively. The LASSO-TabTransformer fusion pipeline provided the strongest metastasis discrimination, with recall approaching 87%. Survival modeling demonstrated similarly substantial improvements: fusion-based Gradient Boosting Survival achieved C-indices of 0.91 (test) and 0.88 (external), with 1-year AUCs of 0.92 and 0.89. FDR-validated imaging covariates remained independently prognostic, and Kaplan-Meier curves confirmed robust stratification of LNM+ versus LNM- groups. Multimodal fusion of deep and handcrafted features produces highly accurate, generalizable models for LNM prediction and survival stratification in LUSC, offering a powerful tool for preoperative decision support.</t>
  </si>
  <si>
    <t>Fu, Rong; Wang, Lili; Wang, Ning; Yan, Qi; Li, Xingjiang; Wang, Tianshu; Liu, Jianzhou; Kong, Mingxiu; Zhang, Kaiqi; Li, Xiang; Tang, Hongqun</t>
  </si>
  <si>
    <t>Fu, R (corresponding author), Qiqihar Med Univ, Affiliated Hosp 1, Dept Oncol, Qiqihar, Peoples R China.; Tang, HQ (corresponding author), Yizhichu Med Pathol Diag Management Co Ltd, Nanchang, Peoples R China.</t>
  </si>
  <si>
    <t>bihaozhi302@163.com; t271979083@163.com</t>
  </si>
  <si>
    <t>Research Project of the Health Commission of Heilongjiang Province [20240303100121]</t>
  </si>
  <si>
    <t>Research Project of the Health Commission of Heilongjiang Province</t>
  </si>
  <si>
    <t>This work was supported by the Research Project of the Health Commission of Heilongjiang Province (20240303100121).</t>
  </si>
  <si>
    <t>[Fu, Rong; Wang, Lili; Wang, Ning; Yan, Qi; Liu, Jianzhou; Kong, Mingxiu; Zhang, Kaiqi] Qiqihar Med Univ, Affiliated Hosp 1, Dept Oncol, Qiqihar, Peoples R China; [Li, Xingjiang] Qiqihar Med Univ, Clinicopathol Ctr, Qiqihar, Peoples R China; [Wang, Tianshu] Qiqihar Med Univ, Affiliated Hosp 1, Dept Thorac &amp; Cardiac Surg, Qiqihar, Peoples R China; [Li, Xiang] Nanchang Univ, Jiangxi Med Coll, Queen Mary Sch, Nanchang, Peoples R China; [Tang, Hongqun] Yizhichu Med Pathol Diag Management Co Ltd, Nanchang, Peoples R China</t>
  </si>
  <si>
    <t>Qiqihar Medical University; Qiqihar Medical University; Qiqihar Medical University; Nanchang University</t>
  </si>
  <si>
    <t>Histopathology-Driven Multimodal Modeling for Lymph Node Metastasis Prediction and Survival Stratification in Lung Squamous Cell Carcinoma</t>
  </si>
  <si>
    <t>INTERNATIONAL JOURNAL OF IMAGING SYSTEMS AND TECHNOLOGY</t>
  </si>
  <si>
    <t>lung squamous cell carcinoma; lymph node metastasis prediction; machine learning; multimodal feature fusion; survival modeling; vision transformer embeddings; whole-slide imaging</t>
  </si>
  <si>
    <t>34</t>
  </si>
  <si>
    <t>WILEY</t>
  </si>
  <si>
    <t>HOBOKEN</t>
  </si>
  <si>
    <t>111 RIVER ST, HOBOKEN 07030-5774, NJ USA</t>
  </si>
  <si>
    <t>0899-9457</t>
  </si>
  <si>
    <t>1098-1098</t>
  </si>
  <si>
    <t>INT J IMAG SYST TECH</t>
  </si>
  <si>
    <t>Int. J. Imaging Syst. Technol.</t>
  </si>
  <si>
    <t>JUN 18 2026</t>
  </si>
  <si>
    <t>36</t>
  </si>
  <si>
    <t>e70359</t>
  </si>
  <si>
    <t>10.1002/ima.70359</t>
  </si>
  <si>
    <t>http://dx.doi.org/10.1002/ima.70359</t>
  </si>
  <si>
    <t>18</t>
  </si>
  <si>
    <t>Engineering, Electrical &amp; Electronic; Optics; Imaging Science &amp; Photographic Technology</t>
  </si>
  <si>
    <t>Engineering; Optics; Imaging Science &amp; Photographic Technology</t>
  </si>
  <si>
    <t>JR8OS</t>
  </si>
  <si>
    <t>WOS:001796474600001</t>
  </si>
  <si>
    <t>Xu, YY; Chen, Y; Xie, LB</t>
  </si>
  <si>
    <t>In practical multimodal tasks, missing modality data or imbalanced modalities due to challenges in data acquisition have drawn significant attention, as they often lead to a substantial decline in model performance. Recent studies have focused on addressing this problem by learning specific feature representations from different modality combinations or knowledge transfer. However, the modality feature diversity, which determines the model's ability to characterize decision boundaries and learn robust feature mappings, is usually overlooked during the transfer. To address the problem, a novel method called boundary-guided distillation (BGD) with uncertainty-driven temperature for incomplete multimodal learning is proposed, in which the modal features are diversified by pushing feature vectors toward decision boundaries in the latent feature distribution space through adversarial attack. Based on the enriched modality features, an uncertainty-driven knowledge distillation strategy is designed after theoretical analysis to align the logical ability of the full modality model (teacher) and any incomplete modality model (student), enhancing modal information transfer and reducing prediction errors under missing modality conditions. Extensive experiments on multimodal classification and segmentation tasks demonstrate the effectiveness of BGD, achieving an average accuracy improvement of 1.06% on classification datasets and 1.09% on segmentation datasets.</t>
  </si>
  <si>
    <t>Xu, Yiye; Chen, Ying; Xie, Linbo</t>
  </si>
  <si>
    <t>Chen, Y (corresponding author), Jiangnan Univ, Key Lab Adv Proc Control Light Ind, Minist Educ, Wuxi 214026, Jiangsu, Peoples R China.</t>
  </si>
  <si>
    <t>chenying@jiangnan.edu.cn; 6231905061@stu.jiangnan.edu.cn</t>
  </si>
  <si>
    <t>[Xu, Yiye; Chen, Ying] Jiangnan Univ, Key Lab Adv Proc Control Light Ind, Minist Educ, Wuxi 214026, Jiangsu, Peoples R China; [Xie, Linbo] Jiangnan Univ, Engn Res Ctr Internet Things Technol Applicat, Minist Educ, Wuxi 214026, Jiangsu, Peoples R China</t>
  </si>
  <si>
    <t>Jiangnan University; Jiangnan University</t>
  </si>
  <si>
    <t>Boundary-guided distillation with uncertainty-driven temperature for incomplete multimodal learning</t>
  </si>
  <si>
    <t>KNOWLEDGE-BASED SYSTEMS</t>
  </si>
  <si>
    <t>Missing modality; Knowledge distillation; Multimodal learning</t>
  </si>
  <si>
    <t>Chen, Ying/AAA-2911-2022</t>
  </si>
  <si>
    <t>Xu, Yiye/0009-0008-0991-3486</t>
  </si>
  <si>
    <t>57</t>
  </si>
  <si>
    <t>0950-7051</t>
  </si>
  <si>
    <t>1872-7409</t>
  </si>
  <si>
    <t>KNOWL-BASED SYST</t>
  </si>
  <si>
    <t>Knowledge-Based Syst.</t>
  </si>
  <si>
    <t>JUL 19 2025</t>
  </si>
  <si>
    <t>323</t>
  </si>
  <si>
    <t>113718</t>
  </si>
  <si>
    <t>10.1016/j.knosys.2025.113718</t>
  </si>
  <si>
    <t>http://dx.doi.org/10.1016/j.knosys.2025.113718</t>
  </si>
  <si>
    <t>Computer Science, Artificial Intelligence</t>
  </si>
  <si>
    <t>3NM8G</t>
  </si>
  <si>
    <t>WOS:001504559100006</t>
  </si>
  <si>
    <t>Lin, JX; Yang, J; Yin, MY; Tang, YX; Chen, LQ; Xu, C; Zhu, SQ; Gao, JW; Liu, L; Liu, XL; Gu, CQ; Huang, Z; Wei, Y; Zhu, JZ</t>
  </si>
  <si>
    <t>We aimed to develop and validate multimodal ICU patient prognosis models that combine clinical parameters data and chest X-ray (CXR) images. A total of 3798 subjects with clinical parameters and CXR images were extracted from the Medical Information Mart for Intensive Care IV (MIMIC-IV) database and an external hospital (the test set). The primary outcome was 30-day mortality after ICU admission. Automated machine learning (AutoML) and convolutional neural networks (CNNs) were used to construct single-modal models based on clinical parameters and CXR separately. An early fusion approach was used to integrate both modalities (clinical parameters and CXR) into a multimodal model named PrismICU. Compared to the single-modal models, i.e., the clinical parameter model (AUC = 0.80, F1-score = 0.43) and the CXR model (AUC = 0.76, F1-score = 0.45) and the scoring system APACHE II (AUC = 0.83, F1-score = 0.77), PrismICU (AUC = 0.95, F1 score = 0.95) showed improved performance in predicting the 30-day mortality in the validation set. In the test set, PrismICU (AUC = 0.82, F1-score = 0.61) was also better than the clinical parameters model (AUC = 0.72, F1-score = 0.50), CXR model (AUC = 0.71, F1-score = 0.36), and APACHE II (AUC = 0.62, F1-score = 0.50). PrismICU, which integrated clinical parameters data and CXR images, performed better than single-modal models and the existing scoring system. It supports the potential of multimodal models based on structured data and imaging in clinical management.</t>
  </si>
  <si>
    <t>Lin, Jiaxi; Yang, Jin; Yin, Minyue; Tang, Yuxiu; Chen, Liquan; Xu, Chang; Zhu, Shiqi; Gao, Jingwen; Liu, Lu; Liu, Xiaolin; Gu, Chenqi; Huang, Zhou; Wei, Yao; Zhu, Jinzhou</t>
  </si>
  <si>
    <t>Zhu, JZ (corresponding author), Soochow Univ, Dept Gastroenterol, Affiliated Hosp 1, 188 Shizi St, Suzhou 215006, Jiangsu, Peoples R China.; Zhu, JZ (corresponding author), Suzhou Clin Ctr Digest Dis, Suzhou 215000, Peoples R China.; Wei, Y (corresponding author), Soochow Univ, Dept Crit Care Med, Affiliated Hosp 1, 188 Shizi St, Suzhou 215006, Jiangsu, Peoples R China.</t>
  </si>
  <si>
    <t>dr_betty@126.com; jzzhu@zju.edu.cn</t>
  </si>
  <si>
    <t>National Natural Science Foundation of China</t>
  </si>
  <si>
    <t>No Statement Available</t>
  </si>
  <si>
    <t>[Lin, Jiaxi; Yin, Minyue; Xu, Chang; Zhu, Shiqi; Gao, Jingwen; Liu, Lu; Liu, Xiaolin; Zhu, Jinzhou] Soochow Univ, Dept Gastroenterol, Affiliated Hosp 1, 188 Shizi St, Suzhou 215006, Jiangsu, Peoples R China; [Lin, Jiaxi; Yin, Minyue; Xu, Chang; Zhu, Shiqi; Gao, Jingwen; Liu, Lu; Liu, Xiaolin; Zhu, Jinzhou] Suzhou Clin Ctr Digest Dis, Suzhou 215000, Peoples R China; [Yang, Jin; Tang, Yuxiu; Chen, Liquan; Wei, Yao] Soochow Univ, Dept Crit Care Med, Affiliated Hosp 1, 188 Shizi St, Suzhou 215006, Jiangsu, Peoples R China; [Gu, Chenqi; Huang, Zhou] Soochow Univ, Dept Radiol, Affiliated Hosp 1, Suzhou, Peoples R China</t>
  </si>
  <si>
    <t>Soochow University - China</t>
  </si>
  <si>
    <t>Development and Validation of Multimodal Models to Predict the 30-Day Mortality of ICU Patients Based on Clinical Parameters and Chest X-Rays</t>
  </si>
  <si>
    <t>JOURNAL OF IMAGING INFORMATICS IN MEDICINE</t>
  </si>
  <si>
    <t>Automated machine learning (AutoML); Deep learning; Intensive care unit; Mortality; Multimodal; Feature fusion</t>
  </si>
  <si>
    <t>Wei, Yao/MFK-1734-2025; Yin, Minyue/GRJ-2214-2022; Lu, Liu/ODL-9245-2025; jingwen, gao/MSX-1089-2025</t>
  </si>
  <si>
    <t>ZHU, JINZHOU/0000-0003-0544-9248</t>
  </si>
  <si>
    <t>SPRINGER</t>
  </si>
  <si>
    <t>NEW YORK</t>
  </si>
  <si>
    <t>ONE NEW YORK PLAZA, SUITE 4600, NEW YORK, NY, UNITED STATES</t>
  </si>
  <si>
    <t>2948-2925</t>
  </si>
  <si>
    <t>2948-2933</t>
  </si>
  <si>
    <t>J IMAGING INFORM MED</t>
  </si>
  <si>
    <t>J. Imaging Inform. Med.</t>
  </si>
  <si>
    <t>AUG 2024</t>
  </si>
  <si>
    <t>37</t>
  </si>
  <si>
    <t>1312</t>
  </si>
  <si>
    <t>1322</t>
  </si>
  <si>
    <t>10.1007/s10278-024-01066-1</t>
  </si>
  <si>
    <t>http://dx.doi.org/10.1007/s10278-024-01066-1</t>
  </si>
  <si>
    <t>MAR 2024</t>
  </si>
  <si>
    <t>Radiology, Nuclear Medicine &amp; Medical Imaging</t>
  </si>
  <si>
    <t>A8E1I</t>
  </si>
  <si>
    <t>38448758</t>
  </si>
  <si>
    <t>WOS:001194042800001</t>
  </si>
  <si>
    <t>Green Submitted</t>
  </si>
  <si>
    <t>Yilihamu, EEY; Zeng, FS; Shang, J; Yang, JT; Zhong, H; Feng, SQ</t>
  </si>
  <si>
    <t>BACKGROUND CONTEXT: Lumbar foraminal stenosis (LFS) is a common spinal condition that requires accurate assessment. Current magnetic resonance imaging (MRI) reporting processes are often inefficient, and while deep learning has potential for improvement, challenges in generalization and interpretability limit its diagnostic effectiveness compared to physician expertise.&lt;br /&gt; PURPOSE: The present study aimed to leverage a multimodal large language model to improve the accuracy and efficiency of LFS image classification, thereby enabling rapid and precise automated diagnosis, reducing the dependence on manually annotated data, and enhancing diagnostic efficiency.&lt;br /&gt; STUDY DESIGN/SETTING: Retrospective study conducted from April 2017 to March 2023.&lt;br /&gt; PATIENT SAMPLE: Sagittal T1-weighted MRI data for the lumbar spine were collected from 1,200 patients across 3 medical centers. A total of 810 patient cases were included in the final analysis, with data collected from 7 different MRI devices.&lt;br /&gt; OUTCOME MEASURES: Automated classification of LFS using the multi modal large language model. Accuracy, sensitivity, Specificity and Cohen's Kappa coefficient were calculated.&lt;br /&gt; METHODS: An advanced multimodal fusion framework GPT4LFS was developed with the primary objective of integrating imaging data and natural language descriptions to comprehensively capture the complex LFS features. The model employed a pretrained ConvNeXt as the image processing module for extracting high-dimensional imaging features. Concurrently, medical descriptive texts generated by the multimodal large language model GPT-4o and encoded and feature-extracted using RoBERTa were utilized to optimize the model's contextual understanding capabilities. The Mamba architecture was implemented during the feature fusion stage, effectively integrating imaging and textual features and thereby enhancing the performance of the classification task. Finally, the stability of the model's detection results was validated by evaluating classification task metrics, such as the accuracy, sensitivity, specificity, and Kappa coefficients.&lt;br /&gt; RESULTS: The training set comprised 6,299 images from 635 patients, the internal test set included 820 images from 82 patients, and the external test set was composed of 930 images from 93 patients. The GPT4LFS model demonstrated an overall accuracy of 93.7%, sensitivity of 95.8%, and specificity of 94.5% in the internal test set (Kappa=0.89, 95% confidence interval (CI): 0.84-0.96, p&lt;.001). In the external test set, the overall accuracy was 92.2%, with a sensitivity of 92.2% and a specificity of 97.4% (Kappa=0.88, 95% CI: 0.84-0.89, p&lt;.001). Both the internal and external test sets showed excellent consistency in the model. The code is freely accessible on GitHub at the following repository: https://github.com/ElzatElham/GPT4LFS. C&lt;br /&gt; ONCLUSIONS: Using the GPT4LFS model for LFS image categorization demonstrated accuracy and the capacity for feature description at a level commensurate with that of professional clinicians. (c) 2025 The Authors. Published by Elsevier Inc. This is an open access article under the CC BY license (http://creativecommons.org/licenses/by/4.0/)</t>
  </si>
  <si>
    <t>Yilihamu, Elzat Elham-Yilizati; Zeng, Fan-Shuo; Shang, Jun; Yang, Jin-Tao; Zhong, Hai; Feng, Shi-Qing</t>
  </si>
  <si>
    <t>Feng, SQ (corresponding author), Shandong Univ, Hosp 2, Cheeloo Coll Med, 247 Beiyuan St, Jinan 250000, Peoples R China.</t>
  </si>
  <si>
    <t>shiqingfeng@sdu.edu.cn; 18753107255@163.com; elzatelham@mail.sdu.edu.cn</t>
  </si>
  <si>
    <t>Natural Science Foundation of Shandong Province [ZR2023QH033]; First-Class Talent Funding [22480082063100]</t>
  </si>
  <si>
    <t>Natural Science Foundation of Shandong Province (Natural Science Foundation of Shandong Province); First-Class Talent Funding</t>
  </si>
  <si>
    <t>This study was funded by the Natural Science Foundation of Shandong Province (ZR2023QH033) with a grant amounting to CNY 30,000 ($4,137). Additionally, funding from the "First-Class" Talent Funding (22480082063100) provided CNY 20,000 ($2,758) to support the research.</t>
  </si>
  <si>
    <t>[Yilihamu, Elzat Elham-Yilizati] Shandong Univ, Orthoped Res Ctr, Jinan 250000, Peoples R China; [Yilihamu, Elzat Elham-Yilizati] Shandong Univ, Adv Med Res Inst, Jinan 250000, Peoples R China; [Zeng, Fan-Shuo] Shandong Univ, Hosp 2, Cheeloo Coll Med, Dept Rehabil, Jinan 250000, Peoples R China; [Shang, Jun] Xuzhou Med Univ, Renci Hosp, Dept Spinal Surg, Xuzhou 221000, Peoples R China; [Yang, Jin-Tao] Jiangsu Shiyu Intelligent Med Technol Co, Med Res Dept, Nanjing 210000, Peoples R China; [Zhong, Hai; Feng, Shi-Qing] Shandong Univ, Hosp 2, Cheeloo Coll Med, 247 Beiyuan St, Jinan 250000, Peoples R China</t>
  </si>
  <si>
    <t>Shandong University; Shandong University; Shandong University; Xuzhou Medical University; Shandong University</t>
  </si>
  <si>
    <t>GPT4LFS (generative pretrained transformer 4 omni for lumbar foramina stenosis): enhancing lumbar foraminal stenosis image classification through large multimodal models</t>
  </si>
  <si>
    <t>SPINE JOURNAL</t>
  </si>
  <si>
    <t>Deep learning; Lumbar degeneration; Lumbar foraminal stenosis; Multimodal Large Language Model; Image Classification; Automated Diagnosis</t>
  </si>
  <si>
    <t>ELSEVIER SCIENCE INC</t>
  </si>
  <si>
    <t>STE 800, 230 PARK AVE, NEW YORK, NY 10169 USA</t>
  </si>
  <si>
    <t>1529-9430</t>
  </si>
  <si>
    <t>1878-1632</t>
  </si>
  <si>
    <t>SPINE J</t>
  </si>
  <si>
    <t>Spine Journal</t>
  </si>
  <si>
    <t>2071</t>
  </si>
  <si>
    <t>2080</t>
  </si>
  <si>
    <t>10.1016/j.spinee.2025.03.011</t>
  </si>
  <si>
    <t>http://dx.doi.org/10.1016/j.spinee.2025.03.011</t>
  </si>
  <si>
    <t>AUG 2025</t>
  </si>
  <si>
    <t>Clinical Neurology; Orthopedics</t>
  </si>
  <si>
    <t>Neurosciences &amp; Neurology; Orthopedics</t>
  </si>
  <si>
    <t>6LB2E</t>
  </si>
  <si>
    <t>40157428</t>
  </si>
  <si>
    <t>WOS:001555904900001</t>
  </si>
  <si>
    <t>Lai, LQ; Wang, YJ; Jiang, JL; Yang, DF; Wu, JY; Xie, LJ; Wu, JH; Mao, RL; Zhang, DK; Wang, XX; Ming, WL; Tu, JF</t>
  </si>
  <si>
    <t>Objectives To develop and validate a preoperative multimodal model that predicts a high-risk recurrence phenotype indicative of poor disease-free survival (DFS), in order to stratify patients with stage IA non-small cell lung cancer (NSCLC). Materials and methods This retrospective multicenter study enrolled 342 stage IA NSCLC patients from three independent centers. The high-risk recurrence phenotype (indicative of poor DFS) was defined by postoperative pathology as the presence of spread through air spaces (STAS), lymphovascular invasion (LVI), a predominant solid/micropapillary/complex glandular pattern, or a &gt; 5% solid/micropapillary component. Deep learning features were extracted from preoperative biopsy whole-slide images (WSI) using the UNI foundation model, and CT morphological and textural features were extracted from preoperative chest CT. An early-fusion multimodal model integrating clinical, radiomics, and pathomics features was developed and evaluated with five-fold cross-validation. The Kaplan-Meier method with log-rank tests was used to assess associations between the model-predicted risk and DFS. Logistic regression identified clinical predictors of high-risk pathology. Model interpretability and clinical utility were examined with SHapley Additive exPlanations (SHAP) and calibration analysis, respectively. Results The multimodal model achieved higher discriminative performance than each single-modality model in both the internal and external test sets. In the internal test set, it yielded an AUC of 0.76 (95% CI 0.58-0.90); in external validation, AUCs were 0.69 (95% CI 0.55-0.82) in Center 2 and 0.86 (95% CI 0.74-0.96) in Center 3. Multivariable analysis identified solid tumor density as the only independent predictor (OR = 5.13, 95% CI 1.53-17.24; P = 0.008). Model-stratified high-risk patients showed significantly inferior DFS in both the training (2-year DFS 78% vs. 99%; log-rank P &lt; 0.0001) and external (3-year DFS 86% vs. 100%; log-rank P = 0.003) cohorts. Conclusion The multimodal model consistently predicted the high-risk recurrence phenotype across multiple centers. This phenotype may serve as a pragmatic indicator of poor DFS to guide earlier individualized treatment decisions, including adjuvant therapy and intensified surveillance, in stage IA NSCLC.</t>
  </si>
  <si>
    <t>Lai, Linqiang; Wang, Yanji; Jiang, Jiangle; Yang, Dengfa; Wu, Jinying; Xie, Liangjun; Wu, Jiahao; Mao, Ruolan; Zhang, Dengke; Wang, Xiangxue; Ming, Wenlong; Tu, Jianfei</t>
  </si>
  <si>
    <t>Tu, JF (corresponding author), Wenzhou Med Univ, Lishui Cent Hosp, Affiliated Hosp 5, Lishui, Peoples R China.; Ming, WL (corresponding author), Nanjing Univ Informat Sci &amp; Technol, Sch Artificial Intelligence, Jiangsu Key Lab Intelligent Med Image Comp, Nanjing, Peoples R China.; Ming, WL (corresponding author), Bengbu Med Univ, Anhui Key Lab Digital Med &amp; Intelligent Hlth, Bengbu, Peoples R China.</t>
  </si>
  <si>
    <t>wming@nuist.edu.cn; jianfei1133@wmu.edu.cn</t>
  </si>
  <si>
    <t>Zhejiang Medical Association Clinical Medicine Special Fund Project [2022ZYC-A263]; Medical and Health Science and Technology Planning Project of Zhejiang Province [2022PY031]; Medical and Health Science and Technology Plan of Zhejiang Province [WKJ-ZJ-1932]; National Natural Science Foundation of China [62401272, 82441029]; Talent Start-up Funding Project of Nanjing University of Information Science and Technology [2024r090]; Program from the Anhui Key Laboratory of Digital Medicine and Intelligent Health [AHCM2024Z001]</t>
  </si>
  <si>
    <t>Zhejiang Medical Association Clinical Medicine Special Fund Project; Medical and Health Science and Technology Planning Project of Zhejiang Province; Medical and Health Science and Technology Plan of Zhejiang Province; National Natural Science Foundation of China (National Natural Science Foundation of China (NSFC)); Talent Start-up Funding Project of Nanjing University of Information Science and Technology; Program from the Anhui Key Laboratory of Digital Medicine and Intelligent Health</t>
  </si>
  <si>
    <t>The author(s) declared that financial support was received for this work and/or its publication. This study was supported by the Zhejiang Medical Association Clinical Medicine Special Fund Project (No. 2022ZYC-A263), the Medical and Health Science and Technology Planning Project of Zhejiang Province (No. 2022PY031), a key project of the Medical and Health Science and Technology Plan of Zhejiang Province (No. WKJ-ZJ-1932), the National Natural Science Foundation of China (Nos. 62401272 and 82441029), the Talent Start-up Funding Project of Nanjing University of Information Science and Technology (No. 2024r090), and the Program from the Anhui Key Laboratory of Digital Medicine and Intelligent Health (No. AHCM2024Z001).</t>
  </si>
  <si>
    <t>[Lai, Linqiang; Jiang, Jiangle; Xie, Liangjun; Wu, Jiahao; Mao, Ruolan; Zhang, Dengke; Tu, Jianfei] Wenzhou Med Univ, Lishui Cent Hosp, Affiliated Hosp 5, Lishui, Peoples R China; [Wang, Yanji; Wang, Xiangxue; Ming, Wenlong] Nanjing Univ Informat Sci &amp; Technol, Sch Artificial Intelligence, Jiangsu Key Lab Intelligent Med Image Comp, Nanjing, Peoples R China; [Yang, Dengfa] Zhejiang Univ, Lishui Hosp, Sch Med, Zhejiang Key Lab Imaging &amp; Intervent Med, Lishui, Peoples R China; [Yang, Dengfa] Taizhou Municipal Hosp, Dept Radiol, Taizhou, Peoples R China; [Wu, Jinying] Wenzhou Med Univ, Lishui City Peoples Hosp, Affiliated Hosp 6th, Lishui, Peoples R China; [Ming, Wenlong] Bengbu Med Univ, Anhui Key Lab Digital Med &amp; Intelligent Hlth, Bengbu, Peoples R China</t>
  </si>
  <si>
    <t>Wenzhou Medical University; Nanjing University of Information Science &amp; Technology; Zhejiang University; Taizhou University; Bengbu Medical University</t>
  </si>
  <si>
    <t>An integrated multimodal model for early prediction of high-risk recurrence phenotype indicative of poor disease-free survival in stage IA NSCLC: a multicenter study</t>
  </si>
  <si>
    <t>adjuvant therapy; computational pathology; disease-free survival; high-risk recurrence phenotype; multimodal model; pathomics; radiomics; stage IA non-small cell lung cancer</t>
  </si>
  <si>
    <t>CELL LUNG-CANCER; BLOOD-VESSEL INVASION; PROGNOSTIC-SIGNIFICANCE; INTERNATIONAL ASSOCIATION; HISTOLOGICAL SUBTYPES; ADENOCARCINOMA; CLASSIFICATION; IMPACT; MICROPAPILLARY; PROPOSAL</t>
  </si>
  <si>
    <t>29</t>
  </si>
  <si>
    <t>AUG 6 2026</t>
  </si>
  <si>
    <t>1915946</t>
  </si>
  <si>
    <t>10.3389/fimmu.2026.1915946</t>
  </si>
  <si>
    <t>http://dx.doi.org/10.3389/fimmu.2026.1915946</t>
  </si>
  <si>
    <t>MX6WA</t>
  </si>
  <si>
    <t>42625643</t>
  </si>
  <si>
    <t>WOS:001853348000001</t>
  </si>
  <si>
    <t>Zhang, XY; Bahri, A; Desrosiers, C; Liu, H; Bao, FX</t>
  </si>
  <si>
    <t>The accurate segmentation of brain tumors plays an important role in clinical diagnosis and treatment. Multimodal magnetic resonance imaging (MRI) can provide rich and complementary information for accurate brain tumor segmentation. However, the common problems of incomplete modalities and small samples in clinical practice seriously affect the performance of multimodal segmentation. In this work, we design a new framework, named M(2)SegMamba, using Mamba and Masked Autoencoder networks for both supervised and self-supervised learning, aimed at handling small sample brain tumor segmentation under various incomplete multimodality settings. We construct a masking strategy suitable for multimodal brain tumors to precisely extract image features, which serves as the foundation for image segmentation. By fully leveraging the capabilities of the Mamba network, we design a multi-traversal method to facilitate the interaction between inter-modal and cross-modal image features. Meanwhile, the introduction of TSmamba in skipping connections efficiently integrates multimodal features. Auxiliary regularizers are introduced in both the encoder and decoder to further enhance the model's robustness to incomplete modalities. We conducted experiments on the BraTS 2018 and BraTS 2020 datasets, and the results demonstrate that our method outperforms state-of-the-art brain tumor segmentation methods on most subsets of missing modalities.</t>
  </si>
  <si>
    <t>Zhang, Xinyue; Bahri, Ali; Desrosiers, Christian; Liu, Hui; Bao, Fangxun</t>
  </si>
  <si>
    <t>Desrosiers, C (corresponding author), Ecole Technol Super, Dept Software &amp; IT Engn, Montreal, PQ H3C 1K3, Canada.</t>
  </si>
  <si>
    <t>liuh_lh@sdufe.edu.cn; fxbao@sdu.edu.cn; christian.desrosiers@etsmtl.ca; 201911828@mail.sdu.edu.cn; ali.bahri.1@ens.etsmtl.ca</t>
  </si>
  <si>
    <t>National Key R&amp;D Program of China [2021YFA1000202]; National Natural Science Foundation of China [62372269]; Natural Science Foundation of Shandong Province [ZR2022MF245]</t>
  </si>
  <si>
    <t>National Key R&amp;D Program of China (National Key Research &amp; Development Program of China); National Natural Science Foundation of China (National Natural Science Foundation of China (NSFC)); Natural Science Foundation of Shandong Province (Natural Science Foundation of Shandong Province)</t>
  </si>
  <si>
    <t>This work was supported in part by the National Key R&amp;D Program of China under Grant 2021YFA1000202, in part by the National Natural Science Foundation of China under Grant 62372269, and in part by the Natural Science Foundation of Shandong Province under Grant ZR2022MF245.</t>
  </si>
  <si>
    <t>[Zhang, Xinyue; Bao, Fangxun] Shandong Univ, Sch Math, Jinan 250100, Peoples R China; [Bahri, Ali; Desrosiers, Christian] Ecole Technol Super, Dept Software &amp; IT Engn, Montreal, PQ H3C 1K3, Canada; [Liu, Hui] Shandong Univ Finance &amp; Econ, Dept Comp &amp; Artif Intelligence, Jinan 250014, Peoples R China</t>
  </si>
  <si>
    <t>Shandong University; University of Quebec; Ecole de Technologie Superieure - Canada; Shandong University of Finance &amp; Economics</t>
  </si>
  <si>
    <t>M2SegMamba: Mamba-Based Incomplete Multimodal Learning for Brain Tumor Segmentation With Few Samples</t>
  </si>
  <si>
    <t>IEEE JOURNAL OF BIOMEDICAL AND HEALTH INFORMATICS</t>
  </si>
  <si>
    <t>Image segmentation; Brain tumors; Computational modeling; Image reconstruction; Feature extraction; Training; Three-dimensional displays; Decoding; Magnetic resonance imaging; Biomedical imaging; Brain tumor segmentation; hetero-modal learning; state-space model; masked image modeling</t>
  </si>
  <si>
    <t>44</t>
  </si>
  <si>
    <t>IEEE-INST ELECTRICAL ELECTRONICS ENGINEERS INC</t>
  </si>
  <si>
    <t>PISCATAWAY</t>
  </si>
  <si>
    <t>445 HOES LANE, PISCATAWAY, NJ 08855-4141 USA</t>
  </si>
  <si>
    <t>2168-2194</t>
  </si>
  <si>
    <t>2168-2208</t>
  </si>
  <si>
    <t>IEEE J BIOMED HEALTH</t>
  </si>
  <si>
    <t>IEEE J. Biomed. Health Inform.</t>
  </si>
  <si>
    <t>30</t>
  </si>
  <si>
    <t>2455</t>
  </si>
  <si>
    <t>2465</t>
  </si>
  <si>
    <t>10.1109/JBHI.2025.3600652</t>
  </si>
  <si>
    <t>http://dx.doi.org/10.1109/JBHI.2025.3600652</t>
  </si>
  <si>
    <t>Computer Science, Information Systems; Computer Science, Interdisciplinary Applications; Mathematical &amp; Computational Biology; Medical Informatics</t>
  </si>
  <si>
    <t>Computer Science; Mathematical &amp; Computational Biology; Medical Informatics</t>
  </si>
  <si>
    <t>ER7NM</t>
  </si>
  <si>
    <t>40833907</t>
  </si>
  <si>
    <t>WOS:001708168300024</t>
  </si>
  <si>
    <t>Yao, JC; Zhang, J; Wang, YX; Zhuo, L</t>
  </si>
  <si>
    <t>Incomplete multimodal learning addresses the common real-world challenge of missing modalities, which undermines the performance of standard multimodal methods. Existing solutions struggle with distribution mismatches between reconstructed and observed data, asymmetric cross-modal structures, and insufficient cross-modal knowledge sharing. To tackle these issues, we propose an asymmetric simulation-enhanced flow reconstruction (ASE-FR) framework, which contains following contributions: (1) Distribution-consistent flow reconstruction module that align available and missing modality distributions by normalizing flows; (2) Asymmetric simulation module that perturbs and randomly masks features to mimic real-world modality absence and improve robustness; (3) Modal-shared knowledge distillation that transfers shared representations from teacher encoders to a student encoder through contrastive learning. This framework is applicable to a range of real-world scenarios, such as multi-sensor networks in smart manufacturing, medical diagnostic systems combining imaging and electronic health records, and autonomous driving platforms that integrate camera and LiDAR data. The experimental results show that our ASE-FR method achieves 94.71 %, 41.85 % and 81.90 % accuracy on Audiovision-MNIST, MM-IMDb and IEMOCAP datasets, as well as 1.1376 error rate on CMU-MOSI dataset, which exhibits competitive performance.</t>
  </si>
  <si>
    <t>Yao, Jiacheng; Zhang, Jing; Wang, Yixiao; Zhuo, Li</t>
  </si>
  <si>
    <t>Zhang, J (corresponding author), Beijing Univ Technol, Sch Informat Sci &amp; Technol, Beijing, Peoples R China.; Zhang, J (corresponding author), Beijing Univ Technol, Beijing Key Lab Computat Intelligence &amp; Intelligen, Beijing, Peoples R China.</t>
  </si>
  <si>
    <t>zhj@bjut.edu.cn</t>
  </si>
  <si>
    <t>National Natural Science Foundation of China [62471013]</t>
  </si>
  <si>
    <t>This work was supported by the National Natural Science Foundation of China under Grant 62471013.</t>
  </si>
  <si>
    <t>[Yao, Jiacheng; Zhang, Jing; Wang, Yixiao; Zhuo, Li] Beijing Univ Technol, Sch Informat Sci &amp; Technol, Beijing, Peoples R China; [Yao, Jiacheng; Zhang, Jing; Wang, Yixiao; Zhuo, Li] Beijing Univ Technol, Beijing Key Lab Computat Intelligence &amp; Intelligen, Beijing, Peoples R China</t>
  </si>
  <si>
    <t>Beijing University of Technology; Beijing University of Technology</t>
  </si>
  <si>
    <t>Asymmetric simulation-enhanced flow reconstruction for incomplete multimodal learning</t>
  </si>
  <si>
    <t>PATTERN RECOGNITION</t>
  </si>
  <si>
    <t>Incomplete multimodal learning; Asymmetric simulation; Flow reconstruction; Distribution-consistent; Knowledge distillation</t>
  </si>
  <si>
    <t>Zhang, Jing/QTT-7905-2026</t>
  </si>
  <si>
    <t>ZHANG, JING/0000-0003-1290-0738</t>
  </si>
  <si>
    <t>39</t>
  </si>
  <si>
    <t>ELSEVIER SCI LTD</t>
  </si>
  <si>
    <t>London</t>
  </si>
  <si>
    <t>125 London Wall, London, ENGLAND</t>
  </si>
  <si>
    <t>0031-3203</t>
  </si>
  <si>
    <t>1873-5142</t>
  </si>
  <si>
    <t>PATTERN RECOGN</t>
  </si>
  <si>
    <t>Pattern Recognit.</t>
  </si>
  <si>
    <t>172</t>
  </si>
  <si>
    <t>A</t>
  </si>
  <si>
    <t>112413</t>
  </si>
  <si>
    <t>10.1016/j.patcog.2025.112413</t>
  </si>
  <si>
    <t>http://dx.doi.org/10.1016/j.patcog.2025.112413</t>
  </si>
  <si>
    <t>Computer Science, Artificial Intelligence; Engineering, Electrical &amp; Electronic</t>
  </si>
  <si>
    <t>Computer Science; Engineering</t>
  </si>
  <si>
    <t>7IK6H</t>
  </si>
  <si>
    <t>WOS:001571771800001</t>
  </si>
  <si>
    <t>Zhou, Q; Chen, T; Zou, H; Xiao, X</t>
  </si>
  <si>
    <t>Central Retinal Artery Occlusion (CRAO) is a rare and severe ophthalmic disease that remains challenging to accurately diagnose and classify in clinical practice. The low incidence rate of CRAO makes it difficult to gather a large-scale dataset for training deep-learning models in CRAO classification. Even though the integration of multimodal information has shown the potential to enhance classification performance, the acquisition of complete multimodal data shows significant challenges. This is mainly due to limitations in medical resources and examination costs. Consequently, existing deep learning approaches are unable to learn discriminative features for CRAO classification. In this work, we propose a novel deep-learning methodology that takes advantage of multi-task learning and trustworthy fusion to improve the classification of CRAO with incomplete multimodal data. In the feature extraction stage, we design a multi-task framework that simultaneously performs classification and lesion segmentation tasks. The segmentation task helps the image encoder learn more disease-related features. In particular, text annotations of lesion regions are used to compute the similarity between text features and image features as an auxiliary loss to learn discriminative representations for fine-grained classification. In the multimodal fusion stage, we propose a trustworthy fusion strategy to learn effective joint representations from incomplete multimodal data, in which the model's predictive uncertainty is used to adaptively weigh modality-specific features. We evaluate our method on a self-collected dataset and compare its performance with other state-of-the-art approaches. The results show the superiority of the proposed method with a mean accuracy of 90.31 %.</t>
  </si>
  <si>
    <t>Zhou, Qian; Chen, Ting; Zou, Hua; Xiao, Xuan</t>
  </si>
  <si>
    <t>Zou, H; Xiao, X (corresponding author), Wuhan Univ, Renmin Hosp, Sch Comp Sci, Wuhan 430072, Peoples R China.</t>
  </si>
  <si>
    <t>zouhua@whu.edu.cn; xiaoxuan1111@whu.edu.cn</t>
  </si>
  <si>
    <t>Bingtuan Science and Tech-nology Program, China [2022DB005, 2019BC008]; Key Re-search and Development Program of Hubei Province, China [2022BCA009]</t>
  </si>
  <si>
    <t>Bingtuan Science and Tech-nology Program, China; Key Re-search and Development Program of Hubei Province, China</t>
  </si>
  <si>
    <t>Acknowledgments This research is partially supported by Bingtuan Science and Tech-nology Program, China (No. 2022DB005 and 2019BC008) and Key Re-search and Development Program of Hubei Province, China (2022BCA009) .</t>
  </si>
  <si>
    <t>[Zhou, Qian; Chen, Ting; Zou, Hua; Xiao, Xuan] Wuhan Univ, Renmin Hosp, Sch Comp Sci, Wuhan 430072, Peoples R China</t>
  </si>
  <si>
    <t>Wuhan University</t>
  </si>
  <si>
    <t>Uncertainty-aware incomplete multimodal fusion for few-shot Central Retinal Artery Occlusion classification</t>
  </si>
  <si>
    <t>CRAO classification; Multi-task learning; Incomplete multimodal learning; Uncertainty estimation</t>
  </si>
  <si>
    <t>DIAGNOSIS</t>
  </si>
  <si>
    <t>Zhou, Qian/HTP-0367-2023</t>
  </si>
  <si>
    <t>Zou, Hua/0000-0002-3641-2686; Zhou, Qian/0000-0001-7964-8130</t>
  </si>
  <si>
    <t>79</t>
  </si>
  <si>
    <t>19</t>
  </si>
  <si>
    <t>APR 2024</t>
  </si>
  <si>
    <t>104</t>
  </si>
  <si>
    <t>102200</t>
  </si>
  <si>
    <t>10.1016/j.inffus.2023.102200</t>
  </si>
  <si>
    <t>http://dx.doi.org/10.1016/j.inffus.2023.102200</t>
  </si>
  <si>
    <t>DEC 2023</t>
  </si>
  <si>
    <t>FZ7C9</t>
  </si>
  <si>
    <t>WOS:001149732600001</t>
  </si>
  <si>
    <t>Jeong, SW; Cho, HH; Lee, S; Park, H</t>
  </si>
  <si>
    <t>Background and Objective: Gliomas are graded using multimodal magnetic resonance imaging, which pro-vides important information for treatment and prognosis. When modalities are missing, the grading is degraded. We propose a robust brain tumor grading model that can handle missing modalities.Methods: Our method was developed and tested on Brain Tumor Segmentation Challenge 2017 dataset ( n = 285) via nested five-fold cross-validation. Our method adopts adversarial learning to generate the features of missing modalities relative to the features obtained from a full set of modalities in the latent space. An attention-based fusion block across modalities fuses the features of each available modality into a shared representation. Our method's results are compared to those of two other models where 15 missing-modality scenarios are explicitly considered and a joint training approach with random dropouts is used.Results: Our method outperforms the two competing methods in classifying high-grade gliomas (HGGs) and low-grade gliomas (LGGs), achieving an area under the curve of 87.76% on average for all missing -modality scenarios. The activation maps derived with our method confirm that it focuses on the enhanc-ing portion of the tumor in HGGs and on the edema and non-enhancing portions of the tumor in LGGs, which is consistent with prior expertise. An ablation study shows the added benefits of a fusion block and adversarial learning for handling missing modalities.Conclusion: Our method shows robust grading of gliomas in all cases of missing modalities. Our pro-posed network might have positive implications in glioma care by learning features robust to missing modalities.(c) 2022 Elsevier B.V. All rights reserved.</t>
  </si>
  <si>
    <t>Jeong, Seung-wan; Cho, Hwan-ho; Lee, Seunghak; Park, Hyunjin</t>
  </si>
  <si>
    <t>Park, H (corresponding author), Sungkyunkwan Univ, Ctr Neurosci Imaging Res, Sch Elect &amp; Elect Engn, Suwon 16419, South Korea.</t>
  </si>
  <si>
    <t>hyunjinp@skku.edu</t>
  </si>
  <si>
    <t>Institute for Basic Science [NRF-2020M3E5D2A01084892, IBS-R015-D1]; Ministry of Science and ICT [IITP-2020-2018-0-01798]; IITP grant - AI Graduate School Support Program [2019-0-00421]; ICT Creative Consilience program [IITP-2020-0-01821]; Artificial Intelligence Innovation Hub program [2021-0-02068]</t>
  </si>
  <si>
    <t>Institute for Basic Science; Ministry of Science and ICT (Ministry of Science &amp; ICT (MMSTI)); IITP grant - AI Graduate School Support Program (Institute for Information &amp; Communication Technology Planning &amp; Evaluation (IITP), Republic of Korea); ICT Creative Consilience program; Artificial Intelligence Innovation Hub program</t>
  </si>
  <si>
    <t>This research was supported by the (NRF-2020M3E5D2A01084892), Institute for Basic Science (IBS-R015-D1), Ministry of Science and ICT (IITP-2020-2018-0-01798), IITP grant funded by the AI Graduate School Support Program (2019-0-00421), ICT Creative Consilience program (IITP-2020-0-01821), and Artificial Intelligence Innovation Hub program (2021-0-02068).</t>
  </si>
  <si>
    <t>[Jeong, Seung-wan] Sungkyunkwan Univ, Dept Artificial Intelligence, Suwon, South Korea; [Jeong, Seung-wan; Park, Hyunjin] Inst Basic Sci, Ctr Neurosci Imaging Res, Suwon, South Korea; [Cho, Hwan-ho] Konyang Univ, Dept Med Aritif Intelligence, Daejon, South Korea; [Lee, Seunghak] Korea Univ, Ansan Hosp, Core Res &amp; Dev Ctr, Ansan, South Korea; [Park, Hyunjin] Sungkyunkwan Univ, Sch Elect &amp; Elect Engn, Suwon, South Korea; [Park, Hyunjin] Sungkyunkwan Univ, Ctr Neurosci Imaging Res, Sch Elect &amp; Elect Engn, Suwon 16419, South Korea</t>
  </si>
  <si>
    <t>Sungkyunkwan University (SKKU); Institute for Basic Science - Korea (IBS); Konyang University; Korea University; Korea University Medicine (KU Medicine); Sungkyunkwan University (SKKU); Institute for Basic Science - Korea (IBS); Sungkyunkwan University (SKKU)</t>
  </si>
  <si>
    <t>Robust multimodal fusion network using adversarial learning for brain tumor grading</t>
  </si>
  <si>
    <t>Glioma grading; Missing modalities; Robust classification; Adversarial learning; Fusion block</t>
  </si>
  <si>
    <t>CLASSIFICATION; COMPLETION</t>
  </si>
  <si>
    <t>Lee, Seunghak/JUV-3298-2023; Park, Hyunjin/A-1164-2007</t>
  </si>
  <si>
    <t>Cho, Hwan-ho/0000-0002-1926-6891; Lee, Seunghak/0000-0002-8618-7261; Park, Hyunjin/0000-0001-5681-8918</t>
  </si>
  <si>
    <t>22</t>
  </si>
  <si>
    <t>NOV 2022</t>
  </si>
  <si>
    <t>2022</t>
  </si>
  <si>
    <t>226</t>
  </si>
  <si>
    <t>107165</t>
  </si>
  <si>
    <t>10.1016/j.cmpb.2022.107165</t>
  </si>
  <si>
    <t>http://dx.doi.org/10.1016/j.cmpb.2022.107165</t>
  </si>
  <si>
    <t>OCT 2022</t>
  </si>
  <si>
    <t>5O3PH</t>
  </si>
  <si>
    <t>36215857</t>
  </si>
  <si>
    <t>WOS:000872389100006</t>
  </si>
  <si>
    <t>Fan, JX; Qi, MS; Liu, L; Ma, HD</t>
  </si>
  <si>
    <t>Predicting air quality using multimodal data is crucial to comprehensively capture the diverse factors influencing atmospheric conditions. Therefore, this study introduces a multimodal learning framework that integrates outdoor images with traditional ground-based observations to improve the accuracy and reliability of air quality predictions. However, aligning and fusing these heterogeneous data sources poses a formidable challenge, further exacerbated by pervasive data incompleteness issues in practice. In this article, we propose a novel incomplete multimodal learning approach (iMMAir) to recovery missing data for robust air quality prediction. Specifically, we first design a shallow feature extractor to capture modal-specific features within the latent representation space. Then we develop a conditional diffusion-driven recovery module to mitigate the distribution gap between the recovered and true data. This module further incorporates two conditional constraints of temporal correlation and semantic consistency for effective modal completion. Finally, we reconstruct incomplete modalities and fuse available data using a multimodal transformer network to predict the air quality. To alleviate the modality imbalance problem, we employ an adaptive gradient modulation strategy to adjust the optimization of each modality. Experimental results demonstrate that iMMAir significantly reduces prediction errors, outperforming baseline models by an average of 5.6% and 2.5% in air quality regression and classification tasks. Our source code and data are available at https://github.com/pestasu/IMMAir.</t>
  </si>
  <si>
    <t>Fan, Jinxiao; Qi, Mengshi; Liu, Liang; Ma, Huadong</t>
  </si>
  <si>
    <t>Fan, JX (corresponding author), Beijing Univ Posts &amp; Telecommun, Comp Sci, Beijing, Peoples R China.</t>
  </si>
  <si>
    <t>liangliu@bupt.edu.cn; mhd@bupt.edu.cn; qms@bupt.edu.cn; jinxiaofan@bupt.edu.cn</t>
  </si>
  <si>
    <t>NSFC [62225204, 62202063]; Beijing Major Science and Technology Project [Z231100007423014]; A3 Foresight Program of NSFC [62061146002]; Beijing Natural Science Foundation [L243027]</t>
  </si>
  <si>
    <t>NSFC (National Natural Science Foundation of China (NSFC)); Beijing Major Science and Technology Project; A3 Foresight Program of NSFC; Beijing Natural Science Foundation (Beijing Natural Science Foundation)</t>
  </si>
  <si>
    <t>This work was partly supported by the Funds for the NSFC Project under grants 62225204 and 62202063, the Beijing Major Science and Technology Project under contract no. Z231100007423014, the A3 Foresight Program of NSFC under grant 62061146002, and the Beijing Natural Science Foundation (L243027) .</t>
  </si>
  <si>
    <t>[Fan, Jinxiao; Qi, Mengshi; Liu, Liang; Ma, Huadong] Beijing Univ Posts &amp; Telecommun, Comp Sci, Beijing, Peoples R China</t>
  </si>
  <si>
    <t>Beijing University of Posts &amp; Telecommunications</t>
  </si>
  <si>
    <t>Diffusion-driven Incomplete Multimodal Learning for Air Quality Prediction</t>
  </si>
  <si>
    <t>ACM TRANSACTIONS ON INTERNET OF THINGS</t>
  </si>
  <si>
    <t>Incomplete multimodal learning; air quality prediction; diffusion model</t>
  </si>
  <si>
    <t>POLLUTION; MODELS</t>
  </si>
  <si>
    <t>Fan, Jinxiao/LZI-0024-2025</t>
  </si>
  <si>
    <t>Fan, Jinxiao/0000-0002-0119-1916</t>
  </si>
  <si>
    <t>61</t>
  </si>
  <si>
    <t>ASSOC COMPUTING MACHINERY</t>
  </si>
  <si>
    <t>1601 Broadway, 10th Floor, NEW YORK, NY USA</t>
  </si>
  <si>
    <t>2691-1914</t>
  </si>
  <si>
    <t>2577-6207</t>
  </si>
  <si>
    <t>ACM T INTERNET THING</t>
  </si>
  <si>
    <t>ACM Trans. Internet Things</t>
  </si>
  <si>
    <t>10.1145/3702243</t>
  </si>
  <si>
    <t>http://dx.doi.org/10.1145/3702243</t>
  </si>
  <si>
    <t>Computer Science, Information Systems; Engineering, Electrical &amp; Electronic; Telecommunications</t>
  </si>
  <si>
    <t>Computer Science; Engineering; Telecommunications</t>
  </si>
  <si>
    <t>Y5W3P</t>
  </si>
  <si>
    <t>WOS:001432818300003</t>
  </si>
  <si>
    <t>Bronze</t>
  </si>
  <si>
    <t>Zhi, Z; Liu, ZQ; Elbadawi, M; Daneshmend, A; Orlu, M; Basit, A; Demosthenous, A; Rodrigues, M</t>
  </si>
  <si>
    <t>Multimodal machine learning with missing modalities is an increasingly relevant challenge arising in various applications such as healthcare. This paper extends the current research into missing modalities to the low-data regime, i.e., a downstream task has both missing modalities and limited sample size issues. This problem setting is particularly challenging and also practical as it is often expensive to get full-modality data and sufficient annotated training samples. We propose to use retrieval-augmented in-context learning to address these two crucial issues by unleashing the potential of a transformer's in-context learning ability. Diverging from existing methods, which primarily belong to the parametric paradigm and often require sufficient training samples, our work exploits the value of the available full-modality data, offering a novel perspective on resolving the challenge. The proposed data-dependent framework exhibits a higher degree of sample efficiency and is empirically demonstrated to enhance the classification model's performance on both full-and missing-modality data in the low-data regime across various multimodal learning tasks. When only 1% of the training data are available, our proposed ICL-CA method outperforms the best baseline by 5.9%, 5.9%, 5.3% and 10.8% on four datasets across various missing states. Notably, our method also reduces the performance gap between full-modality and missing-modality data compared with the baseline. Code is available1.</t>
  </si>
  <si>
    <t>Zhi, Zhuo; Liu, Ziquan; Elbadawi, Moe; Daneshmend, Adam; Orlu, Mine; Basit, Abdul; Demosthenous, Andreas; Rodrigues, Miguel</t>
  </si>
  <si>
    <t>Zhi, Z (corresponding author), UCL, Dept Elect &amp; Elect Engn, London, England.</t>
  </si>
  <si>
    <t>zhuo.zhi.21@ucl.ac.uk</t>
  </si>
  <si>
    <t>Engineering and Physical Sciences Research Council (EPSRC) , U.K. [EP/T517793/1]</t>
  </si>
  <si>
    <t>Engineering and Physical Sciences Research Council (EPSRC) , U.K. (UK Research &amp; Innovation (UKRI), Engineering &amp; Physical Sciences Research Council (EPSRC))</t>
  </si>
  <si>
    <t>This work was supported by the Engineering and Physical Sciences Research Council (EPSRC) , U.K., under Grant EP/T517793/1.</t>
  </si>
  <si>
    <t>[Zhi, Zhuo; Demosthenous, Andreas; Rodrigues, Miguel] UCL, Dept Elect &amp; Elect Engn, London, England; [Liu, Ziquan] QMUL, Sch Elect Engn &amp; Comp Sci, London, England; [Elbadawi, Moe] QMUL, Sch Biol &amp; Behav Sci, London, England; [Daneshmend, Adam] Univ Coll London Hosp NHS Fdn Trust, London, England; [Orlu, Mine; Basit, Abdul] UCL, UCL Sch Pharm, London, England</t>
  </si>
  <si>
    <t>University of London; University College London; University of London; Queen Mary University London; University of London; Queen Mary University London; University College London Hospitals NHS Foundation Trust; University of London; University College London; University of London; University College London</t>
  </si>
  <si>
    <t>Borrowing treasures from neighbors: In-context learning for multimodal learning with missing modalities and data scarcity</t>
  </si>
  <si>
    <t>NEUROCOMPUTING</t>
  </si>
  <si>
    <t>Multimodal learning; Missing modalities; Data scarcity; In-context learning</t>
  </si>
  <si>
    <t>Basit, Abdul/AAH-2857-2019</t>
  </si>
  <si>
    <t>Demosthenous, Andreas/0000-0003-0623-963X; Daneshmend, Adam/0000-0002-3440-9686</t>
  </si>
  <si>
    <t>59</t>
  </si>
  <si>
    <t>0925-2312</t>
  </si>
  <si>
    <t>1872-8286</t>
  </si>
  <si>
    <t>Neurocomputing</t>
  </si>
  <si>
    <t>SEP 28 2025</t>
  </si>
  <si>
    <t>647</t>
  </si>
  <si>
    <t>130502</t>
  </si>
  <si>
    <t>10.1016/j.neucom.2025.130502</t>
  </si>
  <si>
    <t>http://dx.doi.org/10.1016/j.neucom.2025.130502</t>
  </si>
  <si>
    <t>JUN 2025</t>
  </si>
  <si>
    <t>3PJ1Z</t>
  </si>
  <si>
    <t>WOS:001505824600001</t>
  </si>
  <si>
    <t>Qu, LH; Zhang, CS; Hou, YY; Tang, F; Sheng, WQ; Huang, D; Song, ZJ</t>
  </si>
  <si>
    <t>Accurate prognostic prediction for colorectal cancer is essential for optimizing personalized treatment strategies and improving patient outcomes. Current unimodal approaches encounter significant limitations in effectively leveraging multimodal data and confront challenges with the issue of missing modalities. A novel multimodal deep learning framework named FLARE, which integrates pathological images, radiological imaging, and clinical text reports, is introduced to provide accurate risk assessments for colorectal cancer survival and progression. FLARE employs foundation models to achieve efficient feature extraction, utilizes an attention-based multi-branch framework to enhance synergy and distinctiveness across modalities, and incorporates a diversity-promoting loss function. To address the issue of incomplete data, FLARE integrates modality and missing-aware prompts, pseudo embeddings, and a modality-level augmentation strategy, thereby effectively mitigating potential performance degradation. The performance of FLARE is retrospectively assessed using a dataset of 1679 colorectal cancer patients from four independent clinical centers. Its superior prognostic capability is demonstrated through Kaplan-Meier analysis and the concordance index. FLARE effectively stratified patients into high- and low-risk groups. It achieved the highest concordance index across all validation cohorts, significantly outperforming traditional clinical models and existing multimodal methods, thereby highlighting its robust generalizability. Interpretability was enhanced by the comprehensive analyses of clinical factors, immune infiltration patterns, and gene pathways, as well as visualizations of feature importance across multiple modalities. In summary, FLARE establishes a comprehensive and robust framework for multimodal deep learning in medical prognostics, providing an advanced Artificial intelligence, Multimodal Deep Learning, Prognosis prediction, colorectal cancer, foundation modeltool for precision cancer prognosis and intelligent diagnosis.</t>
  </si>
  <si>
    <t>Qu, Linhao; Zhang, Chengsheng; Hou, Yingyong; Tang, Feng; Sheng, Weiqi; Huang, Dan; Song, Zhijian</t>
  </si>
  <si>
    <t>Song, ZJ (corresponding author), Fudan Univ, Digital Med Res Ctr, Sch Basic Med Sci, Shanghai, Peoples R China.; Song, ZJ (corresponding author), Shanghai Key Lab Med Imaging Comp &amp; Comp Assisted, Shanghai, Peoples R China.; Huang, D (corresponding author), Fudan Univ, Dept Pathol, Shanghai Canc Ctr, Shanghai, Peoples R China.; Huang, D (corresponding author), Fudan Univ, Shanghai Med Coll, Dept Oncol, Shanghai, Peoples R China.; Song, ZJ (corresponding author), Fudan Univ, Zhongshan Hosp, Dept Rheumatol, Shanghai, Peoples R China.</t>
  </si>
  <si>
    <t>zjsong@fudan.edu.cn; Danhuang@shca.org.cn</t>
  </si>
  <si>
    <t>National Natural Science Foundation of China [82372097]</t>
  </si>
  <si>
    <t>L.H.Q. conceived the study and designed the experiments. D.H., Y.Y.H., F.T., W.Q.S., and L.H.Q. performed data collection and processing. L.H.Q. performed model development. L.H.Q., C.S.Z., and D.H. performed experimental analyses and interpreted the results. D.H. and Z.J.S. provided feedback on the analysis. L.H.Q. and C.S.Z. prepared the manuscript. L.H.Q., D.H., and Z.J.S. revised the manuscript. Z.J.S. supervised the research. This work was supported by the National Natural Science Foundation of China under Grant 82372097.</t>
  </si>
  <si>
    <t>[Qu, Linhao; Zhang, Chengsheng; Song, Zhijian] Fudan Univ, Digital Med Res Ctr, Sch Basic Med Sci, Shanghai, Peoples R China; [Qu, Linhao; Zhang, Chengsheng; Song, Zhijian] Shanghai Key Lab Med Imaging Comp &amp; Comp Assisted, Shanghai, Peoples R China; [Hou, Yingyong] Fudan Univ, Zhongshan Hosp, Dept Pathol, Shanghai, Peoples R China; [Tang, Feng] Fudan Univ, Huashan Hosp, Dept Pathol, Shanghai, Peoples R China; [Sheng, Weiqi; Huang, Dan] Fudan Univ, Dept Pathol, Shanghai Canc Ctr, Shanghai, Peoples R China; [Sheng, Weiqi; Huang, Dan] Fudan Univ, Shanghai Med Coll, Dept Oncol, Shanghai, Peoples R China; [Song, Zhijian] Fudan Univ, Zhongshan Hosp, Dept Rheumatol, Shanghai, Peoples R China</t>
  </si>
  <si>
    <t>Fudan University; Fudan University; Fudan University; Fudan University; Fudan University</t>
  </si>
  <si>
    <t>Foundation Model-Enabled Multimodal Deep Learning for Prognostic Prediction in Colorectal Cancer with Incomplete Modalities: A Multi-Institutional Retrospective Study</t>
  </si>
  <si>
    <t>ADVANCED SCIENCE</t>
  </si>
  <si>
    <t>artificial intelligence; colorectal cancer; foundation model; multimodal deep learning; prognosis prediction</t>
  </si>
  <si>
    <t>DATA INTEGRATION; EOSINOPHILS; SURVIVAL</t>
  </si>
  <si>
    <t>Sheng, Weiqi/GXF-1216-2022</t>
  </si>
  <si>
    <t>2198-3844</t>
  </si>
  <si>
    <t>ADV SCI</t>
  </si>
  <si>
    <t>Adv. Sci.</t>
  </si>
  <si>
    <t>10.1002/advs.202510931</t>
  </si>
  <si>
    <t>http://dx.doi.org/10.1002/advs.202510931</t>
  </si>
  <si>
    <t>JAN 2026</t>
  </si>
  <si>
    <t>Chemistry, Multidisciplinary; Nanoscience &amp; Nanotechnology; Materials Science, Multidisciplinary</t>
  </si>
  <si>
    <t>Chemistry; Science &amp; Technology - Other Topics; Materials Science</t>
  </si>
  <si>
    <t>FK6AU</t>
  </si>
  <si>
    <t>41556415</t>
  </si>
  <si>
    <t>WOS:001664846200001</t>
  </si>
  <si>
    <t>Akbar, MN; Ruf, SF; Singh, A; Faghihpirayesh, R; Garner, R; Bennett, A; Alba, C; La Rocca, M; Imbiriba, T; Erdogmus, D; Duncan, D</t>
  </si>
  <si>
    <t>A late post -traumatic seizure (LPTS), a consequence of traumatic brain injury (TBI), can potentially evolve into a lifelong condition known as post -traumatic epilepsy (PTE). Presently, the mechanism that triggers epileptogenesis in TBI patients remains elusive, inspiring the epilepsy community to devise ways to predict which TBI patients will develop PTE and to identify potential biomarkers. In response to this need, our study collected comprehensive, longitudinal multimodal data from 48 TBI patients across multiple participating institutions. A supervised binary classification task was created, contrasting data from LPTS patients with those without LPTS. To accommodate missing modalities in some subjects, we took a two -pronged approach. Firstly, we extended a graphical model -based Bayesian estimator to directly classify subjects with incomplete modality. Secondly, we explored conventional imputation techniques. The imputed multimodal information was then combined, following several fusion and dimensionality reduction techniques found in the literature, and subsequently fitted to a kernel- or a tree -based classifier. For this fusion, we proposed two new algorithms: recursive elimination of correlated components (RECC) that filters information based on the correlation between the already selected features, and information decomposition and selective fusion (IDSF), which effectively recombines information from decomposed multimodal features. Our cross -validation findings showed that the proposed IDSF algorithm delivers superior performance based on the area under the curve (AUC) score. Ultimately, after rigorous statistical comparisons and interpretable machine learning examination using Shapley values of the most frequently selected features, we recommend the two following magnetic resonance imaging (MRI) abnormalities as potential biomarkers: the left anterior limb of internal capsule in diffusion MRI (dMRI), and the right middle temporal gyrus in functional MRI (fMRI).</t>
  </si>
  <si>
    <t>Akbar, Md Navid; Ruf, Sebastian F.; Singh, Ashutosh; Faghihpirayesh, Razieh; Garner, Rachael; Bennett, Alexis; Alba, Celina; La Rocca, Marianna; Imbiriba, Tales; Erdogmus, Deniz; Duncan, Dominique</t>
  </si>
  <si>
    <t>Akbar, MN (corresponding author), Northeastern Univ, Coll Engn, Dept Elect &amp; Comp Engn, Cognit Syst Lab, 360 Huntington Ave, Boston, MA 02115 USA.</t>
  </si>
  <si>
    <t>akbar.m@northeastern.edu</t>
  </si>
  <si>
    <t>National Institute of Neurological Disorders and Stroke (NINDS) of the National Institutes of Health (NIH) , United States of America [R01NS111744]</t>
  </si>
  <si>
    <t>National Institute of Neurological Disorders and Stroke (NINDS) of the National Institutes of Health (NIH) , United States of America</t>
  </si>
  <si>
    <t>This work was supported by the National Institute of Neurological Disorders and Stroke (NINDS) of the National Institutes of Health (NIH) , United States of America [grant number R01NS111744] . We also thank Prof. Aristea S. Galanopoulou for her helpful comments and suggestions.</t>
  </si>
  <si>
    <t>[Akbar, Md Navid; Ruf, Sebastian F.; Singh, Ashutosh; Faghihpirayesh, Razieh; Imbiriba, Tales; Erdogmus, Deniz] Northeastern Univ, Coll Engn, Dept Elect &amp; Comp Engn, Cognit Syst Lab, 360 Huntington Ave, Boston, MA 02115 USA; [Garner, Rachael; Bennett, Alexis; Alba, Celina; Duncan, Dominique] Univ Southern Calif, Keck Sch Med USC, USC Stevens Neuroimaging &amp; Informat Inst, Lab Neuro Imaging, 2025 Zonal Ave 210, Los Angeles, CA 90033 USA; [La Rocca, Marianna] Univ Bari A Moro, Dipartimento Interateneo Fis M Merlin, Bari, Italy</t>
  </si>
  <si>
    <t>Northeastern University; University of Southern California; Universita degli Studi di Bari Aldo Moro</t>
  </si>
  <si>
    <t>Advancing post-traumatic seizure classification and biomarker identification: Information decomposition based multimodal fusion and explainable machine learning with missing neuroimaging data</t>
  </si>
  <si>
    <t>COMPUTERIZED MEDICAL IMAGING AND GRAPHICS</t>
  </si>
  <si>
    <t>Traumatic seizure classification; Incomplete multimodal data; Bayesian fusion; Multivariate information fusion; Explainable machine learning; Biomarker identification</t>
  </si>
  <si>
    <t>RISK-FACTORS; NORMALIZATION; CONNECTIVITY; VALIDATION; BRAINS</t>
  </si>
  <si>
    <t>Erdogmus, Deniz/A-8170-2009; Akbar, Navid/O-2447-2018; Faghihpirayesh, Razieh/KHX-3964-2024; La Rocca, Marianna/ABG-1214-2021</t>
  </si>
  <si>
    <t>Alba, Celina/0009-0003-0215-9197; Akbar, Navid/0000-0003-3000-315X; Cesar de Oliveira Imbiriba, Tales/0000-0002-2626-2039</t>
  </si>
  <si>
    <t>67</t>
  </si>
  <si>
    <t>PERGAMON-ELSEVIER SCIENCE LTD</t>
  </si>
  <si>
    <t>OXFORD</t>
  </si>
  <si>
    <t>THE BOULEVARD, LANGFORD LANE, KIDLINGTON, OXFORD OX5 1GB, ENGLAND</t>
  </si>
  <si>
    <t>0895-6111</t>
  </si>
  <si>
    <t>1879-0771</t>
  </si>
  <si>
    <t>COMPUT MED IMAG GRAP</t>
  </si>
  <si>
    <t>Comput. Med. Imaging Graph.</t>
  </si>
  <si>
    <t>JUL 2024</t>
  </si>
  <si>
    <t>115</t>
  </si>
  <si>
    <t>102386</t>
  </si>
  <si>
    <t>10.1016/j.compmedimag.2024.102386</t>
  </si>
  <si>
    <t>http://dx.doi.org/10.1016/j.compmedimag.2024.102386</t>
  </si>
  <si>
    <t>MAY 2024</t>
  </si>
  <si>
    <t>Engineering, Biomedical; Radiology, Nuclear Medicine &amp; Medical Imaging</t>
  </si>
  <si>
    <t>Engineering; Radiology, Nuclear Medicine &amp; Medical Imaging</t>
  </si>
  <si>
    <t>TC5V7</t>
  </si>
  <si>
    <t>38718562</t>
  </si>
  <si>
    <t>WOS:001239082600001</t>
  </si>
  <si>
    <t>Zhao, YW; Zhan, TM; Zheng, C; Yu, XB</t>
  </si>
  <si>
    <t>Protein function prediction is a fundamental task in the post-genomic era and has made significant progress through the integration of multiple biological modalities. However, the main challenges in this field, such as incomplete modality information and suboptimal fusion strategies, continue to hinder predictive performance. To address these limitations, we propose ProMIAF, a novel framework that combines Missing modality Imputation with Adaptive multimodal Fusion for robust Protein function prediction. Specifically, ProMIAF employs advanced protein generation techniques to effectively recover missing structural and textual modalities, mitigating the impact of incomplete data. Modality-specific encoders are then used to extract intrinsic features of different modalities, producing enriched protein representations. These features are integrated via a gated attention mechanism that dynamically reweights modality contributions, enabling effective fusion of diverse biological evidences. Additionally, ProMIAF incorporates a network propagation module to exploit topological structures from sequence homology and protein-protein interaction networks, further enhancing predictive accuracy. Experimental results demonstrate that ProMIAF outperforms state-of-the-art methods in predicting novel functional annotations. On the biological process branch, ProMIAF achieves improvements of approximately 8.21%, 8.90% and 2.61% over ProtGO in terms ofAUPR, Sm and F ax, respectively. Even in the absence of structural and textual modalities, ProMIAF can effectively leverage cross-modal complementarity to improve the robustness and accuracy of protein function prediction.</t>
  </si>
  <si>
    <t>Zhao, Yingwen; Zhan, Tianming; Zheng, Chao; Yu, Xiaobing</t>
  </si>
  <si>
    <t>Zhao, YW (corresponding author), Nanjing Audit Univ, Sch Comp Sci, Nanjing 211815, Peoples R China.</t>
  </si>
  <si>
    <t>ywzhao@nau.edu.cn</t>
  </si>
  <si>
    <t>General Program of Natural Science Research of Jiangsu Higher Education Institutions of China [25KJB520022]; National Natural Science Foundation of China [62375133]; Key Projects of University Natural Science Fund of Jiangsu Province [23KJA520009]</t>
  </si>
  <si>
    <t>General Program of Natural Science Research of Jiangsu Higher Education Institutions of China; National Natural Science Foundation of China (National Natural Science Foundation of China (NSFC)); Key Projects of University Natural Science Fund of Jiangsu Province</t>
  </si>
  <si>
    <t>This work was supported by grants from the General Program of Natural Science Research of Jiangsu Higher Education Institutions of China under Grant (25KJB520022), the National Natural Science Foundation of China under Grant (62375133) and the Key Projects of University Natural Science Fund of Jiangsu Province under Grant (23KJA520009).</t>
  </si>
  <si>
    <t>[Zhao, Yingwen; Zhan, Tianming; Zheng, Chao; Yu, Xiaobing] Nanjing Audit Univ, Sch Comp Sci, Nanjing 211815, Peoples R China</t>
  </si>
  <si>
    <t>Nanjing Audit University</t>
  </si>
  <si>
    <t>Enhancing robustness in protein function prediction via missing modality imputation and adaptive multimodal fusion</t>
  </si>
  <si>
    <t>COMPUTATIONAL BIOLOGY AND CHEMISTRY</t>
  </si>
  <si>
    <t>Protein function prediction; Missing modality imputation; Gated attention mechanism; Network propagation</t>
  </si>
  <si>
    <t>NETWORK; SCALE</t>
  </si>
  <si>
    <t>1476-9271</t>
  </si>
  <si>
    <t>1476-928X</t>
  </si>
  <si>
    <t>COMPUT BIOL CHEM</t>
  </si>
  <si>
    <t>Comput. Biol. Chem.</t>
  </si>
  <si>
    <t>OCT 2026</t>
  </si>
  <si>
    <t>124</t>
  </si>
  <si>
    <t>109224</t>
  </si>
  <si>
    <t>10.1016/j.compbiolchem.2026.109224</t>
  </si>
  <si>
    <t>http://dx.doi.org/10.1016/j.compbiolchem.2026.109224</t>
  </si>
  <si>
    <t>JUL 2026</t>
  </si>
  <si>
    <t>Biology; Computer Science, Interdisciplinary Applications</t>
  </si>
  <si>
    <t>Life Sciences &amp; Biomedicine - Other Topics; Computer Science</t>
  </si>
  <si>
    <t>LB8TU</t>
  </si>
  <si>
    <t>42413330</t>
  </si>
  <si>
    <t>WOS:001820901100001</t>
  </si>
  <si>
    <t>Liu, JH; Capurro, D; Nguyen, A; Verspoor, K</t>
  </si>
  <si>
    <t>Objective: With the increasing amount and growing variety of healthcare data, multimodal machine learning supporting integrated modeling of structured and unstructured data is an increasingly important tool for clinical machine learning tasks. However, it is non-trivial to manage the differences in dimensionality, volume, and temporal characteristics of data modalities in the context of a shared target task. Furthermore, patients can have substantial variations in the availability of data, while existing multimodal modeling methods typically assume data completeness and lack a mechanism to handle missing modalities. Methods: We propose a Transformer-based fusion model with modality-specific tokens that summarize the corresponding modalities to achieve effective cross-modal interaction accommodating missing modalities in the clinical context. The model is further refined by inter-modal, inter-sample contrastive learning to improve the representations for better predictive performance. We denote the model as Attention-based cRoss-MOdal fUsion with contRast (ARMOUR). We evaluate ARMOUR using two input modalities (structured measurements and unstructured text), six clinical prediction tasks, and two evaluation regimes, either including or excluding samples with missing modalities. Results: Our model shows improved performances over unimodal or multimodal baselines in both evaluation regimes, including or excluding patients with missing modalities in the input. The contrastive learning improves the representation power and is shown to be essential for better results. The simple setup of modality-specific tokens enables ARMOUR to handle patients with missing modalities and allows comparison with existing unimodal benchmark results. Conclusion: We propose a multimodal model for robust clinical prediction to achieve improved performance while accommodating patients with missing modalities. This work could inspire future research to study the effective incorporation of multiple, more complex modalities of clinical data into a single model.</t>
  </si>
  <si>
    <t>Liu, Jinghui; Capurro, Daniel; Nguyen, Anthony; Verspoor, Karin</t>
  </si>
  <si>
    <t>Verspoor, K (corresponding author), RMIT Univ, Sch Comp Technol, Melbourne, Vic, Australia.</t>
  </si>
  <si>
    <t>karin.verspoor@rmit.edu.au</t>
  </si>
  <si>
    <t>Melbourne Research Scholarship; Australian National Health and Medical Research Council for the Centre of Research Excellence in Digital Health (CREDiH) [1134919]; CSIRO Postgraduate Scholarship; LIEF HPC-GPGPU Facility hosted at the University of Melbourne; LIEF Grant [LE170100200]</t>
  </si>
  <si>
    <t>Melbourne Research Scholarship; Australian National Health and Medical Research Council for the Centre of Research Excellence in Digital Health (CREDiH) (National Health &amp; Medical Research Council (NHMRC) of Australia); CSIRO Postgraduate Scholarship (Commonwealth Scientific &amp; Industrial Research Organisation (CSIRO), CSIRO Data61); LIEF HPC-GPGPU Facility hosted at the University of Melbourne; LIEF Grant</t>
  </si>
  <si>
    <t>We would like to thank our anonymous reviewers for their thoughtful and constructive comments. J.L.'s work is supported by the Melbourne Research Scholarship, grant 1134919 from the Australian National Health and Medical Research Council for the Centre of Research Excellence in Digital Health (CREDiH) to K.V., and a CSIRO Postgraduate Scholarship. This research was undertaken using the LIEF HPC-GPGPU Facility hosted at the University of Melbourne. This Facility was established with the assistance of LIEF Grant LE170100200.</t>
  </si>
  <si>
    <t>[Liu, Jinghui; Nguyen, Anthony] CSIRO, Australian EHlth Res Ctr, Herston, Qld, Australia; [Liu, Jinghui; Capurro, Daniel; Verspoor, Karin] Univ Melbourne, Sch Comp &amp; Informat Syst, Melbourne, Vic, Australia; [Capurro, Daniel] Univ Melbourne, Ctr Digital Transformat Hlth, Melbourne, Vic, Australia; [Verspoor, Karin] RMIT Univ, Sch Comp Technol, Melbourne, Vic, Australia</t>
  </si>
  <si>
    <t>Commonwealth Scientific &amp; Industrial Research Organisation (CSIRO); Australian e-Health Research Centre; University of Melbourne; University of Melbourne; Royal Melbourne Institute of Technology (RMIT)</t>
  </si>
  <si>
    <t>Attention-based multimodal fusion with contrast for robust clinical prediction in the face of missing modalities</t>
  </si>
  <si>
    <t>JOURNAL OF BIOMEDICAL INFORMATICS</t>
  </si>
  <si>
    <t>Multimodal modeling; Clinical prediction; Missing modality; Natural language processing; Machine learning</t>
  </si>
  <si>
    <t>RISK PREDICTION</t>
  </si>
  <si>
    <t>Verspoor, Karin/G-6034-2016; Capurro, Daniel/AAP-3643-2020; Nguyen, Anthony/B-5913-2009; Liu, Jinghui/ISV-3620-2023</t>
  </si>
  <si>
    <t>Verspoor, Karin/0000-0002-8661-1544; Capurro, Daniel/0000-0002-9256-1256; Nguyen, Anthony/0000-0002-6215-6954; Liu, Jinghui/0000-0002-7945-4165</t>
  </si>
  <si>
    <t>99</t>
  </si>
  <si>
    <t>46</t>
  </si>
  <si>
    <t>38</t>
  </si>
  <si>
    <t>ACADEMIC PRESS INC ELSEVIER SCIENCE</t>
  </si>
  <si>
    <t>SAN DIEGO</t>
  </si>
  <si>
    <t>525 B ST, STE 1900, SAN DIEGO, CA 92101-4495 USA</t>
  </si>
  <si>
    <t>1532-0464</t>
  </si>
  <si>
    <t>1532-0480</t>
  </si>
  <si>
    <t>J BIOMED INFORM</t>
  </si>
  <si>
    <t>J. Biomed. Inform.</t>
  </si>
  <si>
    <t>SEP 2023</t>
  </si>
  <si>
    <t>145</t>
  </si>
  <si>
    <t>104466</t>
  </si>
  <si>
    <t>10.1016/j.jbi.2023.104466</t>
  </si>
  <si>
    <t>http://dx.doi.org/10.1016/j.jbi.2023.104466</t>
  </si>
  <si>
    <t>AUG 2023</t>
  </si>
  <si>
    <t>Computer Science, Interdisciplinary Applications; Medical Informatics</t>
  </si>
  <si>
    <t>Computer Science; Medical Informatics</t>
  </si>
  <si>
    <t>R5SW7</t>
  </si>
  <si>
    <t>37549722</t>
  </si>
  <si>
    <t>WOS:001064959900001</t>
  </si>
  <si>
    <t>hybrid; Green Submitted</t>
  </si>
  <si>
    <t>Flack, D; Tripathi, A; Waqas, A; Rasool, G; Dera, D</t>
  </si>
  <si>
    <t>Objectives: Multimodal deep learning models have the potential to significantly improve survival predictions and treatment planning for cancer patients. These models integrate diverse data modalities using early, intermediate, or late fusion techniques. However, many existing multimodal models either underperform or show only marginal improvements over unimodal models. To establish the true efficacy of multimodal survival prediction models, it is critical to demonstrate consistent and substantial advantages over unimodal counterparts.Methods: In this paper, we introduce the Robust Multimodal Survival Model (RMSurv), a novel discrete late fusion model that leverages synthetic data generation to compute time-dependent weights for various modalities. RMSurv utilizes up to 6 distinct data modalities from The Cancer Genome Atlas Program (TCGA) non-small cell lung cancer and the TCGA pan-cancer datasets to predict overall survival over a period of 10 years. The key innovations of RMSurv are the calculation of time-dependent late fusion weights using a synthetically generated dataset and a new statistical feature normalization technique to enhance the interpretability and accuracy of discrete survival predictions. We evaluate the performance of the proposed method and several alternatives with cross validation using the concordance index, and vary the number of modalities included. We also create a late fusion simulation to highlight the complex relationships of multimodal fusion.Results: In our experiments, RMSurv outperforms the best unimodal model's Concordance index (C-Index) by 0.0273 on the 6-modal TCGA Lung Adenocarcinoma (LUAD) dataset. Existing late and early fusion methods improved the C-index by only 0.0143 and 0.0072, respectively. RMSurv also performs best on the combined TCGA non-small-cell lung cancer dataset and the TCGA pan-cancer dataset.Conclusions: These advancements underscore RMSurv's potential as a powerful approach for survival prediction, establishing robust multimodal benefits, and setting a new benchmark for survival prediction models in pan-cancer settings.</t>
  </si>
  <si>
    <t>Flack, Dominic; Tripathi, Aakash; Waqas, Asim; Rasool, Ghulam; Dera, Dimah</t>
  </si>
  <si>
    <t>Flack, D (corresponding author), Rochester Inst Technol, Chester F Carlson Ctr Imaging Sci, 54 Lomb Mem Dr, Rochester, NY 14623 USA.</t>
  </si>
  <si>
    <t>daf6674@rit.edu</t>
  </si>
  <si>
    <t>National Science Foundation [CRII-2401828]; National Science Foundation</t>
  </si>
  <si>
    <t>National Science Foundation (National Science Foundation (NSF)); National Science Foundation (National Science Foundation (NSF))</t>
  </si>
  <si>
    <t>The authors disclosed receipt of the following financial support for the research, authorship, and/or publication of this article: The author, Dimah Dera, received support from the National Science Foundation, Award number CRII-2401828.</t>
  </si>
  <si>
    <t>[Flack, Dominic; Dera, Dimah] Rochester Inst Technol, Chester F Carlson Ctr Imaging Sci, 54 Lomb Mem Dr, Rochester, NY 14623 USA; [Tripathi, Aakash; Waqas, Asim; Rasool, Ghulam] H Lee Moffitt Canc Ctr &amp; Res Inst, Dept Machine Learning, Tampa, FL USA</t>
  </si>
  <si>
    <t>Rochester Institute of Technology; H Lee Moffitt Cancer Center &amp; Research Institute</t>
  </si>
  <si>
    <t>Robust Multimodal Fusion for Survival Prediction in Cancer Patients</t>
  </si>
  <si>
    <t>CANCER INFORMATICS</t>
  </si>
  <si>
    <t>multimodal; cancer; survival prediction; fusion</t>
  </si>
  <si>
    <t>Dera, Dimah/Y-6073-2019; Waqas, Asim/KEH-8791-2024; Tripathi, Aakash/PQW-2571-2026; Rasool, Ghulam/T-7960-2019</t>
  </si>
  <si>
    <t>Dera, Dimah/0000-0002-7168-5858; Waqas, Asim/0000-0002-6834-4710; Flack, Dominic/0009-0006-4083-5709</t>
  </si>
  <si>
    <t>27</t>
  </si>
  <si>
    <t>SAGE PUBLICATIONS LTD</t>
  </si>
  <si>
    <t>1 OLIVERS YARD, 55 CITY ROAD, LONDON EC1Y 1SP, ENGLAND</t>
  </si>
  <si>
    <t>1176-9351</t>
  </si>
  <si>
    <t>CANCER INFORM</t>
  </si>
  <si>
    <t>Cancer Inform.</t>
  </si>
  <si>
    <t>11769351251376192</t>
  </si>
  <si>
    <t>10.1177/11769351251376192</t>
  </si>
  <si>
    <t>http://dx.doi.org/10.1177/11769351251376192</t>
  </si>
  <si>
    <t>23</t>
  </si>
  <si>
    <t>Oncology; Mathematical &amp; Computational Biology</t>
  </si>
  <si>
    <t>7XN4A</t>
  </si>
  <si>
    <t>41024938</t>
  </si>
  <si>
    <t>WOS:001582012200001</t>
  </si>
  <si>
    <t>Choi, SH; Lee, JM</t>
  </si>
  <si>
    <t>Multimodal learning, which integrates data from diverse modalities such as images, text, and acoustic signals, has gained increasing importance for its ability to extract richer information from various sources. In chemical process systems, where complex phenomena such as reactions and heat flows involve data across multiple modalities, effectively leveraging this diverse information is crucial for accurate system interpretation and decision-making. Despite its potential, existing multimodal approaches have largely been developed for vision and natural language processing domains, with limited attention to the unique challenges in chemical processes, particularly the common issue of missing modalities in real-world data. To address this, we propose a novel Multimodal learning framework with Missing modality for Chemical processes (MMC). Our framework handles image and tabular data using patch projection and LSTM layers for embedding, while a multimodal transformer identifies interactions across modalities. We incorporate prompt learning to mitigate the missing modality problem by fine-tuning the model with missing-aware prompts. Through extensive experiments on a plug flow reactor system for fault diagnosis, we demonstrate the robustness and improved performance of MMC, especially in scenarios with missing data. An ablation study further investigates the effectiveness of the model architecture and prompt design.</t>
  </si>
  <si>
    <t>Choi, Suk Hoon; Lee, Jong Min</t>
  </si>
  <si>
    <t>Lee, JM (corresponding author), Seoul Natl Univ, Inst Chem Proc, Sch Chem &amp; Biol Engn, Seoul 08826, South Korea.</t>
  </si>
  <si>
    <t>moskvachoi@snu.ac.kr; jongmin@snu.ac.kr</t>
  </si>
  <si>
    <t>National Research Foundation of Korea (NRF) - Korea government (MSIT) [RS-2024-00333237]</t>
  </si>
  <si>
    <t>National Research Foundation of Korea (NRF) - Korea government (MSIT) (National Research Foundation of Korea, Ministry of Science &amp; ICT (MMSTI))</t>
  </si>
  <si>
    <t>This work was supported by the National Research Foundation of Korea (NRF) grant funded by the Korea government (MSIT) (RS-2024-00333237) . The Institute of Engineering Research at Seoul National University provided research facilities for this work.</t>
  </si>
  <si>
    <t>[Choi, Suk Hoon; Lee, Jong Min] Seoul Natl Univ, Inst Chem Proc, Sch Chem &amp; Biol Engn, Seoul 08826, South Korea</t>
  </si>
  <si>
    <t>Seoul National University (SNU)</t>
  </si>
  <si>
    <t>Multimodal learning with missing modality for chemical process system</t>
  </si>
  <si>
    <t>COMPUTERS &amp; CHEMICAL ENGINEERING</t>
  </si>
  <si>
    <t>Multimodal learning; Missing modality; Prompt learning; Chemical process system; Fault diagnosis</t>
  </si>
  <si>
    <t>Lee, Jong Min/A-3198-2011</t>
  </si>
  <si>
    <t>Lee, Jong Min/0000-0001-5395-0067</t>
  </si>
  <si>
    <t>56</t>
  </si>
  <si>
    <t>0098-1354</t>
  </si>
  <si>
    <t>1873-4375</t>
  </si>
  <si>
    <t>COMPUT CHEM ENG</t>
  </si>
  <si>
    <t>Comput. Chem. Eng.</t>
  </si>
  <si>
    <t>OCT 2025</t>
  </si>
  <si>
    <t>201</t>
  </si>
  <si>
    <t>109196</t>
  </si>
  <si>
    <t>10.1016/j.compchemeng.2025.109196</t>
  </si>
  <si>
    <t>http://dx.doi.org/10.1016/j.compchemeng.2025.109196</t>
  </si>
  <si>
    <t>Computer Science, Interdisciplinary Applications; Engineering, Chemical</t>
  </si>
  <si>
    <t>3WA8X</t>
  </si>
  <si>
    <t>WOS:001510366700001</t>
  </si>
  <si>
    <t>Lan, Y; Long, X; Zeng, YY; Chen, HL; Xiao, Y; Yang, JA</t>
  </si>
  <si>
    <t>Multimodal learning aims to integrate heterogeneous information from multiple modalities to improve downstream prediction. Despite their empirical success, most existing fusion methods rely on correlation-based feature aggregation, making them vulnerable to latent confounders such as environmental conditions, subject-specific traits, and sensor noise. These confounders can simultaneously affect multimodal features and the target, inducing spurious correlations and limiting generalization under distribution shifts. In this study, we propose a general Backdoor-Adjusted Multimodal Fusion framework that formulates multimodal feature fusion from a causal inference perspective. We model multimodal observations using a structural causal model in which unobserved confounders influence both input modalities and target outcomes. To approximate the desired interventional distribution without explicitly identifying these confounders, we introduce a perturbation-based implicit backdoor adjustment mechanism. By injecting learnable stochastic perturbations into modality representations, the framework approximates expectations over latent confounding factors. We further develop a causal mixture-of-experts fusion module that decomposes fusion into expert-specific conditional mappings and adaptively aggregates them through a gating network, enabling robust causal integration under heterogeneous confounding effects. The framework is trained using a multi-path objective that jointly enforces discriminative learning, causal consistency under interventions, and perturbation regularization. Extensive experiments on representative multimodal tasks, including action recognition and sentiment analysis, demonstrate that our method consistently outperforms state-of-the-art fusion approaches, validating its effectiveness and generalizability across diverse modalities and downstream tasks.</t>
  </si>
  <si>
    <t>Lan, Yang; Long, Xin; Zeng, Yaoyuan; Chen, Huiling; Xiao, Yu; Yang, Jungang</t>
  </si>
  <si>
    <t>Long, X (corresponding author), Natl Univ Def Technol, Coll Elect Sci &amp; Technol, Changsha 410073, Hunan, Peoples R China.</t>
  </si>
  <si>
    <t>yyzeng@nudt.edu.cn; longxin14@nudt.edu.cn; lan_yang@nudt.edu.cn; xiaoyu23@bnu.edu.cn; yangjungang@nudt.edu.cn; chl@nudt.edu.cn</t>
  </si>
  <si>
    <t>[Lan, Yang; Long, Xin; Zeng, Yaoyuan; Chen, Huiling; Yang, Jungang] Natl Univ Def Technol, Coll Elect Sci &amp; Technol, Changsha 410073, Hunan, Peoples R China; [Xiao, Yu] Beijing Normal Univ, Dept Syst Sci, Zhuhai 519087, Guangdong, Peoples R China</t>
  </si>
  <si>
    <t>National University of Defense Technology - China; Beijing Normal University</t>
  </si>
  <si>
    <t>Causal mixture-of-experts for robust multimodal fusion</t>
  </si>
  <si>
    <t>Multimodal learning; Feature fusion; Latent confounders; Backdoor adjustment; Causal mixture-of-experts</t>
  </si>
  <si>
    <t>48</t>
  </si>
  <si>
    <t>DEC 2026</t>
  </si>
  <si>
    <t>180</t>
  </si>
  <si>
    <t>D</t>
  </si>
  <si>
    <t>114306</t>
  </si>
  <si>
    <t>10.1016/j.patcog.2026.114306</t>
  </si>
  <si>
    <t>http://dx.doi.org/10.1016/j.patcog.2026.114306</t>
  </si>
  <si>
    <t>KZ4ZU</t>
  </si>
  <si>
    <t>WOS:001819291100001</t>
  </si>
  <si>
    <t>Lyu, J; Chen, XD; Hossain, MS; Al-Hazzaa, SAF; Wang, CY</t>
  </si>
  <si>
    <t>Personalized healthcare increasingly relies on AI-driven multimodal fusion to enhance diagnostic precision and treatment planning. However, long MRI acquisition times, imaging artifacts, and missing modalities often lead to incomplete critical imaging information, limiting the application of multimodal MRI in personalized diagnostics. To address this challenge, we propose Dual-Scale Multimodal Fusion Network (Dual-MFNet), a novel AI-driven approach to personalized MRI synthesis for reconstructing missing modalities with high anatomical fidelity. Our method leverages state-space models to capture long-range contextual dependencies while preserving local structural integrity, ensuring accurate cross-modal synthesis. The Dual-Scale Feature Fuser (Dual-Fuser) balances global coherence with fine-grained detail preservation, while the Twin-Stream Fusion module (TSF) dynamically enhances critical cross-modal information. In addition, the Feature Aggregation (FA) module consolidates multimodal input into a cohesive representation, producing high-fidelity synthesized MRI customized to individual patient needs. To assess clinical relevance, we conducted extensive quantitative evaluations and a radiological reader study with five experienced radiologists. The results demonstrate that Dual-MFNet outperforms state-of-the-art methods, particularly in preserving tumor boundaries, fine tissue textures, and anatomical clarity, making it a valuable tool to advance personalized MRI-based diagnostics.</t>
  </si>
  <si>
    <t>Lyu, Jun; Chen, Xiudong; Hossain, M. Shamim; Al-Hazzaa, Selwa A. F.; Wang, Chengyan</t>
  </si>
  <si>
    <t>Wang, CY (corresponding author), Fudan Univ, Shanghai Pudong Hosp, Shanghai 200433, Peoples R China.; Wang, CY (corresponding author), Fudan Univ, Human Phenome Inst, Shanghai 200433, Peoples R China.; Hossain, MS (corresponding author), King Saud Univ, Coll Comp &amp; Informat Sci, Res Chair Pervas &amp; Mobile Comp, Dept Software Engn, Riyadh 12372, Saudi Arabia.</t>
  </si>
  <si>
    <t>ljdream0710@pku.edu.cn; wangcy@fudan.edu.cn; chenxiudong@s.ytu.edu.cn; mshossain@ksu.edu.sa; salhazzaa@kacst.gov.sa</t>
  </si>
  <si>
    <t>National Natural Science Foundation of China [62371413]; Yantai Basic Research Key Project [2023JCYJ041]; Youth Innovation Science and Technology Support Program of Shandong Provincial [2023KJ239]; Youth Program of Natural Science Foundation of Shandong Province [ZR2024QF001]; Shanghai Municipal Science and Technology [2023SHZDZX02A05]; Shanghai Rising-Star [24QA2703300]; CFFF Platform through Fudan University; Ongoing Research Funding Program-Research Chairs [ORF-RC-2025-0700]; King Saud University, Riyadh, Saudi Arabia</t>
  </si>
  <si>
    <t>National Natural Science Foundation of China (National Natural Science Foundation of China (NSFC)); Yantai Basic Research Key Project; Youth Innovation Science and Technology Support Program of Shandong Provincial; Youth Program of Natural Science Foundation of Shandong Province; Shanghai Municipal Science and Technology; Shanghai Rising-Star; CFFF Platform through Fudan University; Ongoing Research Funding Program-Research Chairs; King Saud University, Riyadh, Saudi Arabia (King Saud University)</t>
  </si>
  <si>
    <t>This work was supported in part by the National Natural Science Foundation of China under Grant 62371413, in part by Yantai Basic Research Key Project under Grant 2023JCYJ041, in part by the Youth Innovation Science and Technology Support Program of Shandong Provincial under Grant 2023KJ239, in part by the Youth Program of Natural Science Foundation of Shandong Province under Grant ZR2024QF001, in part by Shanghai Municipal Science and Technology under Project 2023SHZDZX02A05, in part by the Shanghai Rising-Star under Program 24QA2703300, in part by CFFF Platform through Fudan University, in part by Ongoing Research Funding Program-Research Chairs under Grant ORF-RC-2025-0700, and in part by King Saud University, Riyadh, Saudi Arabia.</t>
  </si>
  <si>
    <t>[Lyu, Jun; Wang, Chengyan] Fudan Univ, Shanghai Pudong Hosp, Shanghai 200433, Peoples R China; [Lyu, Jun; Wang, Chengyan] Fudan Univ, Human Phenome Inst, Shanghai 200433, Peoples R China; [Chen, Xiudong] Yantai Univ, Sch Comp &amp; Control Engn, Yantai 264005, Peoples R China; [Hossain, M. Shamim] King Saud Univ, Coll Comp &amp; Informat Sci, Res Chair Pervas &amp; Mobile Comp, Dept Software Engn, Riyadh 12372, Saudi Arabia; [Al-Hazzaa, Selwa A. F.] King Abdulaziz City Sci &amp; Technol, Riyadh 11442, Saudi Arabia</t>
  </si>
  <si>
    <t>Fudan University; Fudan University; Yantai University; King Saud University; King Abdulaziz City for Science &amp; Technology</t>
  </si>
  <si>
    <t>Dual-MFNet: AI-Driven Dual-Scale Multimodal Fusion With State Space Networks for Personalized MRI Synthesis</t>
  </si>
  <si>
    <t>Biomedical imaging; Magnetic resonance imaging; Image synthesis; Transformers; Training; Context modeling; Accuracy; Diffusion models; Visualization; State-space methods; Multimodal synthesis; magnetic resonance imaging; AI-driven models; state-space model; dual fuser; twin-stream fusion; feature aggregation</t>
  </si>
  <si>
    <t>Hossain, M. Shamim/K-1362-2014</t>
  </si>
  <si>
    <t>Hossain, M. Shamim/0000-0001-5906-9422</t>
  </si>
  <si>
    <t>42</t>
  </si>
  <si>
    <t>732</t>
  </si>
  <si>
    <t>745</t>
  </si>
  <si>
    <t>10.1109/JBHI.2025.3601059</t>
  </si>
  <si>
    <t>http://dx.doi.org/10.1109/JBHI.2025.3601059</t>
  </si>
  <si>
    <t>AX7KN</t>
  </si>
  <si>
    <t>40844950</t>
  </si>
  <si>
    <t>WOS:001659263300007</t>
  </si>
  <si>
    <t>Eftekhari, N; Verma, S; Saha, A; Zampieri, G; Sawan, S; Occhipinti, A; Angione, C</t>
  </si>
  <si>
    <t>Integrating genotype (e.g., transcriptomics), phenotype (e.g., imaging), and tumor microenvironment (e.g., metabolomics) is crucial to elucidating the molecular basis of ovarian cancer. However, there is a lack of robust multimodal integration methods when only a limited number of common samples is available. Here, we generate patient-specific metabolic models starting from transcriptomics data and integrate them with imaging data. We show that this multimodal integration-never attempted before-improves survival estimation and enables a mechanistic interpretation of the predictions. We assess the robustness of our approach with different combinations of transcriptomics, fluxomics, and 3D computerized tomography (CT) imaging data, correctly stratifying patients based on risk. Fusing metabolic modeling with imaging and transcriptomics significantly improves model accuracy compared with widely used transcriptomics-imaging approaches and elucidates critical metabolic reactions. Our approach is general and can be applied to other cancer types where coupled imaging-transcriptomics data are available. A record of this paper's transparent peer review process is included in the supplemental information.</t>
  </si>
  <si>
    <t>Eftekhari, Noushin; Verma, Suraj; Saha, Aninda; Zampieri, Guido; Sawan, Saladin; Occhipinti, Annalisa; Angione, Claudio</t>
  </si>
  <si>
    <t>Angione, C (corresponding author), Teesside Univ, Sch Comp Engn &amp; Digital Technol, Middlesbrough, England.; Angione, C (corresponding author), Teesside Univ, Ctr Digital Innovat, Middlesbrough, England.; Angione, C (corresponding author), Natl Horizons Ctr, Darlington, England.</t>
  </si>
  <si>
    <t>c.angione@tees.ac.uk</t>
  </si>
  <si>
    <t>EPSRC [EP/Y001613/1]; British Society of Breast Radiologists; BBSRC [BB/Y01278X/1]; Horizon Europe [101182278]</t>
  </si>
  <si>
    <t>EPSRC (UK Research &amp; Innovation (UKRI), Engineering &amp; Physical Sciences Research Council (EPSRC)); British Society of Breast Radiologists; BBSRC (UK Research &amp; Innovation (UKRI), Biotechnology and Biological Sciences Research Council (BBSRC)); Horizon Europe</t>
  </si>
  <si>
    <t>A.O. would like to acknowledge funding from EPSRC, grant EP/Y001613/1. A.O. and C.A. acknowledge the British Society of Breast Radiologists for a research award. C.A. would like to acknowledge funding from BBSRC, grant BB/Y01278X/1, and Horizon Europe, grant 101182278. We are grateful to Kaveh Shahhosseini and Le Minh Thao Doan for early discussions on implementations.</t>
  </si>
  <si>
    <t>[Eftekhari, Noushin] Alan Turing Inst, London, England; [Eftekhari, Noushin; Verma, Suraj; Occhipinti, Annalisa; Angione, Claudio] Teesside Univ, Sch Comp Engn &amp; Digital Technol, Middlesbrough, England; [Saha, Aninda] North Tees &amp; Hartlepool NHS Fdn Trust, Dept Radiol, Stockton On Tees, England; [Zampieri, Guido] Univ Padua, Dept Biol, Padua, Italy; [Sawan, Saladin] Univ Manchester, Sch Biol Sci, Manchester, England; [Occhipinti, Annalisa; Angione, Claudio] Teesside Univ, Ctr Digital Innovat, Middlesbrough, England; [Occhipinti, Annalisa; Angione, Claudio] Natl Horizons Ctr, Darlington, England</t>
  </si>
  <si>
    <t>Alan Turing Institute; University of Teesside; University of Padua; University of Manchester; University of Teesside</t>
  </si>
  <si>
    <t>Fusing imaging and metabolic modeling via multimodal deep learning in ovarian cancer</t>
  </si>
  <si>
    <t>CELL SYSTEMS</t>
  </si>
  <si>
    <t>EXTRACELLULAR-MATRIX; DATA INTEGRATION; NEURAL-NETWORKS; SURVIVAL; REPRESENTATION; EXPRESSION; GENE</t>
  </si>
  <si>
    <t>Verma, Suraj/JPA-2789-2023; Zampieri, Guido/HJH-7472-2023; Sawan, Saladin/KHT-5903-2024</t>
  </si>
  <si>
    <t>138</t>
  </si>
  <si>
    <t>CELL PRESS</t>
  </si>
  <si>
    <t>CAMBRIDGE</t>
  </si>
  <si>
    <t>50 HAMPSHIRE ST, FLOOR 5, CAMBRIDGE, MA 02139 USA</t>
  </si>
  <si>
    <t>2405-4712</t>
  </si>
  <si>
    <t>2405-4720</t>
  </si>
  <si>
    <t>CELL SYST</t>
  </si>
  <si>
    <t>Cell Syst.</t>
  </si>
  <si>
    <t>JUN 17 2026</t>
  </si>
  <si>
    <t>101594</t>
  </si>
  <si>
    <t>10.1016/j.cels.2026.101594</t>
  </si>
  <si>
    <t>http://dx.doi.org/10.1016/j.cels.2026.101594</t>
  </si>
  <si>
    <t>Biochemistry &amp; Molecular Biology; Cell Biology</t>
  </si>
  <si>
    <t>KE3JF</t>
  </si>
  <si>
    <t>42025163</t>
  </si>
  <si>
    <t>WOS:001804930000001</t>
  </si>
  <si>
    <t>Kontras, K; Chatzichristos, C; Phan, H; Suykens, J; De Vos, M</t>
  </si>
  <si>
    <t>Sleep abnormalities can have severe health consequences. Automated sleep staging, i.e. labelling the sequence of sleep stages from the patient's physiological recordings, could simplify the diagnostic process. Previous work on automated sleep staging has achieved great results, mainly relying on the EEG signal. However, often multiple sources of information are available beyond EEG. This can be particularly beneficial when the EEG recordings are noisy or even missing completely. In this paper, we propose CoRe-Sleep, a Coordinated Representation multimodal fusion network that is particularly focused on improving the robustness of signal analysis on imperfect data. We demonstrate how appropriately handling multimodal information can be the key to achieving such robustness. CoRe-Sleep tolerates noisy or missing modalities segments, allowing training on incomplete data. Additionally, it shows state-of-the-art performance when testing on both multimodal and unimodal data using a single model on SHHS-1, the largest publicly available study that includes sleep stage labels. The results indicate that training the model on multimodal data does positively influence performance when tested on unimodal data. This work aims at bridging the gap between automated analysis tools and their clinical utility.</t>
  </si>
  <si>
    <t>Kontras, Konstantinos; Chatzichristos, Christos; Phan, Huy; Suykens, Johan; De Vos, Maarten</t>
  </si>
  <si>
    <t>Kontras, K (corresponding author), Katholieke Univ Leuven, Dept Elect Engn ESAT Stadius, B-3001 Leuven, Belgium.</t>
  </si>
  <si>
    <t>konstantinos.kontras@kuleuven.be</t>
  </si>
  <si>
    <t>HORIZON-HLTH-2022-STAYHLTH: 'AI-based Parkinson's disease risk assessment and prognosis (AI-PROGNOSIS)'</t>
  </si>
  <si>
    <t>[Kontras, Konstantinos; Chatzichristos, Christos; Suykens, Johan; De Vos, Maarten] Katholieke Univ Leuven, Dept Elect Engn ESAT Stadius, B-3001 Leuven, Belgium; [Phan, Huy] Queen Mary Univ London, Sch Elect Engn &amp; Comp Sci, London E1 4NS, England; [Phan, Huy] Alan Turing Inst, London NW1 2DB, England; [Phan, Huy] Amazon Alexa, Cambridge, MA 02139 USA; [De Vos, Maarten] Katholieke Univ Leuven, Dept Dev &amp; Regenerat, B-3001 Leuven, Belgium</t>
  </si>
  <si>
    <t>KU Leuven; University of London; Queen Mary University London; Alan Turing Institute; KU Leuven</t>
  </si>
  <si>
    <t>CoRe-Sleep: A Multimodal Fusion Framework for Time Series Robust to Imperfect Modalities</t>
  </si>
  <si>
    <t>IEEE TRANSACTIONS ON NEURAL SYSTEMS AND REHABILITATION ENGINEERING</t>
  </si>
  <si>
    <t>Sleep staging; multimodal fusion; imperfect modalities; incomplete data</t>
  </si>
  <si>
    <t>CLASSIFICATION; CHANNEL</t>
  </si>
  <si>
    <t>De Vos, Maarten/Q-4650-2018; Suykens, Johan/C-9781-2014; Chatzichristos, Christos/JWP-8466-2024</t>
  </si>
  <si>
    <t>Kontras, Konstantinos/0009-0004-4101-0720; De Vos, Maarten/0000-0002-3482-5145; Suykens, Johan/0000-0002-8846-6352</t>
  </si>
  <si>
    <t>66</t>
  </si>
  <si>
    <t>1534-4320</t>
  </si>
  <si>
    <t>1558-0210</t>
  </si>
  <si>
    <t>IEEE T NEUR SYS REH</t>
  </si>
  <si>
    <t>IEEE Trans. Neural Syst. Rehabil. Eng.</t>
  </si>
  <si>
    <t>840</t>
  </si>
  <si>
    <t>849</t>
  </si>
  <si>
    <t>10.1109/TNSRE.2024.3354388</t>
  </si>
  <si>
    <t>http://dx.doi.org/10.1109/TNSRE.2024.3354388</t>
  </si>
  <si>
    <t>Engineering, Biomedical; Rehabilitation</t>
  </si>
  <si>
    <t>Engineering; Rehabilitation</t>
  </si>
  <si>
    <t>JZ8L4</t>
  </si>
  <si>
    <t>38224506</t>
  </si>
  <si>
    <t>WOS:001177070200004</t>
  </si>
  <si>
    <t>gold; Green Accepted; Green Submitted</t>
  </si>
  <si>
    <t>Turki, A; Alshabrawy, O; Woo, WL</t>
  </si>
  <si>
    <t>Head and neck squamous cell carcinoma (HNSCC) is a prevalent and aggressive cancer, and accurate staging using the AJCC system is essential for treatment planning. This study aims to enhance AJCC staging by integrating both clinical and imaging data using a multimodal deep learning pipeline. We propose a framework that employs a VGG16-based masked autoencoder (MAE) for self-supervised visual feature learning, enhanced by attention mechanisms (CBAM and BAM), and fuses image and clinical features using an attention-weighted fusion network. The models, benchmarked on the HNSCC and HN1 datasets, achieved approximately 80% accuracy (four classes) and similar to 66% accuracy (five classes), with notable AUC improvements, especially under BAM. The integration of clinical features significantly enhances stage-classification performance, setting a precedent for robust multimodal pipelines in radiomics-based oncology applications.</t>
  </si>
  <si>
    <t>Turki, Anas; Alshabrawy, Ossama; Woo, Wai Lok</t>
  </si>
  <si>
    <t>Turki, A (corresponding author), Northumbria Univ, Fac Engn &amp; Environm, Dept Comp &amp; Informat Sci, Newcastle Upon Tyne NE1 8ST, England.</t>
  </si>
  <si>
    <t>wailok.woo@northumbria.ac.uk; anas.althobaiti@northumbria.ac.uk; ossama.alshabrawy@northumbria.ac.uk</t>
  </si>
  <si>
    <t>Saudi Arabia, Research and Innovation [1120] Funding Source: Medline</t>
  </si>
  <si>
    <t>Saudi Arabia, Research and Innovation</t>
  </si>
  <si>
    <t>[Turki, Anas; Alshabrawy, Ossama; Woo, Wai Lok] Northumbria Univ, Fac Engn &amp; Environm, Dept Comp &amp; Informat Sci, Newcastle Upon Tyne NE1 8ST, England</t>
  </si>
  <si>
    <t>Northumbria University</t>
  </si>
  <si>
    <t>Multimodal Deep Learning for Stage Classification of Head and Neck Cancer Using Masked Autoencoders and Vision Transformers with Attention-Based Fusion</t>
  </si>
  <si>
    <t>CANCERS</t>
  </si>
  <si>
    <t>head and neck cancer; AJCC staging; vision transformer; masked autoencoder; multimodal fusion; radiomics</t>
  </si>
  <si>
    <t>Woo, Wai Lok/T-3662-2018; Alshabrawy, Ossama/O-6749-2014</t>
  </si>
  <si>
    <t>Woo, Wai Lok/0000-0002-8698-7605; Alshabrawy, Ossama/0000-0002-7293-8511</t>
  </si>
  <si>
    <t>2072-6694</t>
  </si>
  <si>
    <t>Cancers</t>
  </si>
  <si>
    <t>JUN 24 2025</t>
  </si>
  <si>
    <t>2115</t>
  </si>
  <si>
    <t>10.3390/cancers17132115</t>
  </si>
  <si>
    <t>http://dx.doi.org/10.3390/cancers17132115</t>
  </si>
  <si>
    <t>Oncology</t>
  </si>
  <si>
    <t>4US4G</t>
  </si>
  <si>
    <t>40647415</t>
  </si>
  <si>
    <t>WOS:001527122500001</t>
  </si>
  <si>
    <t>El Othmani, O; Ouersighni, R</t>
  </si>
  <si>
    <t>Accurate neonatal pain assessment is critical for clinical care but remains challenging due to subtle non-verbal expressions and limited labeled data. We introduce SSS-TT (Self-Supervised Sequential Spatio-Temporal Transformers with Cross-Attention Fusion), a novel framework addressing three key limitations: (1) data scarcity through masked autoencoder (MAE) pretraining that reduces annotation requirements by 75% while improving accuracy by 4.9%, (2) inadequate temporal modeling through a cascaded Vision Transformer and Temporal Convolutional Network architecture capturing pain dynamics over 1-second windows, and (3) incomplete multimodal data via cross-attention fusion that maintains 82.9% accuracy with RGB-only input versus 74.2% for robustly-trained static concatenation baselines (trained with identical modality-dropout augmentation). Using ordinal regression with CORAL loss, SSS-TT predicts pain intensity levels (0-3) aligned with clinical NIPS scoring. Evaluated on the iCOPE dataset (1,000 infants, 5-fold cross-validation with strict subject-level splitting to prevent data leakage), our method achieves 84.6% +/- 0.7% accuracy and quadratic weighted kappa of 0.82- comparable to the inter-clinician agreement range reported in the literature (kappa = 0.65-0.85 on iCOPE, Fleiss' kappa = 0.81)- while significantly outperforming state-of-the-art methods including CNN+LSTM (74.8%), and, under fair comparison conditions (all baselines equipped with the same MAE pretraining and CORAL loss), ViViT +MAE+CORAL (80.4%) and TimeSformer+MAE+CORAL (81.2%). The model demonstrates robustness under clinical degradations with real-time inference (6.7 FPS, 0.15s latency per clip), enabling practical deployment for continuous NICU monitoring. Scenario-based cost-benefit analysis under explicit assumptions suggests 3.4 &amp; times;-11.9 &amp; times; first-year ROI depending on healthcare setting and nurse-to-patient ratio. This work advances label-efficient medical AI and multimodal fusion for real-world clinical translation.</t>
  </si>
  <si>
    <t>El Othmani, Oussama; Ouersighni, Riadh</t>
  </si>
  <si>
    <t>El Othmani, O (corresponding author), Mil Res Ctr, Aouina 2045, Tunisia.; El Othmani, O (corresponding author), Mil Acad Fondouk Jedid, Nabeul 8012, Tunisia.; El Othmani, O (corresponding author), Univ Carthage, Polytech Sch Tunisia, Marsa 2078, Tunisia.</t>
  </si>
  <si>
    <t>riadh.ouersighni@gmail.com; oussama.elothmani@ept.u-carthage.tn</t>
  </si>
  <si>
    <t>DARPA GARD Program; Amazon</t>
  </si>
  <si>
    <t>This work was supported by the DARPA GARD Program and the Amazon AI2AI fellowship. We thank the neonatal care teams at participating hospitals for facilitating data collection, and the parents who consented to participate.</t>
  </si>
  <si>
    <t>[El Othmani, Oussama; Ouersighni, Riadh] Mil Res Ctr, Aouina 2045, Tunisia; [El Othmani, Oussama; Ouersighni, Riadh] Mil Acad Fondouk Jedid, Nabeul 8012, Tunisia; [El Othmani, Oussama] Univ Carthage, Polytech Sch Tunisia, Marsa 2078, Tunisia</t>
  </si>
  <si>
    <t>Universite de Carthage</t>
  </si>
  <si>
    <t>SSS-TT: Self-supervised sequential spatio-temporal transformers with adaptive multimodal fusion for automated neonatal pain assessment</t>
  </si>
  <si>
    <t>APPLIED INTELLIGENCE</t>
  </si>
  <si>
    <t>Neonatal pain assessment; Self-supervised learning; Vision transformers; Temporal modeling; Cross-attention fusion; Ordinal regression; Clinical AI</t>
  </si>
  <si>
    <t>RECOGNITION</t>
  </si>
  <si>
    <t>DORDRECHT</t>
  </si>
  <si>
    <t>VAN GODEWIJCKSTRAAT 30, 3311 GZ DORDRECHT, NETHERLANDS</t>
  </si>
  <si>
    <t>0924-669X</t>
  </si>
  <si>
    <t>1573-7497</t>
  </si>
  <si>
    <t>APPL INTELL</t>
  </si>
  <si>
    <t>Appl. Intell.</t>
  </si>
  <si>
    <t>220</t>
  </si>
  <si>
    <t>10.1007/s10489-026-07233-x</t>
  </si>
  <si>
    <t>http://dx.doi.org/10.1007/s10489-026-07233-x</t>
  </si>
  <si>
    <t>GY7CP</t>
  </si>
  <si>
    <t>WOS:001748209200004</t>
  </si>
  <si>
    <t>Xiao, YM; Yang, SK; He, MJ; Chen, L; Wu, Y; Zhong, L</t>
  </si>
  <si>
    <t>Multimodal clinical data, including imaging, pathology, omics, and laboratory tests, are often fragmented in routine practice, leading to inconsistent decision-making in the management of urological cancers. We propose UroFusion-X, a unified multimodal framework for integrated diagnosis, molecular subtyping, and prognosis prediction of bladder, kidney, and prostate cancers, with inherent robustness to missing modalities. The system incorporates 3D imaging encoders, pathology multiple-instance learning, omics graph networks, and a TabTransformer for laboratory and clinical variables. A cross-modal co-attention mechanism combined with a gated product-of-experts fusion strategy enables effective representation alignment across heterogeneous inputs, while anatomy-pathology consistency constraints and patient-level contrastive learning further enhance interpretability and generalization. Prognostic modeling is achieved via DeepSurv and DeepHit survival heads. Evaluated on a multi-center real-world cohort with external validation and leave-one-center-out testing, UroFusion-X consistently outperformed strong unimodal and simple fusion baselines, maintained over 90% of its predictive performance under substantial modality dropout, and demonstrated higher net clinical benefit in decision curve analysis. These results indicate that the proposed framework can improve decision consistency and reduce unnecessary testing when deployed in real clinical workflows.</t>
  </si>
  <si>
    <t>Xiao, Yingming; Yang, Shengke; He, Mingjing; Chen, Li; Wu, Yi; Zhong, Lei</t>
  </si>
  <si>
    <t>Chen, L; Wu, Y; Zhong, L (corresponding author), Univ Elect Sci &amp; Technol China, Sichuan Clin Res Ctr Canc, Sichuan Canc Hosp &amp; Inst,Sichuan Canc Ctr, Dept Radiotherapy,Affiliated Canc Hosp, Chengdu 610041, Sichuan, Peoples R China.</t>
  </si>
  <si>
    <t>wuyi@scszlyy.org.cn; chenli@scszlyy.org.cn; zhonglei@scszlyy.org.cn</t>
  </si>
  <si>
    <t>[Xiao, Yingming; Yang, Shengke; He, Mingjing; Chen, Li; Wu, Yi; Zhong, Lei] Univ Elect Sci &amp; Technol China, Sichuan Clin Res Ctr Canc, Sichuan Canc Hosp &amp; Inst,Sichuan Canc Ctr, Dept Radiotherapy,Affiliated Canc Hosp, Chengdu 610041, Sichuan, Peoples R China</t>
  </si>
  <si>
    <t>University of Electronic Science &amp; Technology of China</t>
  </si>
  <si>
    <t>UroFusion-X: a unified multimodal deep learning framework for robust diagnosis, subtyping, and prognosis of urological cancers</t>
  </si>
  <si>
    <t>NPJ DIGITAL MEDICINE</t>
  </si>
  <si>
    <t>Yingming, Xiao/LKM-5061-2024</t>
  </si>
  <si>
    <t>31</t>
  </si>
  <si>
    <t>2398-6352</t>
  </si>
  <si>
    <t>NPJ DIGIT MED</t>
  </si>
  <si>
    <t>npj Digit. Med.</t>
  </si>
  <si>
    <t>JAN 19 2026</t>
  </si>
  <si>
    <t>117</t>
  </si>
  <si>
    <t>10.1038/s41746-025-02295-6</t>
  </si>
  <si>
    <t>http://dx.doi.org/10.1038/s41746-025-02295-6</t>
  </si>
  <si>
    <t>Health Care Sciences &amp; Services; Medical Informatics</t>
  </si>
  <si>
    <t>DB3VC</t>
  </si>
  <si>
    <t>41554842</t>
  </si>
  <si>
    <t>WOS:001679395900001</t>
  </si>
  <si>
    <t>Peng, ZB; Tang, QL; Tong, L; Gou, R; Zeng, FD</t>
  </si>
  <si>
    <t>Real-time and precise vessel tracking in inland waterway surveillance videos is essential for ensuring navigational safety and optimizing traffic management. To address tracking failures caused by vessel occlusions in complex scenarios, such as bridge areas, we propose a robust multimodal adaptive tracking framework tailored for inland waterway vessel monitoring. The framework employs the YOLOv11 object detection algorithm to extract vessel target information from video frames, complemented by a Kalman filter for state prediction and updating. A multimodal association model integrates kinematic features, hue-saturation-value appearance features, velocity vector features, and dynamic-time-warping-based trajectory matching to achieve robust target association. In addition, an adaptive predictive state transition mechanism significantly enhances trajectory tracking accuracy under occlusion conditions. Experimental evaluations in typical inland waterway occlusion scenarios demonstrate that the framework achieves a multiple object tracking accuracy of 0.89, an identity switch of 9.3%, and an occlusion success rate of 87.5% on surveillance video sequences.</t>
  </si>
  <si>
    <t>Peng, Zhongbo; Tang, Qianlong; Tong, Liang; Gou, Rui; Zeng, Fudong</t>
  </si>
  <si>
    <t>Tang, QL (corresponding author), Chongqing Jiaotong Univ, Sch Shipping &amp; Naval Architecture, Chongqing, Peoples R China.</t>
  </si>
  <si>
    <t>990201300021@cqjtu.edu.cn; 13330612274@163.com; m18282571851@163.com; greygrrrrrey@163.com; pzbpzb@cqjtu.edu.cn</t>
  </si>
  <si>
    <t>General Project of Chongqing Technology Innovation and Application Development Special Project, namely "Research on the Green Evaluation System of Chongqing Shipping Enterprises under the Background of Carbon Peaking and Carbon Neutrality" [CSTB2022TIAD-GPX0040]</t>
  </si>
  <si>
    <t>General Project of Chongqing Technology Innovation and Application Development Special Project, namely "Research on the Green Evaluation System of Chongqing Shipping Enterprises under the Background of Carbon Peaking and Carbon Neutrality"</t>
  </si>
  <si>
    <t>This work was partially supported by the General Project of Chongqing Technology Innovation and Application Development Special Project, namely, "Research on the Green Evaluation System of Chongqing Shipping Enterprises under the Background of Carbon Peaking and Carbon Neutrality" (Grant No. CSTB2022TIAD-GPX0040).</t>
  </si>
  <si>
    <t>[Peng, Zhongbo; Tang, Qianlong; Tong, Liang; Gou, Rui; Zeng, Fudong] Chongqing Jiaotong Univ, Sch Shipping &amp; Naval Architecture, Chongqing, Peoples R China</t>
  </si>
  <si>
    <t>Chongqing Jiaotong University</t>
  </si>
  <si>
    <t>Real-time multimodal fusion for occlusion-robust vessel tracking in electronic imaging systems</t>
  </si>
  <si>
    <t>JOURNAL OF ELECTRONIC IMAGING</t>
  </si>
  <si>
    <t>visual ship tracking; multimodal fusion; Kalman filtering; video surveillance systems; occlusion recovery; re-detection</t>
  </si>
  <si>
    <t>16</t>
  </si>
  <si>
    <t>SPIE-SOC PHOTO-OPTICAL INSTRUMENTATION ENGINEERS</t>
  </si>
  <si>
    <t>BELLINGHAM</t>
  </si>
  <si>
    <t>1000 20TH ST, PO BOX 10, BELLINGHAM, WA 98225 USA</t>
  </si>
  <si>
    <t>1017-9909</t>
  </si>
  <si>
    <t>1560-229X</t>
  </si>
  <si>
    <t>J ELECTRON IMAGING</t>
  </si>
  <si>
    <t>J. Electron. Imaging</t>
  </si>
  <si>
    <t>SEP 1 2025</t>
  </si>
  <si>
    <t>053021</t>
  </si>
  <si>
    <t>10.1117/1.JEI.34.5.053021</t>
  </si>
  <si>
    <t>http://dx.doi.org/10.1117/1.JEI.34.5.053021</t>
  </si>
  <si>
    <t>9IZ0G</t>
  </si>
  <si>
    <t>WOS:001607483800013</t>
  </si>
  <si>
    <t>Xie, ZY; Yang, Y; Wang, J; Liu, XR; Li, XF</t>
  </si>
  <si>
    <t>Multimodal video sentiment analysis aims to integrate multiple modal information to analyze the opinions and attitudes of speakers. Most previous work focuses on exploring the semantic interactions of intra- and inter-modality. However, these works ignore the reliability of multimodality, i.e., modalities tend to contain noise, semantic ambiguity, missing modalities, etc. In addition, previous multimodal approaches treat different modalities equally, largely ignoring their different contributions. Furthermore, existing multimodal sentiment analysis methods directly regress sentiment scores without considering ordinal relationships within sentiment categories, with limited performance. To address the aforementioned problems, we propose a trustworthy multimodal sentiment ordinal network (TMSON) to improve performance in sentiment analysis. Specifically, we first devise a unimodal feature extractor for each modality to obtain modality-specific features. Then, an uncertainty distribution estimation network is customized, which estimates the unimodal uncertainty distributions. Next, Bayesian fusion is performed on the learned unimodal distributions to obtain multimodal distributions for sentiment prediction. Finally, an ordinal-aware sentiment space is constructed, where ordinal regression is used to constrain the multimodal distributions. Our proposed TMSON outperforms baselines on multimodal sentiment analysis tasks, and empirical results demonstrate that TMSON is capable of reducing uncertainty to obtain more robust predictions.</t>
  </si>
  <si>
    <t>Xie, Zhuyang; Yang, Yan; Wang, Jie; Liu, Xiaorong; Li, Xiaofan</t>
  </si>
  <si>
    <t>Yang, Y (corresponding author), Southwest Jiaotong Univ, Sch Comp &amp; Artificial Intelligence, Chengdu 611756, Peoples R China.</t>
  </si>
  <si>
    <t>wonk_lixiaofan@163.com; jackwang@my.swjtu.edu.cn; xr_liu@my.swjtu.edu.cn; yyang@swjtu.edu.cn; zyxie@my.swjtu.edu.cn</t>
  </si>
  <si>
    <t>National Natural Science Foundation of China [61976247]</t>
  </si>
  <si>
    <t>This work was supported by the National Natural Science Foundation of China under Grant 61976247. This article was recommended by Associate Editor H. Wang.</t>
  </si>
  <si>
    <t>[Xie, Zhuyang; Yang, Yan; Wang, Jie; Liu, Xiaorong; Li, Xiaofan] Southwest Jiaotong Univ, Sch Comp &amp; Artificial Intelligence, Chengdu 611756, Peoples R China; [Xie, Zhuyang; Yang, Yan; Wang, Jie; Liu, Xiaorong; Li, Xiaofan] Southwest Jiao tong Univ, Mfg Ind Chains Collaborat &amp; Informat Support Techn, Chengdu 611756, Peoples R China</t>
  </si>
  <si>
    <t>Southwest Jiaotong University; Southwest Jiaotong University</t>
  </si>
  <si>
    <t>Trustworthy Multimodal Fusion for Sentiment Analysis in Ordinal Sentiment Space</t>
  </si>
  <si>
    <t>IEEE TRANSACTIONS ON CIRCUITS AND SYSTEMS FOR VIDEO TECHNOLOGY</t>
  </si>
  <si>
    <t>Uncertainty; Sentiment analysis; Estimation; Feature extraction; Reliability; Task analysis; Data models; Multimodal sentiment analysis; multimodal fusion; uncertainty estimation; ordinal regression</t>
  </si>
  <si>
    <t>NETWORK</t>
  </si>
  <si>
    <t>Yang, Yan/0000-0002-6134-6094; Li, Xiaofan/0000-0002-5011-6314; xie, zhuyang/0000-0003-4587-2198</t>
  </si>
  <si>
    <t>70</t>
  </si>
  <si>
    <t>1051-8215</t>
  </si>
  <si>
    <t>1558-2205</t>
  </si>
  <si>
    <t>IEEE T CIRC SYST VID</t>
  </si>
  <si>
    <t>IEEE Trans. Circuits Syst. Video Technol.</t>
  </si>
  <si>
    <t>7657</t>
  </si>
  <si>
    <t>7670</t>
  </si>
  <si>
    <t>10.1109/TCSVT.2024.3376564</t>
  </si>
  <si>
    <t>http://dx.doi.org/10.1109/TCSVT.2024.3376564</t>
  </si>
  <si>
    <t>Engineering, Electrical &amp; Electronic</t>
  </si>
  <si>
    <t>I0Z0Q</t>
  </si>
  <si>
    <t>WOS:001327614800020</t>
  </si>
  <si>
    <t>Ahmed, AH; Mohsen, O</t>
  </si>
  <si>
    <t>The architecture, engineering, and construction (AEC) industry generates diverse data streams across design, construction, and operations, yet most artificial intelligence systems remain unimodal, limiting their potential. Multimodal machine learning (MMML) offers a framework for integrating heterogeneous inputs, such as images, BIM models, sensor logs, and textual records, to enable richer representations and context-aware decision support. This review delivers a lifecycle-aligned synthesis of MMML in AEC, based on a systematic screening of 71 peer-reviewed studies (2018-2025) coded by modality, fusion strategy, architecture, task, and application domain. Findings show that images, text, and numerical data dominate existing pipelines, whereas audio, physiological, and higher-order modality combinations are rare. Intermediate fusion, primarily through CNNbased architectures, remains the prevailing approach, with limited use of transformers, diffusion models, or graph neural networks. Applications cluster in construction-phase safety monitoring and operations-phase inspection, with predictive maintenance gaining momentum post-2021. Generative design and decision support remain underrepresented, often relying on simulation-driven methods. Key barriers include weak alignment mechanisms, limited robustness to missing modalities, insufficient external validation, and the absence of standardized benchmarks. Advancing MMML in AEC requires lifecycle-spanning benchmarks, adoption of nextgeneration architectures, and embedding robustness and validation as standard practice. Emerging platforms, such as BIM integration, digital twins, and federated MMML, offer promising testbeds for scalable deployment. This review provides a comprehensive overview of current progress, challenges, and future directions for multimodal ML in the built environment.</t>
  </si>
  <si>
    <t>Ahmed, Abdulkadir Hassan; Mohsen, Osama</t>
  </si>
  <si>
    <t>Mohsen, O (corresponding author), King Fahd Univ Petr &amp; Minerals, Dept Architectural Engn &amp; Construction Management, Dhahran 31261, Saudi Arabia.</t>
  </si>
  <si>
    <t>osama.mohsen@kfupm.edu.sa</t>
  </si>
  <si>
    <t>King Fahd University of Petroleum and Minerals (KFUPM)</t>
  </si>
  <si>
    <t>King Fahd University of Petroleum and Minerals (KFUPM) (King Fahd University of Petroleum &amp; Minerals)</t>
  </si>
  <si>
    <t>The authors acknowledge the support provided by King Fahd University of Petroleum and Minerals (KFUPM) for this work.</t>
  </si>
  <si>
    <t>[Ahmed, Abdulkadir Hassan; Mohsen, Osama] King Fahd Univ Petr &amp; Minerals, Dept Architectural Engn &amp; Construction Management, Dhahran 31261, Saudi Arabia; [Mohsen, Osama] King Fahd Univ Petr &amp; Minerals, Interdisciplinary Res Ctr Construction &amp; Bldg Mat, Dhahran 31261, Saudi Arabia</t>
  </si>
  <si>
    <t>King Fahd University of Petroleum &amp; Minerals; King Fahd University of Petroleum &amp; Minerals</t>
  </si>
  <si>
    <t>Multimodal machine learning in the AEC industry: a lifecycle-aligned review of strategies, challenges, and informatics frameworks</t>
  </si>
  <si>
    <t>ADVANCED ENGINEERING INFORMATICS</t>
  </si>
  <si>
    <t>Multimodal machine learning; Data fusion; BIM integration; Digital twins; Built environment; Lifecycle analytics</t>
  </si>
  <si>
    <t>FUSION</t>
  </si>
  <si>
    <t>Mohsen, Osama/LOR-9887-2024</t>
  </si>
  <si>
    <t>92</t>
  </si>
  <si>
    <t>1474-0346</t>
  </si>
  <si>
    <t>1873-5320</t>
  </si>
  <si>
    <t>ADV ENG INFORM</t>
  </si>
  <si>
    <t>Adv. Eng. Inform.</t>
  </si>
  <si>
    <t>75</t>
  </si>
  <si>
    <t>104863</t>
  </si>
  <si>
    <t>10.1016/j.aei.2026.104863</t>
  </si>
  <si>
    <t>http://dx.doi.org/10.1016/j.aei.2026.104863</t>
  </si>
  <si>
    <t>MAY 2026</t>
  </si>
  <si>
    <t>Computer Science, Artificial Intelligence; Engineering, Multidisciplinary</t>
  </si>
  <si>
    <t>JC4NJ</t>
  </si>
  <si>
    <t>WOS:001786021700001</t>
  </si>
  <si>
    <t>Zhong, C; Zeng, SH; Zhu, HQ</t>
  </si>
  <si>
    <t>With the increasing demand for accurate multimodal data analysis in complex scenarios, existing models often struggle to effectively capture and fuse information across diverse modalities, especially when data include varying scales and levels of detail. To address these challenges, this study presents an enhanced Swin Transformer V2-based model designed for robust multimodal data processing. The method analyzes urban economic activities and spatial layout using satellite and street view images, with applications in traffic flow and business activity intensity, highlighting its practical significance. The model incorporates a multi-scale feature extraction module into the window attention mechanism, combining local and global window attention with adaptive pooling to achieve comprehensive multi-scale feature fusion and representation. This approach enables the model to effectively capture information at different scales, enhancing its expressiveness in complex scenes. Additionally, a cross-attention-based multimodal feature fusion mechanism integrates spatial structure information from scene graphs with Swin Transformer's image classification outputs. By calculating similarities and correlations between scene graph embeddings and image classifications, this mechanism dynamically adjusts each modality's contribution to the fused representation, leveraging complementary information for a more coherent multimodal understanding. Compared with the baseline method, the proposed bimodal model performs superiorly and the accuracy is improved by 3%, reaching 91.5%, which proves its effectiveness in processing and fusing multimodal information. These results highlight the advantages of combining multi-scale feature extraction and cross-modal alignment to improve performance on complex multimodal tasks.</t>
  </si>
  <si>
    <t>Zhong, Chun; Zeng, Shihong; Zhu, Hongqiu</t>
  </si>
  <si>
    <t>Zhu, HQ (corresponding author), Cent South Univ, Sch Automat, Changsha 410017, Peoples R China.</t>
  </si>
  <si>
    <t>20301502002@mail.hnust.edu.cn; hqcsu@csu.edu.cn; 1150104@hnust.edu.cn</t>
  </si>
  <si>
    <t>[Zhong, Chun; Zeng, Shihong] Hunan Univ Sci &amp; Technol, Xiangtan 411199, Peoples R China; [Zhu, Hongqiu] Cent South Univ, Sch Automat, Changsha 410017, Peoples R China</t>
  </si>
  <si>
    <t>Hunan University of Science &amp; Technology; Central South University</t>
  </si>
  <si>
    <t>Adaptive Multimodal Fusion with Cross-Attention for Robust Scene Segmentation and Urban Economic Analysis</t>
  </si>
  <si>
    <t>APPLIED SCIENCES-BASEL</t>
  </si>
  <si>
    <t>bimodal analysis; scene graph generation; graph embedding; economic activity prediction; multimodal data fusion; urban economics</t>
  </si>
  <si>
    <t>/AFN-8962-2022</t>
  </si>
  <si>
    <t>2076-3417</t>
  </si>
  <si>
    <t>APPL SCI-BASEL</t>
  </si>
  <si>
    <t>Appl. Sci.-Basel</t>
  </si>
  <si>
    <t>438</t>
  </si>
  <si>
    <t>10.3390/app15010438</t>
  </si>
  <si>
    <t>http://dx.doi.org/10.3390/app15010438</t>
  </si>
  <si>
    <t>Chemistry, Multidisciplinary; Engineering, Multidisciplinary; Materials Science, Multidisciplinary; Physics, Applied</t>
  </si>
  <si>
    <t>Chemistry; Engineering; Materials Science; Physics</t>
  </si>
  <si>
    <t>R7U7L</t>
  </si>
  <si>
    <t>WOS:001393458900001</t>
  </si>
  <si>
    <t>Yu, HP; Xu, HZ; Wang, J; Li, H</t>
  </si>
  <si>
    <t>Inspired by human multisensory synergy, multimodal emotion recognition (MER) has advanced human-computer interaction by integrating complementary information from multiple sources. However, multimodal models often suffer from modality imbalance, limits their performance. Existing methods rarely achieve both sufficient unimodal learning and balanced multimodal learning. Even when modality balance is addressed, optimization trajectories among modalities can still impair individual learning. To tackle these issues, we propose Dynamic Reassembly-Fusion (DRFusion), comprises: (1) adaptive fine-grained reassembly to strengthen weak modalities and align gradient directions, and (2) uncertainty-aware fusion for robust multimodal integration. DRFusion both unimodal sufficiency and multimodal balance by selecting weak modalities and performing batch-level reassembly. By explicitly modeling each modality's predictive uncertainty,effectively handles scenarios with both modality imbalance and insufficiency. Extensive experiments on benchmark datasets show that DRFusion outperforms state-of-the-art multimodal learning methods.</t>
  </si>
  <si>
    <t>Yu, Haipeng; Xu, Hengzhou; Wang, Jian; Li, Hua</t>
  </si>
  <si>
    <t>Yu, HP (corresponding author), Henan Univ Engn, Zhengzhou 451191, Henan, Peoples R China.</t>
  </si>
  <si>
    <t>yuhp@haue.edu.cn; xhz05228@126.com; wangjian840821@126.com; 13181972@qq.com</t>
  </si>
  <si>
    <t>Henan Province Science and Technology Research Plan Project [252102210236]</t>
  </si>
  <si>
    <t>Henan Province Science and Technology Research Plan Project</t>
  </si>
  <si>
    <t>This work was supported by the Henan Province Science and Technology Research Plan Project (252102210236) .</t>
  </si>
  <si>
    <t>[Yu, Haipeng; Xu, Hengzhou; Wang, Jian; Li, Hua] Henan Univ Engn, Zhengzhou 451191, Henan, Peoples R China</t>
  </si>
  <si>
    <t>Henan University of Engineering</t>
  </si>
  <si>
    <t>DRFusion: Enhancing balanced and sufficient multimodal learning for human emotion recognition</t>
  </si>
  <si>
    <t>ALEXANDRIA ENGINEERING JOURNAL</t>
  </si>
  <si>
    <t>Emotion recognition; Heterogeneity; Multimodal learning; Affective computing; Human-computer interaction</t>
  </si>
  <si>
    <t>1110-0168</t>
  </si>
  <si>
    <t>2090-2670</t>
  </si>
  <si>
    <t>ALEX ENG J</t>
  </si>
  <si>
    <t>Alex. Eng. J.</t>
  </si>
  <si>
    <t>139</t>
  </si>
  <si>
    <t>45</t>
  </si>
  <si>
    <t>54</t>
  </si>
  <si>
    <t>10.1016/j.aej.2026.01.050</t>
  </si>
  <si>
    <t>http://dx.doi.org/10.1016/j.aej.2026.01.050</t>
  </si>
  <si>
    <t>FEB 2026</t>
  </si>
  <si>
    <t>DZ0IW</t>
  </si>
  <si>
    <t>WOS:001695454700001</t>
  </si>
  <si>
    <t>Fathallah, W; Abid, M; Mars, M; Sakli, H</t>
  </si>
  <si>
    <t>The rising incidence of skin cancer necessitates scalable and accurate diagnostic tools. While dermoscopy-based systems have achieved expert-level performance, clinical smartphone images pose challenges due to variability in lighting, resolution, and artifacts. Recent advances in multimodal deep learning have shown promise, yet most approaches rely on simple feature concatenation or single-model classifiers, limiting their ability to capture complex cross-modal interactions. This study aims to bridge the diagnostic gap in resource-limited settings by developing a robust multimodal framework that synergizes clinical smartphone images with structured patient metadata for automated skin cancer classification. We propose a novel hybrid architecture integrating a Swin Transformer V2 (SwinV2-Tiny) for hierarchical visual feature extraction and a Denoising Autoencoder (DAE) with PCA for robust metadata embedding. These heterogeneous modalities are fused via a Gated Attention Mechanism that dynamically weighs feature importance across streams. Classification is performed by a Heterogeneous Meta-Stack Ensemble comprising CatBoost, LightGBM, XGBoost, and Logistic Regression, designed to maximize calibration and generalization across imbalanced classes. Evaluated on the PAD-UFES-20 dataset (2298 clinical smartphone images, six diagnostic classes), the proposed framework achieves state-of-the-art performance with a macro-averaged F1-score of 0.977, accuracy of 0.978, and an AUC of 0.990. It significantly outperforms unimodal baselines and existing multimodal methods, demonstrating superior sensitivity (0.974) and precision (0.981), particularly for underrepresented malignant classes like Melanoma (F1: 0.995) and Squamous Cell Carcinoma (F1: 0.960). The integration of clinical metadata with advanced visual embeddings via gated attention significantly enhances diagnostic reliability. Comprehensive ablation studies confirm the contribution of each architectural component. This framework offers a viable pathway for deploying high-precision, AI-driven dermatological screening tools on standard smartphone devices.</t>
  </si>
  <si>
    <t>Fathallah, Wyssem; Abid, M'hamed; Mars, Mourad; Sakli, Hedi</t>
  </si>
  <si>
    <t>Sakli, H (corresponding author), Univ Tunis El Manar, Natl Engn Sch Tunis ENIT, LR SysCom, Belvedere Campus, Tunis 1002, Tunisia.</t>
  </si>
  <si>
    <t>msmars@uqu.edu.sa; fathallahwyssem@gmail.com; saklihedi12@gmail.com; mhamedabid123@gmail.com</t>
  </si>
  <si>
    <t>Umm al-Qura University [26UQU4350491GSSR03]</t>
  </si>
  <si>
    <t>Umm al-Qura University (Umm Al-Qura University)</t>
  </si>
  <si>
    <t>This research work was funded by Umm Al-Qura University, Saudi Arabia under grant number: 26UQU4350491GSSR03.</t>
  </si>
  <si>
    <t>[Fathallah, Wyssem; Abid, M'hamed; Sakli, Hedi] Univ Tunis El Manar, Natl Engn Sch Tunis ENIT, LR SysCom, Belvedere Campus, Tunis 1002, Tunisia; [Mars, Mourad] Umm Al Qura Univ, Coll Comp, Dept Comp Sci &amp; Artificial Intelligence, Mecca 24382, Saudi Arabia</t>
  </si>
  <si>
    <t>Universite de Tunis-El-Manar; Ecole Nationale d'Ingenieurs de Tunis (ENIT); Umm Al-Qura University</t>
  </si>
  <si>
    <t>Ensemble-Based Multimodal Deep Learning for Precise Skin Cancer Diagnosis: Integrating Clinical Imagery with Patient Metadata</t>
  </si>
  <si>
    <t>skin cancer; multimodal learning; Swin Transformer; gated attention; ensemble learning; PAD-UFES-20; meta-stack</t>
  </si>
  <si>
    <t>Sakli, Hèdi/AAD-3638-2020; Mars, Mourad/HSG-8139-2023</t>
  </si>
  <si>
    <t>MAY 2 2026</t>
  </si>
  <si>
    <t>277</t>
  </si>
  <si>
    <t>10.3390/technologies14050277</t>
  </si>
  <si>
    <t>http://dx.doi.org/10.3390/technologies14050277</t>
  </si>
  <si>
    <t>IL2EA</t>
  </si>
  <si>
    <t>WOS:001774323600001</t>
  </si>
  <si>
    <t>Wang, HJ; Jing, YH; Li, HY; Zhang, Y; Chang, CC; Shi, GN</t>
  </si>
  <si>
    <t>This study developed a two-stage cascaded segmentation framework with integrated attention mechanisms (SE/CBAM) that accommodates multimodal inputs from CT, MRI, and ultrasound and demonstrates robustness to missing modalities. The proposed approach was systematically evaluated on data from 322 with deep vein thrombosis (DVT) and compared against representative methods, including nnU-Net, Swin-UNet, UNETR, and MedSAM/EMedSAM. Under standardized preprocessing and five-fold cross-validation, our model achieved a Dice coefficient of 0.873 +/- 0.018, IoU of 0.783 +/- 0.021, PR-AUC of 0.921, and ROC-AUC of 0.942 on an independent test set, significantly outperforming nnU-Net, Swin-UNet, UNETR, and MedSAM/EMedSAM baselines. Grad-CAM heatmaps showed strong spatial concordance with expert annotations at key anatomical regions. Sensitivity analyses confirmed robustness to hyperparameter variation, noise, and single-modality dropout (&lt;1% fluctuation). To enhance biological interpretability, we integrated transcriptomic (GEO, n = 40), proteomic (PRIDE, n = 30), and metabolomic (MetaboLights, n = 20) datasets, identifying key molecules such as RPS3A, RPL31, and TP53, as well as differential metabolites including oxidized glutathione, succinate, and betaine. These molecular alterations were predominantly enriched in glutathione metabolism, the tricarboxylic acid (TCA) cycle, and inflammation-related pathways (e.g., the IL-17 and TNF signaling axes). Notably, these pathways are directionally consistent with the inflammatory activation and oxidative stress features reflected in the high-risk thrombotic anatomical regions emphasized by the imaging model, thereby providing supportive mechanistic interpretation for the imaging-based recognition results. Collectively, this study establishes a methodological foundation for interpretable AI-driven diagnosis and precision intervention in DVT and demonstrates potential for extension to other vascular diseases.</t>
  </si>
  <si>
    <t>Wang, Haojie; Jing, Yuanhu; Li, Hongyuan; Zhang, Yan; Chang, Congcong; Shi, Gongning</t>
  </si>
  <si>
    <t>Shi, GN (corresponding author), Henan Univ, Huaihe Hosp, Dept Cardiac &amp; Vasc Surg, 8 Baobei Rd, Kaifeng 475000, Henan, Peoples R China.</t>
  </si>
  <si>
    <t>hhyygongningshi@163.com</t>
  </si>
  <si>
    <t>Henan Medical Science and Tech-nology Research Project [242102310131]</t>
  </si>
  <si>
    <t>Henan Medical Science and Tech-nology Research Project</t>
  </si>
  <si>
    <t>Funding This study was supported by the Henan Medical Science and Tech-nology Research Project (No. 242102310131) .</t>
  </si>
  <si>
    <t>[Wang, Haojie; Jing, Yuanhu; Li, Hongyuan; Zhang, Yan; Chang, Congcong; Shi, Gongning] Henan Univ, Huaihe Hosp, Dept Cardiac &amp; Vasc Surg, 8 Baobei Rd, Kaifeng 475000, Henan, Peoples R China</t>
  </si>
  <si>
    <t>Henan University</t>
  </si>
  <si>
    <t>Multimodal deep learning with attention mechanisms for automated detection of lower extremity deep vein thrombosis: Integrating ultrasound, CT, and MRI</t>
  </si>
  <si>
    <t>BIOMEDICAL SIGNAL PROCESSING AND CONTROL</t>
  </si>
  <si>
    <t>Deep learning; Deep vein thrombosis; Multimodal imaging; Automatic recognition; Multi-omics integration; Interpretable Artificial Intelligence</t>
  </si>
  <si>
    <t>1746-8094</t>
  </si>
  <si>
    <t>1746-8108</t>
  </si>
  <si>
    <t>BIOMED SIGNAL PROCES</t>
  </si>
  <si>
    <t>Biomed. Signal Process. Control</t>
  </si>
  <si>
    <t>JUN 15 2026</t>
  </si>
  <si>
    <t>119</t>
  </si>
  <si>
    <t>109749</t>
  </si>
  <si>
    <t>10.1016/j.bspc.2026.109749</t>
  </si>
  <si>
    <t>http://dx.doi.org/10.1016/j.bspc.2026.109749</t>
  </si>
  <si>
    <t>Engineering, Biomedical</t>
  </si>
  <si>
    <t>DT2RG</t>
  </si>
  <si>
    <t>WOS:001691530900001</t>
  </si>
  <si>
    <t>Chen, DD; Yu, H; Huang, J</t>
  </si>
  <si>
    <t>Objective: To develop a robust, multimodal artificial intelligence framework for precise BI-RADS classification of breast lesions using harmonized radiomic, deep learning, and genomic features. Materials and methods: This multicenter retrospective study utilized data from five imaging institutions and an independent test center. Tumor regions were automatically segmented using six state-of-the-art deep learning segmentation models: Swin-UNETR, nnU-Net, TransUNet, MedT, SegFormer, and MISSFormer. From segmented regions, radiomic features (n = 107) and deep features were extracted using Vision Transformer (ViT) and EfficientNet-B4, yielding 768 and 1280 features, respectively. RNA-Seq data targeting five key breast cancer genes (BRCA1, BRCA2, TP53, PTEN, HER2) produced 5120 genomic features. All features were harmonized using ComBat, filtered by ICC (&gt;0.75), low variance, and high correlation. Feature selection was performed via LASSO, Mutual Information, and ANOVA. Three classifiers-XGBoost, TabNet, and TabTransformer-were trained and validated using internal and external sets. t-SNE was applied for dimensionality reduction and visualization. Model performance was evaluated by AUC, accuracy, and sensitivity. Results: The TabTransformer classifier with LASSO-selected fused features achieved the best performance (Internal AUC: 97.8 %, Accuracy: 96.5 %; External AUC: 96.4 %, Accuracy: 95.1 %). Genetic features alone yielded moderate results (AUC approximate to 79 %), while EfficientNet outperformed ViT in deep-only configurations. Radiomics alone was inferior to fused combinations. t-SNE visualizations demonstrated excellent post-selection class separability. The model outperformed prior studies in ABVS, mammography, and ultrasound settings in both binary and multi-class BI-RADS classification tasks. Conclusions: This study establishes a clinically viable, interpretable, and generalizable AI model that integrates multi-source data for high-fidelity BI-RADS classification. The framework offers a new benchmark for diagnostic precision in breast imaging.</t>
  </si>
  <si>
    <t>Chen, Dandan; Yu, Hua; Huang, Juan</t>
  </si>
  <si>
    <t>Huang, J (corresponding author), Hubei Univ Chinese Med, Hubei Prov Hosp Tradit Chinese Med, Hubei Acad Chinese Med, Dept Radiol,Affiliated Hosp, Wuhan 430074, Peoples R China.</t>
  </si>
  <si>
    <t>enjoyhuangjuan@163.com</t>
  </si>
  <si>
    <t>[Chen, Dandan; Yu, Hua; Huang, Juan] Hubei Univ Chinese Med, Hubei Prov Hosp Tradit Chinese Med, Hubei Acad Chinese Med, Dept Radiol,Affiliated Hosp, Wuhan 430074, Peoples R China</t>
  </si>
  <si>
    <t>Hubei University of Chinese Medicine</t>
  </si>
  <si>
    <t>Feature fusion in a multimodal deep learning framework for BI-RADS classification using radiomics, genomics, and transformer architectures</t>
  </si>
  <si>
    <t>JOURNAL OF RADIATION RESEARCH AND APPLIED SCIENCES</t>
  </si>
  <si>
    <t>Radiomic features; Deep learning; RNA-Seq; BI-RADS classification; Transformer networks; Mammography; Multimodal fusion</t>
  </si>
  <si>
    <t>BREAST; MACHINE; LESIONS</t>
  </si>
  <si>
    <t>Chen, Dandan/AAH-7141-2020</t>
  </si>
  <si>
    <t>1687-8507</t>
  </si>
  <si>
    <t>J RADIAT RES APPL SC</t>
  </si>
  <si>
    <t>J. Radiat. Res. Appl. Sci.</t>
  </si>
  <si>
    <t>DEC 2025</t>
  </si>
  <si>
    <t>101959</t>
  </si>
  <si>
    <t>10.1016/j.jrras.2025.101959</t>
  </si>
  <si>
    <t>http://dx.doi.org/10.1016/j.jrras.2025.101959</t>
  </si>
  <si>
    <t>Multidisciplinary Sciences; Radiology, Nuclear Medicine &amp; Medical Imaging</t>
  </si>
  <si>
    <t>Science &amp; Technology - Other Topics; Radiology, Nuclear Medicine &amp; Medical Imaging</t>
  </si>
  <si>
    <t>8HM1L</t>
  </si>
  <si>
    <t>WOS:001588780800001</t>
  </si>
  <si>
    <t>Xia, YJ; Zhou, J; Xun, XL; Zhang, J; Wei, T; Gao, RT; Reddy, B; Liu, C; Kim, G; Yu, ZS</t>
  </si>
  <si>
    <t>Objectives To develop a deep learning model combining CT scans and clinical information to predict overall survival in advanced hepatocellular carcinoma (HCC). Methods This retrospective study included immunotherapy-treated advanced HCC patients from 52 multi-national in-house centers between 2018 and 2022. A multi-modal prognostic model using baseline and the first follow-up CT images and 7 clinical variables was proposed. A convolutional-recurrent neural network (CRNN) was developed to extract spatial-temporal information from automatically selected representative 2D CT slices to provide a radiological score, then fused with a Cox-based clinical score to provide the survival risk. The model's effectiveness was assessed using a time-dependent area under the receiver operating curve (AUC), and risk group stratification using the log-rank test. Prognostic performances of multi-modal inputs were compared to models of missing modality, and the size-based RECIST criteria. Results Two-hundred seven patients (mean age, 61 years +/- 12 [SD], 180 men) were included. The multi-modal CRNN model reached the AUC of 0.777 and 0.704 of 1-year overall survival predictions in the validation and test sets. The model achieved significant risk stratification in validation (hazard ratio [HR] = 3.330, p = 0.008), and test sets (HR = 2.024, p = 0.047) based on the median risk score of the training set. Models with missing modalities (the single-modal imaging-based model and the model incorporating only baseline scans) can still achieve favorable risk stratification performance (all p &lt; 0.05, except for one, p = 0.053). Moreover, results proved the superiority of the deep learning-based model to the RECIST criteria. Conclusion Deep learning analysis of CT scans and clinical data can offer significant prognostic insights for patients with advanced HCC. Critical relevance statement The established model can help monitor patients' disease statuses and identify those with poor prognosis at the time of first follow-up, helping clinicians make informed treatment decisions, as well as early and timely interventions.</t>
  </si>
  <si>
    <t>Xia, Yujia; Zhou, Jie; Xun, Xiaolei; Zhang, Jin; Wei, Ting; Gao, Ruitian; Reddy, Bobby; Liu, Chao; Kim, Geoffrey; Yu, Zhangsheng</t>
  </si>
  <si>
    <t>Yu, ZS (corresponding author), Shanghai Jiao Tong Univ, Sch Life Sci &amp; Biotechnol, Dept Bioinformat &amp; Biostat, Shanghai, Peoples R China.; Yu, ZS (corresponding author), Shanghai Jiao Tong Univ, SJTU Yale Joint Ctr Biostat &amp; Data Sci, Sch Life Sci &amp; Biotechnol, Shanghai, Peoples R China.; Yu, ZS (corresponding author), Shanghai Jiao Tong Univ, Sch Math Sci, Dept Stat, Shanghai, Peoples R China.; Yu, ZS (corresponding author), Shanghai Jiao Tong Univ, Sch Med, Clin Res Inst, Shanghai, Peoples R China.</t>
  </si>
  <si>
    <t>yuzhangsheng@sjtu.edu.cn</t>
  </si>
  <si>
    <t>[Xia, Yujia; Wei, Ting; Gao, Ruitian; Yu, Zhangsheng] Shanghai Jiao Tong Univ, Sch Life Sci &amp; Biotechnol, Dept Bioinformat &amp; Biostat, Shanghai, Peoples R China; [Xia, Yujia; Zhou, Jie; Wei, Ting; Gao, Ruitian; Yu, Zhangsheng] Shanghai Jiao Tong Univ, SJTU Yale Joint Ctr Biostat &amp; Data Sci, Sch Life Sci &amp; Biotechnol, Shanghai, Peoples R China; [Zhou, Jie; Yu, Zhangsheng] Shanghai Jiao Tong Univ, Sch Math Sci, Dept Stat, Shanghai, Peoples R China; [Xun, Xiaolei] Beigene, Stat Global Stat &amp; Data Sci, Shanghai, Peoples R China; [Zhang, Jin; Reddy, Bobby; Liu, Chao; Kim, Geoffrey] PiHealth USA, Cambridge, MA USA; [Yu, Zhangsheng] Shanghai Jiao Tong Univ, Sch Med, Clin Res Inst, Shanghai, Peoples R China</t>
  </si>
  <si>
    <t>Shanghai Jiao Tong University; Shanghai Jiao Tong University; Shanghai Jiao Tong University; Shanghai Jiao Tong University</t>
  </si>
  <si>
    <t>CT-based multimodal deep learning for non-invasive overall survival prediction in advanced hepatocellular carcinoma patients treated with immunotherapy</t>
  </si>
  <si>
    <t>INSIGHTS INTO IMAGING</t>
  </si>
  <si>
    <t>Unresectable hepatocellular carcinoma; Computed tomography; Prognostic predictions; Multi-modal; Deep learning</t>
  </si>
  <si>
    <t>SEGMENTATION; PROGNOSIS; CANCER</t>
  </si>
  <si>
    <t>/AFI-6110-2022</t>
  </si>
  <si>
    <t>Yu, Zhangsheng/0000-0002-8189-5330</t>
  </si>
  <si>
    <t>SPRINGER WIEN</t>
  </si>
  <si>
    <t>Vienna</t>
  </si>
  <si>
    <t>Prinz-Eugen-Strasse 8-10, A-1040 Vienna, AUSTRIA</t>
  </si>
  <si>
    <t>1869-4101</t>
  </si>
  <si>
    <t>INSIGHTS IMAGING</t>
  </si>
  <si>
    <t>Insights Imaging</t>
  </si>
  <si>
    <t>AUG 26 2024</t>
  </si>
  <si>
    <t>214</t>
  </si>
  <si>
    <t>10.1186/s13244-024-01784-8</t>
  </si>
  <si>
    <t>http://dx.doi.org/10.1186/s13244-024-01784-8</t>
  </si>
  <si>
    <t>D8R7J</t>
  </si>
  <si>
    <t>39186192</t>
  </si>
  <si>
    <t>WOS:001298806400001</t>
  </si>
  <si>
    <t>Yousufi, M; Damasevicius, R; Maskeliunas, R</t>
  </si>
  <si>
    <t>Background/Objectives: This study investigates the classification of Major Depressive Disorder (MDD) using electroencephalography (EEG) Short-Time Fourier-Transform (STFT) spectrograms and audio Mel-spectrogram data of 52 subjects. The objective is to develop a multimodal classification model that integrates audio and EEG data to accurately identify depressive tendencies. Methods: We utilized the Multimodal open dataset for Mental Disorder Analysis (MODMA) and trained a pre-trained Densenet121 model using transfer learning. Features from both the EEG and audio modalities were extracted and concatenated before being passed through the final classification layer. Additionally, an ablation study was conducted on both datasets separately. Results: The proposed multimodal classification model demonstrated superior performance compared to existing methods, achieving an Accuracy of 97.53%, Precision of 98.20%, F1 Score of 97.76%, and Recall of 97.32%. A confusion matrix was also used to evaluate the model's effectiveness. Conclusions: The paper presents a robust multimodal classification approach that outperforms state-of-the-art methods with potential application in clinical diagnostics for depression assessment.</t>
  </si>
  <si>
    <t>Yousufi, Musyyab; Damasevicius, Robertas; Maskeliunas, Rytis</t>
  </si>
  <si>
    <t>Damasevicius, R (corresponding author), Kaunas Univ Technol, Ctr Real Time Comp Syst, LT-51368 Kaunas, Lithuania.</t>
  </si>
  <si>
    <t>musyyab.yousufi@ktu.edu; robertas.damasevicius@ktu.lt</t>
  </si>
  <si>
    <t>[Yousufi, Musyyab; Damasevicius, Robertas; Maskeliunas, Rytis] Kaunas Univ Technol, Ctr Real Time Comp Syst, LT-51368 Kaunas, Lithuania</t>
  </si>
  <si>
    <t>Kaunas University of Technology</t>
  </si>
  <si>
    <t>Multimodal Fusion of EEG and Audio Spectrogram for Major Depressive Disorder Recognition Using Modified DenseNet121</t>
  </si>
  <si>
    <t>BRAIN SCIENCES</t>
  </si>
  <si>
    <t>multimodal fusion; EEG; deep learning; depression; speech</t>
  </si>
  <si>
    <t>NONLINEAR FEATURES; ELECTROENCEPHALOGRAPHY; CLASSIFICATION; SIGNALS</t>
  </si>
  <si>
    <t>Maskeliunas, Rytis/J-7173-2017; Damaševičius, Robertas/E-1387-2017</t>
  </si>
  <si>
    <t>Maskeliunas, Rytis/0000-0002-2809-2213; Damaševičius, Robertas/0000-0001-9990-1084</t>
  </si>
  <si>
    <t>52</t>
  </si>
  <si>
    <t>43</t>
  </si>
  <si>
    <t>2076-3425</t>
  </si>
  <si>
    <t>BRAIN SCI</t>
  </si>
  <si>
    <t>Brain Sci.</t>
  </si>
  <si>
    <t>OCT 2024</t>
  </si>
  <si>
    <t>1018</t>
  </si>
  <si>
    <t>10.3390/brainsci14101018</t>
  </si>
  <si>
    <t>http://dx.doi.org/10.3390/brainsci14101018</t>
  </si>
  <si>
    <t>Clinical Neurology; Neurosciences</t>
  </si>
  <si>
    <t>K1W1F</t>
  </si>
  <si>
    <t>39452032</t>
  </si>
  <si>
    <t>WOS:001341843100001</t>
  </si>
  <si>
    <t>Ahn, JY; Arthanari, S; Moorthy, S; Moon, YK</t>
  </si>
  <si>
    <t>Multimodal emotion recognition is challenging because behavioral signals and physiological responses evolve at different temporal rates. Facial expressions and speech often change rapidly after an emotional event, whereas peripheral biosignals such as electrodermal activity, blood volume pulse, and skin temperature exhibit delayed and smoother dynamics. This temporal inconsistency can degrade fusion performance, particularly in real-world recordings with noisy or missing modalities. To address this issue, this study proposes SGMT, an S-PACE Gated Multimodal Transformer for emotion recognition using speech, facial video, and physiological signals. The proposed SGMT introduces S-PACE, a physiology-guided cross-attention mechanism that aligns fast behavioral cues with slower biosignal representations without assuming a fixed temporal delay. A Quality-Aware Gate further improves robustness by adaptively weighting modalities according to signal reliability. The fused representations are processed using a Temporal Swin Transformer and a Perceiver Fusion module for arousal-valence prediction and emotion quadrant classification. Experiments are conducted on the Korean multimodal emotion datasets KEMDy20 and K-EmoCon under different modality settings. SGMT achieves arousal UARs of 68.4% on KEMDy20 and 62.9% on K-EmoCon, with quadrant accuracies of 44.7% and 62.5%, respectively. Ablation studies demonstrate that the proposed alignment and gating strategies provide more stable multimodal fusion than conventional feature concatenation. The results indicate that SGMT effectively adapts to varying modality availability and improves multimodal emotion recognition in naturalistic environments.</t>
  </si>
  <si>
    <t>Ahn, Jun-Young; Arthanari, Sathiyamoorthi; Moorthy, Sathishkumar; Moon, Yeon-Kug</t>
  </si>
  <si>
    <t>Moon, YK (corresponding author), Sejong Univ, Dept Artificial Intelligence &amp; Data Sci, HEART Lab, Human Emot &amp; Intelligent Agent Res Future Transfor, 209 Neungdong Ro, Seoul 05006, South Korea.</t>
  </si>
  <si>
    <t>ykmoon@sejong.ac.kr; wnsdud2689@sju.ac.kr</t>
  </si>
  <si>
    <t>Ministry of Culture, Sports and Tourism (MCST) [RS-2024-0035196]; Ministry of Trade, Industry and Energy (MOTIE) [RS-2024-00487049]</t>
  </si>
  <si>
    <t>Ministry of Culture, Sports and Tourism (MCST) (Ministry of Culture, Sports &amp; Tourism (MCST), Republic of Korea); Ministry of Trade, Industry and Energy (MOTIE) (Ministry of Trade, Industry &amp; Energy (MOTIE), Republic of Korea)</t>
  </si>
  <si>
    <t>This work was supported in part by the Technology Innovation Program (RS-2024-00487049, Development and demonstration of complex emotion recognition on-device AI technology for in-vehicle driver emotional services) funded by the Ministry of Trade, Industry and Energy (MOTIE), Republic of Korea, and in part by the Culture, Sports and Tourism R&amp;D Program through the Korea Creative Content Agency (KOCCA), funded by the Ministry of Culture, Sports and Tourism (MCST), Republic of Korea (RS-2024-0035196, Development of AI-based content production technologies to advance volumetric studio and virtual production).</t>
  </si>
  <si>
    <t>[Ahn, Jun-Young; Arthanari, Sathiyamoorthi; Moorthy, Sathishkumar; Moon, Yeon-Kug] Sejong Univ, Dept Artificial Intelligence &amp; Data Sci, HEART Lab, Human Emot &amp; Intelligent Agent Res Future Transfor, 209 Neungdong Ro, Seoul 05006, South Korea</t>
  </si>
  <si>
    <t>Sejong University</t>
  </si>
  <si>
    <t>SGMT with S-PACE: A Framework for Temporal Alignment and Quality-Aware Multimodal Fusion in Emotion Recognition</t>
  </si>
  <si>
    <t>MATHEMATICS</t>
  </si>
  <si>
    <t>multimodal emotion recognition; physiological signal alignment; quality-aware fusion; temporal transformer; bio-behavioral synchronization; affective computing; gated fusion; wearable biosensors</t>
  </si>
  <si>
    <t>Moorthy, Sathishkumar/N-9612-2013</t>
  </si>
  <si>
    <t>47</t>
  </si>
  <si>
    <t>2227-7390</t>
  </si>
  <si>
    <t>MATHEMATICS-BASEL</t>
  </si>
  <si>
    <t>Mathematics</t>
  </si>
  <si>
    <t>MAY 19 2026</t>
  </si>
  <si>
    <t>1743</t>
  </si>
  <si>
    <t>10.3390/math14101743</t>
  </si>
  <si>
    <t>http://dx.doi.org/10.3390/math14101743</t>
  </si>
  <si>
    <t>IM1ZQ</t>
  </si>
  <si>
    <t>WOS:001774989100001</t>
  </si>
  <si>
    <t>Shi, ZY; Huang, W</t>
  </si>
  <si>
    <t>Multimodal Sentiment Analysis (MSA) faces two persistent challenges: the presence of deceptive or noisy information within modalities, and the representational bottlenecks of shallow prediction heads. To address these challenges, we propose an Adaptive Multimodal Fusion with Hierarchical Semantic Disentanglement (AHSD), which achieves robust multimodal representation learning through uncertainty-aware dynamic calibration, alongside semantic disentanglement and refinement. Specifically, to mitigate the impact of deceptive or noisy information within modalities, the Adaptive Multimodal Attention Mechanism (AMMA) performs uncertainty-aware modality calibration by learning sample-specific reliability-aware weights for each modality, thereby enabling adaptive and robust cross-modal interaction. To overcome the limitations of shallow prediction, the Hierarchical Feature Refinement (HFR) module adopts a semantic disentanglement and refinement strategy based on parallel subspace projection. HFR maps the fused representations into complementary semantic subspaces. This enables the model to simultaneously capture coarse-grained sentiment semantics and fine-grained affective cues without substantially increasing model complexity. Furthermore, we employ a dual-regularization strategy (attention entropy and modality balance) to actively penalize single-modality dominance and ensure stable optimization. Extensive experiments on the CMU-MOSI and CMU-MOSEI benchmarks demonstrate that AHSD consistently achieves highly competitive performance against state-of-the-art multimodal sentiment analysis approaches across multiple evaluation metrics.</t>
  </si>
  <si>
    <t>Shi, Zhengyang; Huang, Wei</t>
  </si>
  <si>
    <t>Huang, W (corresponding author), Jishou Univ, Sch Comp Sci &amp; Engn, Ziwu Rd 20, Zhangjiajie 427000, Hunan, Peoples R China.</t>
  </si>
  <si>
    <t>xtuhw@126.com; 19861736580@163.com</t>
  </si>
  <si>
    <t>[Shi, Zhengyang; Huang, Wei] Jishou Univ, Sch Comp Sci &amp; Engn, Ziwu Rd 20, Zhangjiajie 427000, Hunan, Peoples R China</t>
  </si>
  <si>
    <t>Jishou University</t>
  </si>
  <si>
    <t>AHSD: adaptive multimodal fusion with hierarchical semantic disentanglement for sentiment analysis</t>
  </si>
  <si>
    <t>MULTIMEDIA SYSTEMS</t>
  </si>
  <si>
    <t>Multimodal sentiment analysis; Adaptive attention mechanism; Hierarchical feature refinement; Cross-modal fusion</t>
  </si>
  <si>
    <t>0942-4962</t>
  </si>
  <si>
    <t>1432-1882</t>
  </si>
  <si>
    <t>MULTIMEDIA SYST</t>
  </si>
  <si>
    <t>Multimedia Syst.</t>
  </si>
  <si>
    <t>455</t>
  </si>
  <si>
    <t>10.1007/s00530-026-02527-z</t>
  </si>
  <si>
    <t>http://dx.doi.org/10.1007/s00530-026-02527-z</t>
  </si>
  <si>
    <t>Computer Science, Information Systems; Computer Science, Theory &amp; Methods</t>
  </si>
  <si>
    <t>LE0EB</t>
  </si>
  <si>
    <t>WOS:001822352300008</t>
  </si>
  <si>
    <t>Ramadevi, Y; Shailaja, T; Gireesh, C; Valaboju, S; Sekar, MR; Aakuthota, NK</t>
  </si>
  <si>
    <t>Close-to-real-time mental health monitoring has gained significant interest in affective computing, particularly for emotion recognition and affective state analysis in stressful situations. Most commonly, conventional approaches use only one modality, such as speech, facial expressions, or physiological signals, and these are not always capable of capturing the complexity and dynamism of affective responses. While recent multimodal formats have achieved strong predictive performance, many remain sensitive to noisy inputs, missing modalities, insufficient modelling of cross-modal interactions, and inadequate handling of heterogeneous data. This paper proposes a multimodal deep learning framework, MentalHealthSense-AI, to overcome these challenges by combining EEG, speech and facial features for affective state analysis. The framework proposed in this work consists of modality-specific encoders and a reliability-aware cross-modal attention mechanism that adaptively adjusts the contribution of modalities based on signal quality. Moreover, a joint affective state estimation approach and a streaming inference pipeline with temporal smoothing are integrated to ensure stable, low-latency predictions. Experimental testing on benchmark datasets shows that the system has strong predictive capabilities, achieving up to 95.2% accuracy and 94.8% F1 score for emotion recognition, and a low error rate in estimating affective indicators of stress, with a minimum MSE of 0.018. Comparisons with recently developed multimodal affective computing systems also show competitive results, tolerance to noisy and missing modalities, and high cross-dataset generalisation. These results illustrate that MentalHealthSense-AI can serve as a reliable, interpretable, and flexible multimodal framework for long-term continuous affective state monitoring and real-time mental health support applications, and suggest that it has the potential for future deployment on resource-constrained and wearable computing platforms, with further optimisation and hardware-specific validation.</t>
  </si>
  <si>
    <t>Ramadevi, Y.; Shailaja, T.; Gireesh, C.; Valaboju, Sabitha; Sekar, M. Raja; Aakuthota, Naveen Kumar</t>
  </si>
  <si>
    <t>Ramadevi, Y (corresponding author), Chaitanya Bharathi Inst Technol, Dept CSE AI&amp;ML, Osman Sagar Rd, Hyderabad 500075, Telangana, India.</t>
  </si>
  <si>
    <t>sabithav507@gmail.com; tshailu11@gmail.com; rajasekarm9@gmail.com; naveenkumar.aakuthota@gmail.com; c.gireesh@vce.ac.in; yrdcse.cbit@gmail.com</t>
  </si>
  <si>
    <t>No financial support was received by the authors in this research.</t>
  </si>
  <si>
    <t>[Ramadevi, Y.] Chaitanya Bharathi Inst Technol, Dept CSE AI&amp;ML, Osman Sagar Rd, Hyderabad 500075, Telangana, India; [Shailaja, T.] Geethanjali Coll Engn &amp; Technol, Dept Comp Sci &amp; Engn Data Sci, Hyderabad 501301, Telangana, India; [Gireesh, C.] Vasavi Coll Engn A, Dept Comp Sci &amp; Engn, Hyderabad, Telangana, India; [Valaboju, Sabitha] CVR Coll Engn, Dept Comp Sci &amp; Engn AI &amp; ML, Hyderabad 501510, India; [Sekar, M. Raja] VNR Vignana Jyothi Inst Engn &amp; Technol, Dept CSE Cys DS, AI &amp; DS, Hyderabad, Telangana, India; [Aakuthota, Naveen Kumar] Koneru Lakshmaiah Educ Fdn, Dept Comp Sci &amp; Engn, Hyderabad 500043, Telangana, India</t>
  </si>
  <si>
    <t>Chaitanya Bharathi Institute of Technology; Geethanjali College of Engineering &amp; Technology; Vallurupalli Nageswara Rao Vignana Jyothi Institute of Engineering &amp;Technology (VNR VJIET); Koneru Lakshmaiah Education Foundation (K L Deemed to be University)</t>
  </si>
  <si>
    <t>Reliability aware multimodal deep learning framework for real time stress and emotional state prediction using speech EEG and facial cues</t>
  </si>
  <si>
    <t>DISCOVER COMPUTING</t>
  </si>
  <si>
    <t>Multimodal affective computing; Stress prediction; Emotion recognition; Reliability-aware fusion; Real-time mental health monitoring</t>
  </si>
  <si>
    <t>ATTENTION NETWORK; RECOGNITION; FUSION</t>
  </si>
  <si>
    <t>Valaboju, Sabitha/OEN-3183-2025; C, Gireesh/AGA-9085-2022; M, Rajasekar/GOG-9763-2022</t>
  </si>
  <si>
    <t>72</t>
  </si>
  <si>
    <t>2948-2984</t>
  </si>
  <si>
    <t>2948-2992</t>
  </si>
  <si>
    <t>DISCOV COMPUT</t>
  </si>
  <si>
    <t>Discov. Comput.</t>
  </si>
  <si>
    <t>JUL 15 2026</t>
  </si>
  <si>
    <t>442</t>
  </si>
  <si>
    <t>10.1007/s10791-026-10338-z</t>
  </si>
  <si>
    <t>http://dx.doi.org/10.1007/s10791-026-10338-z</t>
  </si>
  <si>
    <t>Computer Science, Information Systems</t>
  </si>
  <si>
    <t>LC2SA</t>
  </si>
  <si>
    <t>WOS:001821168400001</t>
  </si>
  <si>
    <t>Liu, XL; Pan, F; Song, HN; Cao, SY; Li, CP; Li, TS</t>
  </si>
  <si>
    <t>With the increasing richness of medical images and clinical data, abundant data support is provided for multimodal chest disease diagnosis methods. However, traditional multimodal fusion methods are often relatively simple, leading to insufficient exploitation of crossmodal complementary advantages. At the same time, existing multimodal chest disease diagnosis methods usually focus on two modalities, and their scalability is poor when extended to three or more modalities. Moreover, in practical clinical scenarios, missing modality problems often arise due to equipment limitations or incomplete data acquisition. To address these issues, this paper proposes a novel multimodal chest disease classification model, MDFormer. This model designs a crossmodal attention fusion mechanism, MFAttention, and combines it with the Transformer architecture to construct a multimodal fusion module, MFTrans, which effectively integrates medical imaging, clinical text, and vital signs data. When extended to multiple modalities, MFTrans significantly reduces model parameters. At the same time, this paper also proposes a two-stage masked enhancement classification and contrastive learning training framework, MECCL, which significantly improves the model's robustness and transferability. Experimental results show that MDFormer achieves a classification precision of 0.8 on the MIMIC dataset, and when 50% of the modality data are missing, the AUC can reach 85% of that of the complete data, outperforming models that did not use two-stage training.</t>
  </si>
  <si>
    <t>Liu, Xinlong; Pan, Fei; Song, Hainan; Cao, Siyi; Li, Chunping; Li, Tanshi</t>
  </si>
  <si>
    <t>Li, CP (corresponding author), Tsinghua Univ, Sch Software, Beijing 100853, Peoples R China.; Li, TS (corresponding author), Peoples Liberat Army Gen Hosp, Emergency Dept, Med Ctr 1, Beijing 100853, Peoples R China.</t>
  </si>
  <si>
    <t>bjsonghainan@163.com; cli@tsinghua.edu.cn; caosiyi0913@126.com; lts301@163.com; xl-liu22@mails.tsinghua.edu.cn; panf301@163.com</t>
  </si>
  <si>
    <t>[Liu, Xinlong; Li, Chunping] Tsinghua Univ, Sch Software, Beijing 100853, Peoples R China; [Pan, Fei; Song, Hainan; Cao, Siyi; Li, Tanshi] Peoples Liberat Army Gen Hosp, Emergency Dept, Med Ctr 1, Beijing 100853, Peoples R China</t>
  </si>
  <si>
    <t>Tsinghua University; Chinese People's Liberation Army General Hospital</t>
  </si>
  <si>
    <t>MDFormer: Transformer-Based Multimodal Fusion for Robust Chest Disease Diagnosis</t>
  </si>
  <si>
    <t>chest disease classification; transformer; multimodal fusion; two-stage training framework</t>
  </si>
  <si>
    <t>LUNG-DISEASE; CLASSIFICATION; PREDICTION</t>
  </si>
  <si>
    <t>Li, Chunping/0000-0002-4521-0875</t>
  </si>
  <si>
    <t>MAY 9 2025</t>
  </si>
  <si>
    <t>1926</t>
  </si>
  <si>
    <t>10.3390/electronics14101926</t>
  </si>
  <si>
    <t>http://dx.doi.org/10.3390/electronics14101926</t>
  </si>
  <si>
    <t>3AW2B</t>
  </si>
  <si>
    <t>WOS:001495951300001</t>
  </si>
  <si>
    <t>Wang, H; Wu, DH; Han, SG; Tang, JL; Zhang, WL</t>
  </si>
  <si>
    <t>Radiation pneumonitis (RP), one of the most common and severe complications in locally advanced non-small cell lung cancer (LA-NSCLC) patients following thoracic radiotherapy, presents significant challenges in prediction due to the complexity of clinical risk factors, incomplete multimodal data, and unavailable slice-level annotations in pre-radiotherapy CT images. To address these challenges, we propose a multimodal fusion framework based on Dual-Layer Attention-Based Adaptive Bag Embedding Multiple-Instance Learning (DAAE-MIL) for accurate RP prediction. This study retrospectively collected data from 995 LA-NSCLC patients who received thoracic radiotherapy between November 2018 and April 2025. After screening, Subject datasets (n = 670) were allocated for training (n = 535), and the remaining samples (n = 135) were reserved for an independent test set. The proposed framework first extracts pre-radiotherapy CT image features using a fine-tuned C3D network, followed by the DAAE-MIL module to screen critical instances and generate bag-level representations, thereby enhancing the accuracy of deep feature extraction. Subsequently, clinical data, radiomics features, and CT-derived deep features are integrated to construct a multimodal prediction model. The proposed model demonstrates promising RP prediction performance across multiple evaluation metrics, outperforming both state-of-the-art and unimodal RP prediction approaches. On the test set, it achieves an accuracy (ACC) of 0.93 and an area under the curve (AUC) of 0.97. This study validates that the proposed method effectively addresses the limitations of single-modal prediction and the unknown key features in pre-radiotherapy CT images while providing significant clinical value for RP risk assessment.</t>
  </si>
  <si>
    <t>Wang, Hao; Wu, Dinghui; Han, Shuguang; Tang, Jingli; Zhang, Wenlong</t>
  </si>
  <si>
    <t>Wu, DH (corresponding author), Jiangnan Univ, Sch Automat &amp; Intelligent Sci, Wuxi 214122, Peoples R China.; Han, SG (corresponding author), Jiangnan Univ Med Ctr, Wuxi Sch Med, Dept Resp &amp; Crit Care Med, Wuxi 214122, Peoples R China.</t>
  </si>
  <si>
    <t>6231905049@stu.jiangnan.edu.cn; wenlongkekexili@163.com; hsgzxs@163.com; wdh123@jiangnan.edu.cn; haowang@stu.jiangnan.edu.cn</t>
  </si>
  <si>
    <t>Wuxi Municipal Bureau on Science and Technology [Y20242206]</t>
  </si>
  <si>
    <t>Wuxi Municipal Bureau on Science and Technology</t>
  </si>
  <si>
    <t>This research was supported by the Medical Key Strategic Project of Wuxi Health Commission, Wuxi Municipal Bureau on Science and Technology, grant number Y20242206.</t>
  </si>
  <si>
    <t>[Wang, Hao; Wu, Dinghui; Tang, Jingli] Jiangnan Univ, Sch Automat &amp; Intelligent Sci, Wuxi 214122, Peoples R China; [Han, Shuguang; Zhang, Wenlong] Jiangnan Univ Med Ctr, Wuxi Sch Med, Dept Resp &amp; Crit Care Med, Wuxi 214122, Peoples R China</t>
  </si>
  <si>
    <t>Jiangnan University</t>
  </si>
  <si>
    <t>Multimodal Fusion Prediction of Radiation Pneumonitis via Key Pre-Radiotherapy Imaging Feature Selection Based on Dual-Layer Attention Multiple-Instance Learning</t>
  </si>
  <si>
    <t>JOURNAL OF IMAGING</t>
  </si>
  <si>
    <t>radiation pneumonitis; dual-layer attention; bag embedding; multiple-instance learning; multimodal</t>
  </si>
  <si>
    <t>CANCER; DIAGNOSIS</t>
  </si>
  <si>
    <t>26</t>
  </si>
  <si>
    <t>2313-433X</t>
  </si>
  <si>
    <t>J IMAGING</t>
  </si>
  <si>
    <t>J. Imaging</t>
  </si>
  <si>
    <t>APR 8 2026</t>
  </si>
  <si>
    <t>158</t>
  </si>
  <si>
    <t>10.3390/jimaging12040158</t>
  </si>
  <si>
    <t>http://dx.doi.org/10.3390/jimaging12040158</t>
  </si>
  <si>
    <t>Imaging Science &amp; Photographic Technology</t>
  </si>
  <si>
    <t>HB0LZ</t>
  </si>
  <si>
    <t>42042501</t>
  </si>
  <si>
    <t>WOS:001749792500001</t>
  </si>
  <si>
    <t>Gao, F; Ding, JX; Gai, BW; Cai, D; Hu, CL; Wang, FA; He, RK; Liu, JW; Li, YX; Wu, XJ</t>
  </si>
  <si>
    <t>Understanding the prognosis of cancer patients is crucial for enabling precise diagnosis and treatment by clinical practitioners. Multimodal fusion models based on artificial intelligence (AI) offer a comprehensive depiction of the tumor heterogeneity landscape, facilitating more accurate predictions of cancer patient prognosis. However, in the real-world, the lack of complete multimodal data from patients often hinders the practical clinical utility of such models. To address this limitation, an interpretable bridged multimodal fusion model is developed that combines histopathology, genomics, and transcriptomics. This model assists clinical practitioners in achieving more precise prognosis predictions, particularly when patients lack corresponding molecular features. The predictive capabilities of the model are validated across 12 cancer types, achieving optimal performance in both complete and missing modalities. The work highlights the promise of developing a clinically applicable medical multimodal fusion model. This not only aids in reducing the healthcare burden on cancer patients but also provides improved assistance for clinical practitioners in precise diagnosis and treatment.</t>
  </si>
  <si>
    <t>Gao, Feng; Ding, Junxiang; Gai, Baowen; Cai, Du; Hu, Chuling; Wang, Feng-Ao; He, Ruikun; Liu, Junwei; Li, Yixue; Wu, Xiao-Jian</t>
  </si>
  <si>
    <t>Wu, XJ (corresponding author), Sun Yat Sen Univ, Affiliated Hosp 6, Dept Gen Surg, Dept Colorectal Surg, Guangzhou 510655, Peoples R China.; Wu, XJ (corresponding author), Sun Yat Sen Univ, Affiliated Hosp 6, Guangdong Prov Key Lab Colorectal &amp; Pelv Floor Dis, Guangzhou 510655, Peoples R China.; Wu, XJ (corresponding author), Sun Yat Sen Univ, Affiliated Hosp 6, Biomed Innovat Ctr, Guangzhou 510655, Peoples R China.; Liu, JW; Li, YX (corresponding author), Guangzhou Natl Lab, Guangzhou 510005, Peoples R China.; Li, YX (corresponding author), Univ Chinese Acad Sci, Hangzhou Inst Adv Study, Sch Life Sci, Key Lab Syst Hlth Sci Zhejiang Prov, Hangzhou 310024, Peoples R China.; Li, YX (corresponding author), Guangzhou Med Univ, GZMU GIBH Joint Sch Life Sci, Guangdong Hong Kong Macau Joint Lab Cell Fate Regu, Hong Kong 511436, Peoples R China.; Li, YX (corresponding author), Shanghai Jiao Tong Univ, Sch Life Sci &amp; Biotechnol, Shanghai 200240, Peoples R China.; Li, YX (corresponding author), Chinese Acad Sci, Shanghai Inst Nutr &amp; Hlth, Shanghai 200030, Peoples R China.; Li, YX (corresponding author), Fudan Univ, Collaborat Innovat Ctr Genet &amp; Dev, Shanghai 200433, Peoples R China.; Li, YX (corresponding author), Shanghai Inst Biomed &amp; Pharmaceut Technol, Shanghai 200032, Peoples R China.</t>
  </si>
  <si>
    <t>liu_junwei@gzlab.ac.cn; wuxjian@mail.sysu.edu.cn; li_yixue@gzlab.ac.cn</t>
  </si>
  <si>
    <t>Noncommunicable Chronic Diseases-National Science and Technology Major Project [2023ZD0501600]; National Natural Science Foundation of China [8227242]; Guangzhou Basic and Applied Basic Research Fund [202102020820]; CAS Research Fund [XDB38050200]; Self-supporting Program of Guangzhou Laboratory [SRPG22-001, SRPG22-007]; Guangzhou Key Research and Development Project [202206080008]; Guangdong Key Research and Development Project [2023B1111040003]; Guangdong Basic and Applied Basic Research Foundation [2023B1515130008, 2023A1515110196]; Tianshan Talents . Leading Medical Talents in Guangdong Province Cooperative Expert Studio [KSYJ2022001]; Postdoctoral Fellowship Program of CPSF [GZC20233214]; Program of Guangdong Provincial Clinical Research Center for Digestive Diseases [2020B1111170004]; National Key Clinical Discipline</t>
  </si>
  <si>
    <t>Noncommunicable Chronic Diseases-National Science and Technology Major Project; National Natural Science Foundation of China (National Natural Science Foundation of China (NSFC)); Guangzhou Basic and Applied Basic Research Fund; CAS Research Fund; Self-supporting Program of Guangzhou Laboratory; Guangzhou Key Research and Development Project; Guangdong Key Research and Development Project; Guangdong Basic and Applied Basic Research Foundation (Guangdong Basic and Applied Basic Research Foundation); Tianshan Talents . Leading Medical Talents in Guangdong Province Cooperative Expert Studio; Postdoctoral Fellowship Program of CPSF; Program of Guangdong Provincial Clinical Research Center for Digestive Diseases; National Key Clinical Discipline</t>
  </si>
  <si>
    <t>F. Gao, J. Ding, B. Gai and D. Cai contributed equally to this study. This study was supported by Noncommunicable Chronic Diseases-National Science and Technology Major Project (2023ZD0501600), the National Natural Science Foundation of China (No. 8227242, FG), Guangzhou Basic and Applied Basic Research Fund (No. 202102020820, FG), CAS Research Fund (No. XDB38050200, YL), Self-supporting Program of Guangzhou Laboratory (No. SRPG22-001 and No. SRPG22-007, YL), the Guangzhou Key Research and Development Project (No. 202206080008, XW), Guangdong Key Research and Development Project (No. 2023B1111040003, XW), Guangdong Basic and Applied Basic Research Foundation (No. 2023B1515130008, XW), "Tianshan Talents Leading Medical Talents in Guangdong Province" Cooperative Expert Studio (NO. KSYJ2022001, XW), Guangdong Basic and Applied Basic Research Foundation (No. 2023A1515110196, DC), Postdoctoral Fellowship Program of CPSF (No. GZC20233214, DC), the program of Guangdong Provincial Clinical Research Center for Digestive Diseases (2020B1111170004), National Key Clinical Discipline.</t>
  </si>
  <si>
    <t>[Gao, Feng; Gai, Baowen; Cai, Du; Hu, Chuling; Wu, Xiao-Jian] Sun Yat Sen Univ, Affiliated Hosp 6, Dept Gen Surg, Dept Colorectal Surg, Guangzhou 510655, Peoples R China; [Gao, Feng; Gai, Baowen; Cai, Du; Hu, Chuling; Wu, Xiao-Jian] Sun Yat Sen Univ, Affiliated Hosp 6, Guangdong Prov Key Lab Colorectal &amp; Pelv Floor Dis, Guangzhou 510655, Peoples R China; [Gao, Feng; Gai, Baowen; Cai, Du; Hu, Chuling; Wu, Xiao-Jian] Sun Yat Sen Univ, Affiliated Hosp 6, Biomed Innovat Ctr, Guangzhou 510655, Peoples R China; [Gao, Feng] Shanghai Artificial Intelligence Lab, Shanghai 200031, Peoples R China; [Ding, Junxiang; Wang, Feng-Ao; Liu, Junwei; Li, Yixue] Guangzhou Natl Lab, Guangzhou 510005, Peoples R China; [Ding, Junxiang; Wang, Feng-Ao; Li, Yixue] Univ Chinese Acad Sci, Hangzhou Inst Adv Study, Sch Life Sci, Key Lab Syst Hlth Sci Zhejiang Prov, Hangzhou 310024, Peoples R China; [He, Ruikun] BYHEALTH Inst Nutr &amp; Hlth, Guangzhou 510000, Peoples R China; [Li, Yixue] Guangzhou Med Univ, GZMU GIBH Joint Sch Life Sci, Guangdong Hong Kong Macau Joint Lab Cell Fate Regu, Hong Kong 511436, Peoples R China; [Li, Yixue] Shanghai Jiao Tong Univ, Sch Life Sci &amp; Biotechnol, Shanghai 200240, Peoples R China; [Li, Yixue] Chinese Acad Sci, Shanghai Inst Nutr &amp; Hlth, Shanghai 200030, Peoples R China; [Li, Yixue] Fudan Univ, Collaborat Innovat Ctr Genet &amp; Dev, Shanghai 200433, Peoples R China; [Li, Yixue] Shanghai Inst Biomed &amp; Pharmaceut Technol, Shanghai 200032, Peoples R China</t>
  </si>
  <si>
    <t>Sun Yat Sen University; Sun Yat Sen University; Sun Yat Sen University; Shanghai Artificial Intelligence Laboratory; Guangzhou Laboratory; Chinese Academy of Sciences; University of Chinese Academy of Sciences, CAS; Guangzhou Medical University; Shanghai Jiao Tong University; Chinese Academy of Sciences; Shanghai Institute of Nutrition &amp; Health, CAS; Fudan University; Shanghai Academy of Science &amp; Technology</t>
  </si>
  <si>
    <t>Interpretable Multimodal Fusion Model for Bridged Histology and Genomics Survival Prediction in Pan-Cancer</t>
  </si>
  <si>
    <t>artificial intelligence; interpretable bridged multimodal fusion model; pan-cancer; survival prediction</t>
  </si>
  <si>
    <t>HETEROGENEITY; INFLAMMATION; EXPRESSION; SIGIRR</t>
  </si>
  <si>
    <t>Liu, Junwei/KPA-7637-2024; he, rui/NQF-8905-2025; Hu, chuling/AEJ-5246-2022; Gao, Feng/AAE-4201-2020</t>
  </si>
  <si>
    <t>Cai, Du/0000-0002-8894-7973; Gai, Bao-Wen/0009-0005-5934-4267; Liu, Junwei/0000-0001-8446-4221; 丁, 俊翔/0009-0005-5513-5804</t>
  </si>
  <si>
    <t>MAY 2025</t>
  </si>
  <si>
    <t>2407060</t>
  </si>
  <si>
    <t>10.1002/advs.202407060</t>
  </si>
  <si>
    <t>http://dx.doi.org/10.1002/advs.202407060</t>
  </si>
  <si>
    <t>MAR 2025</t>
  </si>
  <si>
    <t>2KH6G</t>
  </si>
  <si>
    <t>40051298</t>
  </si>
  <si>
    <t>WOS:001438977100001</t>
  </si>
  <si>
    <t>Ates, AH; Yurtsever, U</t>
  </si>
  <si>
    <t>Given the multifaceted nature of reality, phenomena can be interpreted not only through singular perspectives but also by bringing together various dimensions. Meaning often emerges from the convergence of diverse perspectives, contexts, and forms of representation. The construction of systems capable of analyzing this multilayered structure requires integrating heterogeneous types of information within a holistic, interactive framework. For this multilayered structure to be processable by artificial intelligence systems, the synthesis of heterogeneous information types from various sources in a holistic structure is mandated. In response to this requirement, multimodal learning is an approach that aims to develop more contextual and generalizable artificial intelligence systems by combining heterogeneous data from different modalities (e.g., text, images, audio, sensor data) within an integrated structure. Based on recent literature, this review examines the conceptual foundations of multimodal learning and its key technical challenges, including representation learning, alignment, fusion, translation, missing modality, and co-learning. This study systematically compares and classifies more than 50 of the most prominent review articles published between 2010 and 2025 in a comprehensive table, summarizing the challenges they address, their application areas, and practical contributions. Attention has been drawn to areas often neglected in the literature, such as co-learning and missing modality, as well as to other critical gaps persisting in the field. Furthermore, the paper presents multimodal applications in healthcare, robotics, autonomous driving, remote sensing, and security, along with common multimodal datasets. By bridging theoretical foundations and real-world applications, this study provides a comprehensive reference for the field of multimodal learning.</t>
  </si>
  <si>
    <t>Ates, Ali Husameddin; Yurtsever, Ulas</t>
  </si>
  <si>
    <t>Ates, AH (corresponding author), Sakarya Univ, Fac Comp &amp; Informat Sci, Dept Comp Engn, TR-54050 Sakarya, Turkiye.; Ates, AH (corresponding author), Sakarya Univ, Res Dev &amp; Applicat Ctr SARGEM, Interdisciplinary Artificial Intelligence Lab, TR-54050 Sakarya, Turkiye.</t>
  </si>
  <si>
    <t>ulas@sakarya.edu.tr; aliates@sakarya.edu.tr</t>
  </si>
  <si>
    <t>[Ates, Ali Husameddin; Yurtsever, Ulas] Sakarya Univ, Fac Comp &amp; Informat Sci, Dept Comp Engn, TR-54050 Sakarya, Turkiye; [Ates, Ali Husameddin; Yurtsever, Ulas] Sakarya Univ, Res Dev &amp; Applicat Ctr SARGEM, Interdisciplinary Artificial Intelligence Lab, TR-54050 Sakarya, Turkiye</t>
  </si>
  <si>
    <t>Sakarya University; Sakarya University</t>
  </si>
  <si>
    <t>AN OVERVIEW OF MULTIMODAL LEARNING: CONCEPTS, CHALLENGES, APPLICATIONS AND DATASETS</t>
  </si>
  <si>
    <t>KONYA JOURNAL OF ENGINEERING SCIENCES</t>
  </si>
  <si>
    <t>Artificial Intelligence; Multimodal Applications; Multimodal Challenges; Multimodal Datasets; Multimodal Learning</t>
  </si>
  <si>
    <t>DATA FUSION; LANGUAGE; VISION; RECOGNITION; EDGE</t>
  </si>
  <si>
    <t>Ateş, Ali/KIA-7652-2024; Yurtsever, Ulaş/M-1814-2015</t>
  </si>
  <si>
    <t>154</t>
  </si>
  <si>
    <t>Konya Teknik Univ</t>
  </si>
  <si>
    <t>Selcuklu</t>
  </si>
  <si>
    <t>Ardicli Mah Rauf Orbay Cad, Selcuklu, Turkiye</t>
  </si>
  <si>
    <t>2667-8055</t>
  </si>
  <si>
    <t>KONYA J ENG SCI</t>
  </si>
  <si>
    <t>Konya J. Eng. Sci.</t>
  </si>
  <si>
    <t>JUN 4 2026</t>
  </si>
  <si>
    <t>917</t>
  </si>
  <si>
    <t>950</t>
  </si>
  <si>
    <t>10.36306/konjes.1716813</t>
  </si>
  <si>
    <t>http://dx.doi.org/10.36306/konjes.1716813</t>
  </si>
  <si>
    <t>KE5ZQ</t>
  </si>
  <si>
    <t>WOS:001805107900002</t>
  </si>
  <si>
    <t>Scatigno, C; Giampaolo, S; Pace, G; Galetti, S; Picciau, M; Festa, G</t>
  </si>
  <si>
    <t>During the Italian Renaissance, drawings were primarily created as preparatory studies for final works, including sculptures, paintings, and frescoes. Today, these drawings not only illustrate the conceptual and technical processes employed by artists but also enhance our understanding of the materials and techniques of the period. The analysis of such drawings involves execution methods such as strokes, line drawing, shading, and hatching, while also offering valuable insight into the development of art prints during that period. In this context, advanced technologies, such as spectroscopy and machine learning (ML) have been successfully employed to access the state of conservation, raw materials and execution methods of these masterpieces. Spectroscopy enables the identification of pigments, inks, and papers, while machine learning models can enhance the interpretation of complex data, revealing deeper insights into artistic processes, material degradation, and the evolution of drawing techniques. Here, an innovative machine learning approach is developed for the analysis of composition, degradation, and artistic techniques of an Italian Renaissance drawing attributed to Giulio Romano, titled Amazzonomachia (16th century) and preserved at the Istituto Centrale per la Grafica in Rome. By integrating multimodal spectroscopic data (e.g. X-ray fluorescence spectroscopy-XRF, Fourier transform infrared spectroscopy-FTIR) with machine learning models, we identify the use of lead-based mine as the preferred workshop drawing material, and the use of iron gall ink to emphasize line strokes, providing valuable insights into the preservation and restoration of these masterpieces. The results demonstrate a robust multimodal framework for analyzing historical drawing by integrating spectroscopy and machine learning, establishing a potential new standard in the field. The approach bridges material science and heritage studies, pushing cultural heritage diagnostics into the AI era.</t>
  </si>
  <si>
    <t>Scatigno, Claudia; Giampaolo, Silvia; Pace, Gabriella; Galetti, Serena; Picciau, Maura; Festa, Giulia</t>
  </si>
  <si>
    <t>Scatigno, C; Festa, G (corresponding author), CREF Museo Stor Fis, Via Panisperna 89a,Piazza Viminale 1, I-00184 Rome, Italy.; Scatigno, C; Festa, G (corresponding author), Ctr Studi &amp; Ric Enrico Fermi, Via Panisperna 89a,C-o Piazza Viminale 1, I-00184 Rome, Italy.</t>
  </si>
  <si>
    <t>gabriella.pace@cultura.gov.it; giulia.festa@cref.it; claudia.scatigno@cref.it; silvia.giampaolo@cref.it; maura.picciau@cultura.gov.it; serena.galetti88@gmail.com</t>
  </si>
  <si>
    <t>CREF-Museo Storico della Fisica e Centro Studi e Ricerche Enrico Fermi</t>
  </si>
  <si>
    <t>This work was supported by the CREF-Museo Storico della Fisica e Centro Studi e Ricerche Enrico Fermi founding in the framework of the Physics for Cultural Heritage research group.</t>
  </si>
  <si>
    <t>[Scatigno, Claudia; Giampaolo, Silvia; Festa, Giulia] CREF Museo Stor Fis, Via Panisperna 89a,Piazza Viminale 1, I-00184 Rome, Italy; [Scatigno, Claudia; Giampaolo, Silvia; Festa, Giulia] Ctr Studi &amp; Ric Enrico Fermi, Via Panisperna 89a,C-o Piazza Viminale 1, I-00184 Rome, Italy; [Pace, Gabriella; Galetti, Serena; Picciau, Maura] ICG Ist Cent Graf, Via Stamperia 6, I-00187 Rome, Italy</t>
  </si>
  <si>
    <t>Unveiling renaissance drawing techniques: A multimodal machine learning approach to the analysis of Giulio Romano's Amazzonomachia"</t>
  </si>
  <si>
    <t>JOURNAL OF MOLECULAR STRUCTURE</t>
  </si>
  <si>
    <t>Spectral signatures; Machine learning in art drawing conservation; Spectroscopy; Data fusion</t>
  </si>
  <si>
    <t>Scatigno, Claudia/AAV-9242-2021</t>
  </si>
  <si>
    <t>SCATIGNO, CLAUDIA/0000-0001-9375-8707</t>
  </si>
  <si>
    <t>0022-2860</t>
  </si>
  <si>
    <t>1872-8014</t>
  </si>
  <si>
    <t>J MOL STRUCT</t>
  </si>
  <si>
    <t>J. Mol. Struct.</t>
  </si>
  <si>
    <t>FEB 25 2026</t>
  </si>
  <si>
    <t>1353</t>
  </si>
  <si>
    <t>144614</t>
  </si>
  <si>
    <t>10.1016/j.molstruc.2025.144614</t>
  </si>
  <si>
    <t>http://dx.doi.org/10.1016/j.molstruc.2025.144614</t>
  </si>
  <si>
    <t>NOV 2025</t>
  </si>
  <si>
    <t>Chemistry, Physical</t>
  </si>
  <si>
    <t>Chemistry</t>
  </si>
  <si>
    <t>9VF8R</t>
  </si>
  <si>
    <t>WOS:001615833000004</t>
  </si>
  <si>
    <t>Wu, XY; Liu, H; Liu, JY; Mu, B'; Li, JF; Wang, SY; Li, FL; Lu, XX; Chen, J; Peng, YL; Yi, YH; Lv, JC; Bu, H</t>
  </si>
  <si>
    <t>Hormone receptor-positive/human epidermal growth factor receptor 2-negative (HR+/HER2-) early breast cancer (EBC) patients face long-term recurrence risk despite standard treatment. Current prognostic tools relying on clinicopathological factors or multigene assays have limited accuracy or accessibility. In this study, we developed a multimodal recurrence risk prediction (MRRP) model integrating routinely available clinical data, including whole-slide images (WISs), ultrasound (US) imaging and diagnostic reports, and structured clinical parameters. The MRRP model employs a hierarchical transformer-based fusion framework with innovative intra- and intermodality cross-attention mechanisms to dynamically integrate diverse feature representations. Using a well-curated cohort of 768 HR+/HER2- EBC patients with long-term follow-up, MRRP demonstrated superior prognostic performance (C-index = 0.840) compared to single-modality models, with robust time-dependent AUCs exceeding 0.85 at 3, 5, and 7 years. Ablation studies highlighted the central role of pathology features and the complementary value of US and clinical data. We further validated the optimal query selection strategies and evaluated different pretrained encoders, revealing complex modality interactions. To address real-world challenges of missing modality data, a learnable compensation mechanism was implemented, improving model robustness. Our study provides a clinically practical, AI-driven tool for precise risk stratification in HR+/HER2- EBC patients, facilitating individualized treatment and surveillance decisions without reliance on costly multi-omics data.</t>
  </si>
  <si>
    <t>Wu, Xiaoyan; Liu, Hong; Liu, Jingyan; Mu, Bing'an; Li, Jianfei; Wang, Siyu; Li, Fengling; Lu, Xunxi; Chen, Jie; Peng, Yulan; Yi, Yuhao; Lv, Jiancheng; Bu, Hong</t>
  </si>
  <si>
    <t>Yi, YH (corresponding author), Sichuan Univ, West China Hosp, Inst Clin Pathol, Chengdu, Peoples R China.; Peng, YL (corresponding author), Sichuan Univ, West China Hosp, Dept Med Ultrasound, Chengdu, Peoples R China.</t>
  </si>
  <si>
    <t>yulanpeng@163.com; yuhaoyi@scu.edu.cn</t>
  </si>
  <si>
    <t>"Qimingxing" Research Fund for Young Talents [HXQMX0030]; National Natural Science Foundation of China [62303338]; Sichuan Science and Technology Program [2024YFFK0339]</t>
  </si>
  <si>
    <t>"Qimingxing" Research Fund for Young Talents; National Natural Science Foundation of China (National Natural Science Foundation of China (NSFC)); Sichuan Science and Technology Program</t>
  </si>
  <si>
    <t>This study was supported by the National Natural Science Foundation of China (grant no. 62303338), the Natural Science Foundation of Sichuan Province (grant no.2026NSFSC1491), the Sichuan Science and Technology Program (grant no. 2024YFFK0339), and the "Qimingxing" Research Fund for Young Talents (grant no. HXQMX0030).</t>
  </si>
  <si>
    <t>[Wu, Xiaoyan; Li, Fengling; Lu, Xunxi; Bu, Hong] Sichuan Univ, West China Hosp, Dept Pathol, Chengdu, Peoples R China; [Wu, Xiaoyan; Lu, Xunxi; Chen, Jie; Yi, Yuhao; Bu, Hong] Sichuan Univ, West China Hosp, Inst Clin Pathol, Chengdu, Peoples R China; [Liu, Hong; Mu, Bing'an; Lv, Jiancheng] Sichuan Univ, Coll Comp Sci, Chengdu, Peoples R China; [Liu, Jingyan; Wang, Siyu; Peng, Yulan] Sichuan Univ, West China Hosp, Dept Med Ultrasound, Chengdu, Peoples R China; [Li, Jianfei] Chongqing Univ Posts &amp; Telecommun, Coll Comp Sci &amp; Technol, Chongqing, Peoples R China</t>
  </si>
  <si>
    <t>Sichuan University; Sichuan University; Sichuan University; Sichuan University; Chongqing University of Posts &amp; Telecommunications</t>
  </si>
  <si>
    <t>Multimodal Deep Learning with Routine Clinical Data for Recurrence Risk Stratification in HR+/HER2- Early Breast Cancer</t>
  </si>
  <si>
    <t>RESEARCH</t>
  </si>
  <si>
    <t>70-GENE PROGNOSIS-SIGNATURE; ARTIFICIAL-INTELLIGENCE; FOUNDATION MODEL; DATA INTEGRATION; TAMOXIFEN; REPRESENTATION; VALIDATION; PREDICTOR; GRADE; ASSAY</t>
  </si>
  <si>
    <t>AMER ASSOC ADVANCEMENT SCIENCE</t>
  </si>
  <si>
    <t>WASHINGTON</t>
  </si>
  <si>
    <t>1200 NEW YORK AVE, NW, WASHINGTON, DC 20005 USA</t>
  </si>
  <si>
    <t>2096-5168</t>
  </si>
  <si>
    <t>2639-5274</t>
  </si>
  <si>
    <t>RESEARCH-CHINA</t>
  </si>
  <si>
    <t>Research</t>
  </si>
  <si>
    <t>MAR 30 2026</t>
  </si>
  <si>
    <t>1136</t>
  </si>
  <si>
    <t>10.34133/research.1136</t>
  </si>
  <si>
    <t>http://dx.doi.org/10.34133/research.1136</t>
  </si>
  <si>
    <t>FU4KT</t>
  </si>
  <si>
    <t>41919095</t>
  </si>
  <si>
    <t>WOS:001727655000001</t>
  </si>
  <si>
    <t>Hezil, N; Bouridane, A; Hamoudi, R; Al-maadeed, S; Akbari, Y; Abdullakutty, F</t>
  </si>
  <si>
    <t>Accurate classification of breast cancer subtypes is critical for personalized treatment planning and prognostic assessment. While histopathology and RNA-seq data each provide complementary insights into tumor biology, their integration remains challenging due to heterogeneity in data modalities. This study proposes a robust multimodal framework that combines histology-based features extracted using the CTransPath vision transformer with transcriptomic profiles to improve breast cancer subtype classification and interpretability. We developed an end-to-end pipeline incorporating three learning paradigms: RNA-Only, whole-slide image (WSI)-Only, and multimodal fusion. Histological features were extracted using a pretrained CTransPath encoder at 20 &amp; times; magnification (0.5 &amp; micro;m pixel-1) with non-overlapping 256 &amp; times; 256 pixel patches, while RNA-seq features were standardized and projected into a shared latent space. We evaluated multiple fusion techniques including gated attention, cross-attention, and concatenation. To enhance transparency, attention rollout was applied to visualize feature importance across WSIs. An uncertainty-aware smart routing mechanism was introduced to selectively use RNA-Only predictions for high-confidence cases or defer to multimodal inference for ambiguous samples, optimizing computational efficiency. Evaluated on the TCGA-BRCA dataset comprising 924 patients with PAM50 molecular subtypes, our routing-based multimodal model achieved 94.93% accuracy, outperforming both unimodal baselines and fixed fusion strategies. The routing mechanism required multimodal inference for only 38.2% of samples, achieving a 3.12 &amp; times; computational speedup while maintaining superior accuracy. Confusion matrices revealed significant improvements in distinguishing closely related subtypes such as Luminal A and Luminal B. Attention rollout provided interpretable heatmaps localizing discriminative histological regions associated with each subtype, aligning with established pathological criteria. This study demonstrates that integrating CTransPath-derived histology features with transcriptomic profiles through confidence-aware routing offers a practical, explainable, and computationally efficient approach for breast cancer subtype classification suitable for clinical decision support systems.</t>
  </si>
  <si>
    <t>Hezil, Nabil; Bouridane, Ahmed; Hamoudi, Rifat; Al-maadeed, Somaya; Akbari, Younes; Abdullakutty, Faseela</t>
  </si>
  <si>
    <t>Hezil, N (corresponding author), Univ Sharjah, Dept Comp Engn, Sharjah, U Arab Emirates.; Hezil, N (corresponding author), CRSTDLA, Dept Computat Linguist, Algiers, Algeria.</t>
  </si>
  <si>
    <t>nhezil@sharjah.ac.ae</t>
  </si>
  <si>
    <t>[Hezil, Nabil; Bouridane, Ahmed] Univ Sharjah, Dept Comp Engn, Sharjah, U Arab Emirates; [Hamoudi, Rifat] Univ Sharjah, Coll Med, Sharjah, U Arab Emirates; [Al-maadeed, Somaya; Akbari, Younes; Abdullakutty, Faseela] Qatar Univ, Dept Comp Sci &amp; Engn, Doha, Qatar; [Hezil, Nabil] CRSTDLA, Dept Computat Linguist, Algiers, Algeria</t>
  </si>
  <si>
    <t>University of Sharjah; University of Sharjah; Qatar University; Centre for Scientific &amp; Technical Research on Arid Regions (CRSTRA)</t>
  </si>
  <si>
    <t>Selective multimodal deep learning for reliable breast cancer subtype classification from histopathology and genomic data</t>
  </si>
  <si>
    <t>MEDICAL ENGINEERING &amp; PHYSICS</t>
  </si>
  <si>
    <t>breast cancer; multimodal learning; RNA-seq; CTransPath; subtype classification; deep learning; smart routing</t>
  </si>
  <si>
    <t>hezil, nabil/P-7151-2016</t>
  </si>
  <si>
    <t>IOP Publishing Ltd</t>
  </si>
  <si>
    <t>Bristol</t>
  </si>
  <si>
    <t>No.2 The Distillery, Glassfields, Avon Street, Bristol, ENGLAND</t>
  </si>
  <si>
    <t>1350-4533</t>
  </si>
  <si>
    <t>1873-4030</t>
  </si>
  <si>
    <t>MED ENG PHYS</t>
  </si>
  <si>
    <t>Med. Eng. Phys.</t>
  </si>
  <si>
    <t>MAR 2 2026</t>
  </si>
  <si>
    <t>147</t>
  </si>
  <si>
    <t>035006</t>
  </si>
  <si>
    <t>10.1088/1873-4030/ae449b</t>
  </si>
  <si>
    <t>http://dx.doi.org/10.1088/1873-4030/ae449b</t>
  </si>
  <si>
    <t>HD4FO</t>
  </si>
  <si>
    <t>41671586</t>
  </si>
  <si>
    <t>WOS:001751399300001</t>
  </si>
  <si>
    <t>Hua, PY; Olofson, A; Farhadi, F; Hondelink, L; Tsongalis, G; Dragnev, K; Savellano, DH; Suriawinata, A; Tafe, L; Hassanpour, S</t>
  </si>
  <si>
    <t>Background: Resistance to tyrosine kinase inhibitors remains a major clinical challenge in the treatment of nonsmall cell lung cancer (NSCLC) with activating epidermal growth factor receptor (EGFR) mutations. Despite the efficacy of third-generation EGFR inhibitors, no standard tool currently exists to predict resistance using routinely available clinical data. In this study, we aim to develop a multimodal machine learning model to predict resistance in NSCLC patients using readily accessible clinical information. Methods: We conducted a multi-institutional retrospective study to develop and evaluate a multimodal machine learning model for predicting therapy resistance in late-stage NSCLC patients with EGFR mutations. The study included 42 patients treated with EGFR-targeted therapy from Dartmouth-Hitchcock Medical Center and Ochsner Health System, using data including histology whole-slide images, next-generation sequencing results, and demographic and clinical variables. The modeling framework fused image and non-image data through a threestage training process and was evaluated using 5-fold nested cross-validation. Model performance was assessed using the concordance index (C-index), Kaplan-Meier survival curves, and log-rank tests. Interpretability analyses were conducted using attention maps, feature importance coefficients, and cellular composition comparisons. Results: The multimodal model achieved a mean C-index of 0.82 across cross-validation folds, outperforming image-only and non-image models (C-index 0.75 and 0.77, respectively). Stratified analyses across institutions confirmed consistent performance gains with the multimodal approach. Kaplan-Meier analysis revealed that the multimodal model significantly stratified patients into distinct hazard groups (logrank P=0.04), which unimodal models failed to achieve. Key predictors included RB1 mutation and Hispanic ethnicity. Attention maps highlighted histologic regions with deformed nuclei, and cellular analysis revealed reduced inflammatory cell presence in high-risk patients. Conclusions: This study presents a robust multimodal machine learning model for predicting therapy resistance in EGFR-mutant NSCLC, leveraging routinely collected clinical data without manual feature engineering. The model demonstrated superior performance over unimodal models and effective hazard stratification, suggesting utility for personalized treatment decisions. These findings underscore the potential of multimodal artificial intelligence (AI) tools to advance precision oncology, particularly in resource-limited settings. Further validation in larger, diverse cohorts is warranted.</t>
  </si>
  <si>
    <t>Hua, Peiying; Olofson, Andrea; Farhadi, Faraz; Hondelink, Liesbeth; Tsongalis, Gregory; Dragnev, Konstantin; Savellano, Dagmar Hoegemann; Suriawinata, Arief; Tafe, Laura; Hassanpour, Saeed</t>
  </si>
  <si>
    <t>Hassanpour, S (corresponding author), Geisel Sch Med, Dept Biomed Data Sci, 1 Med Ctr Dr,HB 7261, Lebanon, NH 03756 USA.; Hassanpour, S (corresponding author), Geisel Sch Med, Dept Comp Sci, 1 Med Ctr Dr,HB 7261, Lebanon, NH 03756 USA.; Hassanpour, S (corresponding author), Geisel Sch Med, Dept Epidemiol, 1 Med Ctr Dr,HB 7261, Lebanon, NH 03756 USA.</t>
  </si>
  <si>
    <t>Saeed.Hassanpour@Dartmouth.edu</t>
  </si>
  <si>
    <t>US National Library of Medicine [R01LM012837, R01LM013833]; US National Cancer Institute [R01CA249758]</t>
  </si>
  <si>
    <t>US National Library of Medicine (United States Department of Health &amp; Human Services, National Institutes of Health (NIH) - USA, NIH National Library of Medicine (NLM)); US National Cancer Institute (United States Department of Health &amp; Human Services, National Institutes of Health (NIH) - USA, NIH National Cancer Institute (NCI))</t>
  </si>
  <si>
    <t>We thank John Higgins, MS, for his assistance with data collection for this study and Danielle Cohen, MD, PhD, for her valuable feedback on the manuscript. Funding : This research was supported in part by grants from the US National Library of Medicine (Nos. R01LM012837 and R01LM013833) and the US National Cancer Institute (No. R01CA249758) .</t>
  </si>
  <si>
    <t>[Hua, Peiying; Hassanpour, Saeed] Geisel Sch Med Dartmouth, Dept Biomed Data Sci, Hanover, NH USA; [Olofson, Andrea] Ochsner Hlth Syst, Dept Pathol, New Orleans, LA USA; [Farhadi, Faraz; Savellano, Dagmar Hoegemann] Dartmouth Hitchcock Med Ctr, Dept Radiol, Lebanon, NH USA; [Hondelink, Liesbeth] Leiden Univ, Med Ctr, Dept Pathol, Leiden, Netherlands; [Tsongalis, Gregory; Suriawinata, Arief; Tafe, Laura] Dartmouth Hitchcock Med Ctr, Dept Pathol &amp; Lab Med, Lebanon, NH USA; [Dragnev, Konstantin] Dartmouth Hitchcock Med Ctr, Dept Med Oncol, Lebanon, NH USA; [Hassanpour, Saeed] Geisel Sch Med Dartmouth, Dept Epidemiol, Hanover, NH USA; [Hassanpour, Saeed] Dartmouth Coll, Dept Comp Sci, Hanover, NH USA</t>
  </si>
  <si>
    <t>Dartmouth College; Ochsner Health System; Dartmouth College; Leiden University - Excl LUMC; Leiden University; Leiden University Medical Center (LUMC); Dartmouth College; Dartmouth College; Dartmouth College; Dartmouth College</t>
  </si>
  <si>
    <t>Predicting targeted therapy resistance in non-small cell lung cancer using multimodal machine learning</t>
  </si>
  <si>
    <t>JOURNAL OF THORACIC DISEASE</t>
  </si>
  <si>
    <t>Non-small cell lung cancer (NSCLC); therapy resistance prediction; multimodal machine learning; whole slide imaging; precision oncology</t>
  </si>
  <si>
    <t>OSIMERTINIB; SURVIVAL; DISTRESS</t>
  </si>
  <si>
    <t>AME PUBLISHING COMPANY</t>
  </si>
  <si>
    <t>SHATIN</t>
  </si>
  <si>
    <t>FLAT-RM C 16F, KINGS WING PLAZA 1, NO 3 KWAN ST, SHATIN, HONG KONG 00000, PEOPLES R CHINA</t>
  </si>
  <si>
    <t>2072-1439</t>
  </si>
  <si>
    <t>2077-6624</t>
  </si>
  <si>
    <t>J THORAC DIS</t>
  </si>
  <si>
    <t>J. Thorac. Dis.</t>
  </si>
  <si>
    <t>OCT 31 2025</t>
  </si>
  <si>
    <t>8700</t>
  </si>
  <si>
    <t>8714</t>
  </si>
  <si>
    <t>10.21037/jtd-2025-1012</t>
  </si>
  <si>
    <t>http://dx.doi.org/10.21037/jtd-2025-1012</t>
  </si>
  <si>
    <t>Respiratory System</t>
  </si>
  <si>
    <t>9VI4Q</t>
  </si>
  <si>
    <t>41229771</t>
  </si>
  <si>
    <t>WOS:001615901300001</t>
  </si>
  <si>
    <t>Zhang, QY; Wei, YK; Han, ZB; Fu, HZ; Peng, X; Hu, QH; Deng, C; Xu, C; Wen, J; Hu, D; Zhang, CQ</t>
  </si>
  <si>
    <t>Multimodal fusion focuses on integrating information from multiple modalities with the goal of more accurate prediction, which has achieved remarkable progress in a wide range of scenarios, including autonomous driving and medical diagnosis. However, the reliability of multimodal fusion remains largely unexplored especially under low-quality data settings. This paper surveys the common challenges and recent advances of multimodal fusion in the wild and presents them in a comprehensive taxonomy. From a data-centric view, we identify four main challenges that are faced by multimodal fusion on low-quality data, namely (1) noisy multimodal data that are contaminated with heterogeneous noises, (2) incomplete multimodal data that some modalities are missing, (3) imbalanced multimodal data that the qualities or properties of different modalities are significantly different and (4) quality-varying multimodal data that the quality of each modality dynamically changes with respect to different samples. This new taxonomy will enable researchers to understand the state of the field and identify several potential directions. We also provide discussion for the open problems in this field together with interesting future research directions.</t>
  </si>
  <si>
    <t>Zhang, Qingyang; Wei, Yake; Han, Zongbo; Fu, Huazhu; Peng, Xi; Hu, Qinghua; Deng, Cheng; Xu, Cai; Wen, Jie; Hu, Di; Zhang, Changqing</t>
  </si>
  <si>
    <t>Zhang, CQ (corresponding author), Tianjin Univ, Tianjin, Peoples R China.</t>
  </si>
  <si>
    <t>zhangchangqing@tju.edu.cn</t>
  </si>
  <si>
    <t>National Key Research and Development Program of China [2025YFF0515600]; National Natural Science Foundation of China [624B2100]; Shenzhen Medical Research Fund [E250200620, E250200621]</t>
  </si>
  <si>
    <t>National Key Research and Development Program of China (National Key Research &amp; Development Program of China); National Natural Science Foundation of China (National Natural Science Foundation of China (NSFC)); Shenzhen Medical Research Fund</t>
  </si>
  <si>
    <t>This work is supported by the National Key Research and Development Program of China (2025YFF0515600) , the National Natural Science Foundation of China (624B2100) and Shenzhen Medical Research Fund (E250200620, E250200621) .</t>
  </si>
  <si>
    <t>[Zhang, Qingyang; Hu, Qinghua; Zhang, Changqing] Tianjin Univ, Tianjin, Peoples R China; [Wei, Yake; Hu, Di] Renmin Univ China, Beijing, Peoples R China; [Han, Zongbo] BUPT, Beijing, Peoples R China; [Fu, Huazhu] ASTAR, Singapore, Singapore; [Peng, Xi] Sichuan Univ, Chengdu, Peoples R China; [Deng, Cheng; Xu, Cai] Xidian Univ, Xian, Peoples R China; [Wen, Jie] Harbin Inst Technol, Shenzhen, Peoples R China</t>
  </si>
  <si>
    <t>Tianjin University; Renmin University of China; Beijing University of Posts &amp; Telecommunications; Agency for Science Technology &amp; Research (A*STAR); Sichuan University; Xidian University; Harbin Institute of Technology</t>
  </si>
  <si>
    <t>Multimodal fusion on low-quality data: A comprehensive survey</t>
  </si>
  <si>
    <t>Multimodal learning; Robustness</t>
  </si>
  <si>
    <t>INCOMPLETE MULTIVIEW; ALZHEIMERS-DISEASE; DIAGNOSIS</t>
  </si>
  <si>
    <t>Han, Zongbo/GXG-5626-2022; Fu, Huazhu/A-1411-2014</t>
  </si>
  <si>
    <t>zhang, qingyang/0009-0005-3995-2062</t>
  </si>
  <si>
    <t>170</t>
  </si>
  <si>
    <t>NOV 2026</t>
  </si>
  <si>
    <t>135</t>
  </si>
  <si>
    <t>104437</t>
  </si>
  <si>
    <t>10.1016/j.inffus.2026.104437</t>
  </si>
  <si>
    <t>http://dx.doi.org/10.1016/j.inffus.2026.104437</t>
  </si>
  <si>
    <t>IS0KI</t>
  </si>
  <si>
    <t>WOS:001778956600001</t>
  </si>
  <si>
    <t>Lin, YC; Lu, KM; Yu, S; Cai, TX; Zitnik, M</t>
  </si>
  <si>
    <t>Disease knowledge graphs have emerged as a powerful tool for artificial intelligence to connect, organize, and access diverse information about diseases. Relations between disease concepts are often distributed across multiple datasets, including unstructured plain text datasets and incomplete disease knowledge graphs. Extracting disease relations from multimodal data sources is thus crucial for constructing accurate and comprehensive disease knowledge graphs. We introduce REMAP, a multimodal approach for disease relation extraction. The REMAP machine learning approach jointly embeds a partial, incomplete knowledge graph and a medical language dataset into a compact latent vector space, aligning the multimodal embeddings for optimal disease relation extraction. Additionally, REMAP utilizes a decoupled model structure to enable inference in single-modal data, which can be applied under missing modality scenarios. We apply the REMAP approach to a disease knowledge graph with 96,913 relations and a text dataset of 1.24 million sentences. On a dataset annotated by human experts, REMAP improves language-based disease relation extraction by 10.0% (accuracy) and 17.2% (F1-score) by fusing disease knowledge graphs with language information. Furthermore, REMAP leverages text information to recommend new relationships in the knowledge graph, outperforming graph-based methods by 8.4% (accuracy) and 10.4% (F1-score). REMAP is a flexible multimodal approach for extracting disease relations by fusing structured knowledge and language information. This approach provides a powerful model to easily find, access, and evaluate relations between disease concepts.</t>
  </si>
  <si>
    <t>Lin, Yucong; Lu, Keming; Yu, Sheng; Cai, Tianxi; Zitnik, Marinka</t>
  </si>
  <si>
    <t>Zitnik, M (corresponding author), Harvard Med Sch, Dept Biomed Informat, 10 Shattuck St, Boston, MA 02115 USA.</t>
  </si>
  <si>
    <t>marinka@hms.harvard.com</t>
  </si>
  <si>
    <t>National Science Foundation [IIS-2030459, IIS-2033384]; US Air Force [FA8702-15-D-0001]; National Institutes of Health [R01HD108794]; Harvard Data Science Initiative; Google; Bayer Early Excellence in Science Award; Roche Alliance; Harvard Translational Data Science Center for a Learning Healthcare System (CELeHS); Amazon Research Award; AstraZeneca Research</t>
  </si>
  <si>
    <t>National Science Foundation (National Science Foundation (NSF)); US Air Force (United States Department of Defense); National Institutes of Health (United States Department of Health &amp; Human Services, National Institutes of Health (NIH) - USA); Harvard Data Science Initiative (Harvard University); Google (Google Incorporated); Bayer Early Excellence in Science Award; Roche Alliance; Harvard Translational Data Science Center for a Learning Healthcare System (CELeHS); Amazon Research Award; AstraZeneca Research (AstraZeneca)</t>
  </si>
  <si>
    <t>We gratefully acknowledge the support of the Harvard Translational Data Science Center for a Learning Healthcare System (CELeHS) (T.C.) . M.Z. is supported, in part, by the National Science Foundation under Nos. IIS-2030459 and IIS-2033384, US Air Force Contract No. FA8702-15-D-0001, National Institutes of Health under No. R01HD108794, Harvard Data Science Initiative, Amazon Research Award, Google Research Scholar Program, Bayer Early Excellence in Science Award, AstraZeneca Research, and Roche Alliance with Distinguished Scientists Award. Any opinions, findings, conclusions or recommendations expressed in this material are those of the authors and do not necessarily reflect the views of the funders.</t>
  </si>
  <si>
    <t>[Lin, Yucong] Beijing Inst Technol, Inst Engn Med, Beijing, Peoples R China; [Lin, Yucong] Beijing Inst Technol, Sch Opt &amp; Photon, Beijing Engn Res Ctr Mixed Real &amp; Adv Display, Beijing, Peoples R China; [Lu, Keming] Univ Southern Calif, Viterbi Sch Engn, Los Angeles, CA 90007 USA; [Yu, Sheng] Tsinghua Univ, Ctr Stat Sci, Beijing, Peoples R China; [Yu, Sheng] Tsinghua Univ, Dept Ind Engn, Beijing, Peoples R China; [Cai, Tianxi] Harvard THChan Sch Publ Hlth, Dept Biostat, Boston, MA 02115 USA; [Cai, Tianxi; Zitnik, Marinka] Harvard Med Sch, Dept Biomed Informat, Boston, MA 02115 USA; [Zitnik, Marinka] Broad Inst MIT &amp; Harvard, Boston, MA 02142 USA; [Zitnik, Marinka] Harvard Data Sci Initiat, Cambridge, MA 02138 USA; [Zitnik, Marinka] Harvard Med Sch, Dept Biomed Informat, 10 Shattuck St, Boston, MA 02115 USA</t>
  </si>
  <si>
    <t>Beijing Institute of Technology; Beijing Institute of Technology; University of Southern California; Tsinghua University; Tsinghua University; Harvard University; Harvard Medical School; Harvard University; Massachusetts Institute of Technology (MIT); Broad Institute; Harvard University; Harvard Medical School</t>
  </si>
  <si>
    <t>Multimodal learning on graphs for disease relation extraction</t>
  </si>
  <si>
    <t>Disease relation extraction; Medical relation extraction; Multimodal learning; Knowledge graphs; Graph neural networks; Language models</t>
  </si>
  <si>
    <t>FATTY-LIVER</t>
  </si>
  <si>
    <t>Yu, Sheng/0000-0002-6347-0507</t>
  </si>
  <si>
    <t>85</t>
  </si>
  <si>
    <t>80</t>
  </si>
  <si>
    <t>JUL 2023</t>
  </si>
  <si>
    <t>143</t>
  </si>
  <si>
    <t>104415</t>
  </si>
  <si>
    <t>10.1016/j.jbi.2023.104415</t>
  </si>
  <si>
    <t>http://dx.doi.org/10.1016/j.jbi.2023.104415</t>
  </si>
  <si>
    <t>JAN 2023</t>
  </si>
  <si>
    <t>N3MH8</t>
  </si>
  <si>
    <t>37276949</t>
  </si>
  <si>
    <t>WOS:001036089700001</t>
  </si>
  <si>
    <t>Kim, S; Park, JH; Kim, CH; You, S; Choi, JS; Chang, JW; Jo, IY; Lee, BJ; Park, IS; Kim, HS; Park, YJ; Heo, J</t>
  </si>
  <si>
    <t>Background: Previous attempts to classify lymphoma subtypes based on metabolic features extracted from F-18-FDG PET imaging have been hindered by inconsistencies in imaging protocols, scanner types, and inter-institutional variability. To overcome these limitations, we propose a multimodal deep learning framework that integrates harmonized PET imaging features with structured clinical information. The proposed framework is designed to perform hierarchical classification of clinically meaningful lymphoma subtypes through two sequential binary classification tasks. Methods: We collected multi-center data comprising F-18-FDG PET images and structured clinical variables of patients with lymphoma. To mitigate domain shifts caused by different scanner manufacturers, we integrated a Scanner-Conditioned Normalization (SCN) module, which adaptively harmonizes feature distributions using manufacturer-specific parameters. Performance was validated using internal and external cohorts, with the statistical significance of performance gains assessed via DeLong's test and bootstrap-based CI analysis. Results: The proposed model achieved an area under the curve (AUC) of 0.89 (internal) and 0.84 (external) for Hodgkin lymphoma versus non-Hodgkin lymphoma classification and 0.84 (internal) and 0.76 (external) for diffuse large B-cell lymphoma versus follicular lymphoma classification (p &gt; 0.05). These results were obtained using a multimodal model that integrated anterior and lateral maximum intensity projection (MIP) images with clinical data. Conclusions: This study demonstrates the potential of a deep learning-based approach for lymphoma subtype classification using non-invasive F-18-FDG PET imaging combined with clinical data. While further validation in larger, more diverse cohorts is necessary to address the challenges of rare subtypes and biological heterogeneity, LymphoMAP serves as a meaningful step toward developing assistive tools for early clinical decision-making. These findings underscore the feasibility of using automated pipelines to support, rather than replace, conventional diagnostic workflows in personalized lymphoma management.</t>
  </si>
  <si>
    <t>Kim, Seonhwa; Park, Jun Hyeong; Kim, Chul-Ho; You, Seulgi; Choi, Jeong-Seok; Chang, Jae Won; Jo, In Young; Lee, Byung-Joo; Park, Il-Seok; Kim, Han Su; Park, Yong-Jin; Heo, Jaesung</t>
  </si>
  <si>
    <t>Heo, J (corresponding author), Ajou Univ, Sch Med, Dept Radiat Oncol, Suwon 16499, South Korea.; Park, YJ (corresponding author), Ajou Univ, Med Ctr, Sch Med, Dept Nucl Med, Suwon 16499, South Korea.</t>
  </si>
  <si>
    <t>yongjin.park@hanmail.net; nahero@ajou.ac.kr</t>
  </si>
  <si>
    <t>Ministry of Health &amp; Welfare, Republic of Korea [RS-2021-KH113822, RS-2022-KH130307]</t>
  </si>
  <si>
    <t>Ministry of Health &amp; Welfare, Republic of Korea (Ministry of Health &amp; Welfare (MOHW), Republic of Korea)</t>
  </si>
  <si>
    <t>This research was supported by a grant from the Korea Health Technology R&amp;D Project through the Korea Health Industry Development Institute (KHIDI), funded by the Ministry of Health &amp; Welfare, Republic of Korea (Grant numbers: RS-2021-KH113822 and RS-2022-KH130307). This study was supported by the National R&amp;D Program for Cancer Control through the National Cancer Center (NCC) funded by the Ministry of Health &amp; Welfare, Republic of Korea (RS-2025-02214710).</t>
  </si>
  <si>
    <t>[Kim, Seonhwa; Heo, Jaesung] Ajou Univ, Sch Med, Dept Radiat Oncol, Suwon 16499, South Korea; [Park, Jun Hyeong] Ajou Univ, Grad Sch, Dept Biomed Sci, Suwon 16499, South Korea; [Kim, Chul-Ho] Ajou Univ, Sch Med, Dept Otolaryngol, Suwon 16499, South Korea; [You, Seulgi] Ajou Univ, Sch Med, Dept Radiol, Suwon 16499, South Korea; [Choi, Jeong-Seok] Inha Univ, Coll Med, Dept Otorhinolaryngol Head &amp; Neck Surg, Incheon 22212, Gwangye, South Korea; [Chang, Jae Won] Chungnam Natl Univ Hosp, Dept Otolaryngol Head &amp; Neck Surg, Daejeon 35015, South Korea; [Jo, In Young] Soonchunhyang Univ Hosp, Dept Radiat Oncol, Cheonan 33019, South Korea; [Lee, Byung-Joo] Pusan Natl Univ, Coll Med, Dept Otorhinolaryngol Head &amp; Neck Surg, Busan 49241, South Korea; [Lee, Byung-Joo] Pusan Natl Univ, Pusan Natl Univ Hosp, Biomed Res Inst, Busan 49241, South Korea; [Park, Il-Seok] Hallym Univ, Dongtan Sacred Heart Hosp, Coll Med, Dept Otorhinolaryngol Head &amp; Neck Surg, Chunchon 24252, South Korea; [Kim, Han Su] Ewha Womans Univ, Sch Med, Dept Otorhinolaryngol Head &amp; Neck Surg, Seoul, South Korea; [Park, Yong-Jin] Ajou Univ, Med Ctr, Sch Med, Dept Nucl Med, Suwon 16499, South Korea</t>
  </si>
  <si>
    <t>Ajou University; Ajou University; Ajou University; Ajou University; Inha University; Chungnam National University; Chungnam National University Hospital; Soonchunhyang University; Soonchunhyang University Hospital; Pusan National University; Pusan National University; Pusan National University Hospital; Hallym University; Ewha Womans University; Ajou University</t>
  </si>
  <si>
    <t>Robust Multimodal Deep Learning for Lymphoma Subtype Classification Using 18F-FDG PET Maximum Intensity Projection Images and Clinical Data: A Multi-Center Study</t>
  </si>
  <si>
    <t>cancer imaging; deep learning; Hodgkin lymphoma; b-cell lymphoma; F-18-FDG; PET image</t>
  </si>
  <si>
    <t>INDOLENT</t>
  </si>
  <si>
    <t>Chang, Jae/R-3511-2019; Kim, Han/AAT-3295-2021</t>
  </si>
  <si>
    <t>JAN 9 2026</t>
  </si>
  <si>
    <t>210</t>
  </si>
  <si>
    <t>10.3390/cancers18020210</t>
  </si>
  <si>
    <t>http://dx.doi.org/10.3390/cancers18020210</t>
  </si>
  <si>
    <t>CQ4SW</t>
  </si>
  <si>
    <t>41595131</t>
  </si>
  <si>
    <t>WOS:001671995700001</t>
  </si>
  <si>
    <t>Drougkas, G; Bakker, EM; Spruit, M</t>
  </si>
  <si>
    <t>BackgroundThere are numerous papers focusing on diagnosing mental health disorders using unimodal and multimodal approaches. However, our literature review shows that the majority of these studies either use unimodal approaches to diagnose a variety of mental disorders or employ multimodal approaches to diagnose a single mental disorder instead. In this research we combine these approaches by first identifying and compiling an extensive list of mental health disorder markers for a wide range of mental illnesses which have been used for both unimodal and multimodal methods, which is subsequently used for determining whether the multimodal approach can outperform the unimodal approaches.MethodsFor this study we used the well known and robust multimodal DAIC-WOZ dataset derived from clinical interviews. Here we focus on the modalities text and audio. First, we constructed two unimodal models to analyze text and audio data, respectively, using feature extraction, based on the extensive list of mental disorder markers that has been identified and compiled by us using related and earlier studies. For our unimodal text model, we also propose an initial pragmatic binary label creation process. Then, we employed an early fusion strategy to combine our text and audio features before model processing. Our fused feature set was then given as input to various baseline machine and deep learning algorithms, including Support Vector Machines, Logistic Regressions, Random Forests, and fully connected neural network classifiers (Dense Layers). Ultimately, the performance of our models was evaluated using accuracy, AUC-ROC score, and two F1 metrics: one for the prediction of positive cases and one for the prediction of negative cases.ResultsOverall, the unimodal text models achieved an accuracy ranging from 78% to 87% and an AUC-ROC score between 85% and 93%, while the unimodal audio models attained an accuracy of 64% to 72% and AUC-ROC scores of 53% to 75%. The experimental results indicated that our multimodal models achieved comparable accuracy (ranging from 80% to 87%) and AUC-ROC scores (between 84% and 93%) to those of the unimodal text models. However, the majority of the multimodal models managed to outperform the unimodal models in F1 scores, particularly in the F1 score of the positive class (F1 of 1s), which reflects how well the models perform in identifying the presence of a marker.ConclusionsIn conclusion, by refining the binary label creation process and by improving the feature engineering process of the unimodal acoustic model, we argue that the multimodal model can outperform both unimodal approaches. This study underscores the importance of multimodal integration in the field of mental health diagnostics and sets the stage for future research to explore more sophisticated fusion techniques and deeper learning models.</t>
  </si>
  <si>
    <t>Drougkas, Georgios; Bakker, Erwin M.; Spruit, Marco</t>
  </si>
  <si>
    <t>Spruit, M (corresponding author), Leiden Univ, Leiden Inst Adv Comp Sci, Leiden, Netherlands.; Spruit, M (corresponding author), Leiden Univ, Med Ctr, Publ Hlth &amp; Primary Care, Leiden, Netherlands.</t>
  </si>
  <si>
    <t>m.r.spruit@lumc.nl</t>
  </si>
  <si>
    <t>[Drougkas, Georgios; Bakker, Erwin M.; Spruit, Marco] Leiden Univ, Leiden Inst Adv Comp Sci, Leiden, Netherlands; [Spruit, Marco] Leiden Univ, Med Ctr, Publ Hlth &amp; Primary Care, Leiden, Netherlands</t>
  </si>
  <si>
    <t>Leiden University - Excl LUMC; Leiden University; Leiden University; Leiden University - Excl LUMC; Leiden University Medical Center (LUMC)</t>
  </si>
  <si>
    <t>Multimodal machine learning for language and speech markers identification in mental health</t>
  </si>
  <si>
    <t>BMC MEDICAL INFORMATICS AND DECISION MAKING</t>
  </si>
  <si>
    <t>Mental illness marker; Mental health disorder; Multimodal machine learning; Unimodal model; Early fusion; Textual features extraction; Acoustic features extraction; Feature selection; Binary labels creation</t>
  </si>
  <si>
    <t>DISORDER</t>
  </si>
  <si>
    <t>Spruit, Marco/HZL-8810-2023</t>
  </si>
  <si>
    <t>Bakker, Erwin/0000-0002-2624-5271; Spruit, Marco/0000-0002-9237-221X</t>
  </si>
  <si>
    <t>1472-6947</t>
  </si>
  <si>
    <t>BMC MED INFORM DECIS</t>
  </si>
  <si>
    <t>BMC Med. Inform. Decis. Mak.</t>
  </si>
  <si>
    <t>NOV 22 2024</t>
  </si>
  <si>
    <t>354</t>
  </si>
  <si>
    <t>10.1186/s12911-024-02772-0</t>
  </si>
  <si>
    <t>http://dx.doi.org/10.1186/s12911-024-02772-0</t>
  </si>
  <si>
    <t>Medical Informatics</t>
  </si>
  <si>
    <t>N0G6O</t>
  </si>
  <si>
    <t>39578814</t>
  </si>
  <si>
    <t>WOS:001361222400001</t>
  </si>
  <si>
    <t>Brehmer, A; Seibold, C; Egger, J; Majjouti, K; Tapp-Herrenbrueck, M; Pinnekamp, H; Priester, V; Aleithe, M; Fischer, U; Hosters, B; Kleesiek, J</t>
  </si>
  <si>
    <t>Background: Pressure ulcers (PUs) and incontinence-associated dermatitis (IAD) are prevalent conditions in clinical settings, posing significant challenges due to their similar presentations but differing treatment needs. Accurate differentiation between PUs and IAD is essential for appropriate patient care, yet it remains a burden for nursing staff and wound care experts. Objective: This study aims to develop and introduce a robust multimodal deep learning framework for the classification of PUs and IAD, along with the fine-grained categorization of their respective wound severities, to enhance diagnostic accuracy and support clinical decision-making. Methods: We collected and annotated a dataset of 1555 wound images, achieving consensus among 4 wound experts. Our framework integrates wound images with categorical patient data to improve classification performance. We evaluated 4 models-2 convolutional neural networks and 2 transformer-based architectures-each with approximately 25 million parameters. Various data preprocessing strategies, augmentation techniques, training methods (including multimodal data integration, synthetic data generation, and sampling), and postprocessing approaches (including ensembling and test-time augmentation) were systematically tested to optimize model performance. Results: The transformer-based TinyViT model achieved the highest performance in binary classification of PU and IAD, with an F1-score (harmonic mean of precision and recall) of 93.23%, outperforming wound care experts and nursing staff on the test dataset. In fine-grained classification of wound categories, the TinyViT model also performed best for PU categories with an F1-score of 75.43%, while ConvNeXtV2 showed superior performance in IAD category classification with an F1-score of 53.20%. Incorporating multimodal data improved performance in binary classification but had less impact on fine-grained categorization. Augmentation strategies and training techniques significantly influenced model performance, with ensembling enhancing accuracy across all tasks. Conclusions: Our multimodal deep learning framework effectively differentiates between PUs and IAD, achieving high accuracy and outperforming human wound care experts. By integrating wound images with categorical patient data, the model enhances diagnostic precision, offering a valuable decision-support tool for health care professionals. This advancement has the potential to reduce diagnostic uncertainty, optimize treatment pathways, and alleviate the burden on medical staff, leading to faster interventions and improved patient outcomes. The framework's strong performance suggests practical applications in clinical settings, such as integration into hospital electronic health record systems or mobile applications for bedside diagnostics. Future work should focus on validating real-world implementation, expanding dataset diversity, and refining fine-grained classification capabilities to further enhance clinical utility.</t>
  </si>
  <si>
    <t>Brehmer, Alexander; Seibold, Constantin; Egger, Jan; Majjouti, Khalid; Tapp-Herrenbrueck, Michaela; Pinnekamp, Hannah; Priester, Vanessa; Aleithe, Michael; Fischer, Uli; Hosters, Bernadette; Kleesiek, Jens</t>
  </si>
  <si>
    <t>Brehmer, A (corresponding author), Essen Univ Hosp, Inst Artificial Intelligence Med, Girardetstr 2, D-45131 Essen, Germany.</t>
  </si>
  <si>
    <t>alexander.brehmer@uk-essen.de</t>
  </si>
  <si>
    <t>German Federal Ministry of Education and Research [V6KIP039]</t>
  </si>
  <si>
    <t>German Federal Ministry of Education and Research (Federal Ministry of Education &amp; Research (BMBF))</t>
  </si>
  <si>
    <t>Acknowledgments We would like to express our sincere gratitude to the wound care experts and nursing staff at University Hospital Essen and Ludwig Maximilian University Hospital Munich for their invaluable assistance in data collection and annotation. We also thank the KIADEKU project team for their collaboration and support throughout this study. This work was supported by the German Federal Ministry of Education and Research (V6KIP039)</t>
  </si>
  <si>
    <t>[Brehmer, Alexander; Seibold, Constantin; Egger, Jan; Kleesiek, Jens] Essen Univ Hosp, Inst Artificial Intelligence Med, Girardetstr 2, D-45131 Essen, Germany; [Egger, Jan] Univ Med Essen, Ctr Virtual &amp; Extended Real Med, Essen, Germany; [Egger, Jan; Kleesiek, Jens] Univ Duisburg Essen, Fac Comp Sci, Essen, Germany; [Majjouti, Khalid; Tapp-Herrenbrueck, Michaela; Hosters, Bernadette] Univ Hosp Essen, Dept Nursing Dev &amp; Nursing Res, Essen, Germany; [Pinnekamp, Hannah; Priester, Vanessa; Fischer, Uli] Hosp Ludwig Maximilian Univ, Dept Clin Nursing Res &amp; Qual Management, Munich, Germany; [Aleithe, Michael] Sciendis GmbH, Leipzig, Germany</t>
  </si>
  <si>
    <t>University of Duisburg Essen; University of Duisburg Essen; University of Duisburg Essen; University of Munich</t>
  </si>
  <si>
    <t>Fine-Grained Classification of Pressure Ulcers and Incontinence-Associated Dermatitis Using Multimodal Deep Learning: Algorithm Development and Validation Study</t>
  </si>
  <si>
    <t>JMIR AI</t>
  </si>
  <si>
    <t>computer vision; image classification; wound classification; deep learning; pressure ulcer; incontinence-associated dermatitis; multi modal data; synthetic image generation</t>
  </si>
  <si>
    <t>Egger, Jan/AEM-2045-2022; Pinnekamp, Hannah/HPG-6567-2023; Fischer, Uli/ISB-0456-2023</t>
  </si>
  <si>
    <t>Egger, Jan/0000-0002-5225-1982; Seibold, Constantin/0000-0001-6042-8437; Pinnekamp, Hannah/0000-0003-1330-4372; Fischer, Uli/0000-0003-1398-6510; Rentschler, Vanessa/0009-0003-7355-0062; Hosters, Bernadette/0000-0002-5142-0385; Tapp-Herrenbrück, Michaela/0009-0007-4280-177X; Brehmer, Alexander/0009-0000-2795-6174</t>
  </si>
  <si>
    <t>JMIR PUBLICATIONS, INC</t>
  </si>
  <si>
    <t>TORONTO</t>
  </si>
  <si>
    <t>130 QUEENS QUAY East, Unit 1100, TORONTO, ON M5A 0P6, CANADA</t>
  </si>
  <si>
    <t>2817-1705</t>
  </si>
  <si>
    <t>e67356</t>
  </si>
  <si>
    <t>10.2196/67356</t>
  </si>
  <si>
    <t>http://dx.doi.org/10.2196/67356</t>
  </si>
  <si>
    <t>2QE3P</t>
  </si>
  <si>
    <t>40605794</t>
  </si>
  <si>
    <t>WOS:001488674200001</t>
  </si>
  <si>
    <t>Wu, YH; Ding, MM; He, HN; Wu, QJ; Jiang, SH; Zhang, P; Ji, J</t>
  </si>
  <si>
    <t>Artificial intelligence has achieved remarkable success in materials science, accelerating novel material design. However, real-world material systems exhibit multiscale complexity-spanning composition, processing, structure, and properties-posing significant challenges for modeling. While some approaches fuse multiscale features to improve prediction, important modalities such as microstructure are often missing due to high acquisition costs. Existing methods struggle with incomplete data and lack a framework to bridge multiscale material knowledge. To address this, we propose MatMCL, a structure-guided multimodal learning framework that jointly analyzes multiscale material information and enables robust property prediction with incomplete modalities. Using a self-constructed multimodal dataset of electrospun nanofibers, we demonstrate that MatMCL improves mechanical property prediction without structural information, generates microstructures from processing parameters, and enables cross-modal retrieval. We further extend it via multi-stage learning and apply it to nanofiber-reinforced composite design. MatMCL uncovers processing-structure-property relationships, suggesting its promise as a generalizable approach for AI-driven material design.</t>
  </si>
  <si>
    <t>Wu, Yuhui; Ding, Minmin; He, Haonan; Wu, Qijun; Jiang, Shaohua; Zhang, Peng; Ji, Jian</t>
  </si>
  <si>
    <t>Zhang, P; Ji, J (corresponding author), Zhejiang Univ, Dept Polymer Sci &amp; Engn, MOE Key Lab Macromol Synth &amp; Functionalizat, Hangzhou, Peoples R China.; Zhang, P; Ji, J (corresponding author), Zhejiang Univ, Int Res Ctr X Polymers, Int Campus, Haining, Peoples R China.; Zhang, P; Ji, J (corresponding author), Zhejiang Univ, Affiliated Hosp 2, Sch Med, State Key Lab Transvasc Implantat Devices, Hangzhou, Peoples R China.; Ji, J (corresponding author), Transvasc Implantat Devices Res Inst China, Hangzhou, Peoples R China.</t>
  </si>
  <si>
    <t>zhangp7@zju.edu.cn; jijian@zju.edu.cn</t>
  </si>
  <si>
    <t>National Key Research and Development Program of China [2022YFB3807300]; National Key Research and Development Program of China [LR25E030001]; Zhejiang Provincial Natural Science Foundation of China [2024C03073]; Key Research and Development Project of Zhejiang Province [012024019]; State Key Laboratory of Transvascular Implantation Devices [KY012024007, KY012024009]; Transvascular Implantation Devices Research Institute China</t>
  </si>
  <si>
    <t>National Key Research and Development Program of China (National Key Research &amp; Development Program of China); National Key Research and Development Program of China (National Key Research &amp; Development Program of China); Zhejiang Provincial Natural Science Foundation of China (Natural Science Foundation of Zhejiang Province); Key Research and Development Project of Zhejiang Province; State Key Laboratory of Transvascular Implantation Devices; Transvascular Implantation Devices Research Institute China</t>
  </si>
  <si>
    <t>This work was supported by the National Key Research and Development Program of China (2022YFB3807300), Zhejiang Provincial Natural Science Foundation of China (LR25E030001), the Key Research and Development Project of Zhejiang Province (2024C03073), the financial support from the State Key Laboratory of Transvascular Implantation Devices (012024019), and Transvascular Implantation Devices Research Institute China (TIDRIC) (KY012024007, KY012024009).</t>
  </si>
  <si>
    <t>[Wu, Yuhui; He, Haonan; Zhang, Peng; Ji, Jian] Zhejiang Univ, Dept Polymer Sci &amp; Engn, MOE Key Lab Macromol Synth &amp; Functionalizat, Hangzhou, Peoples R China; [Wu, Yuhui; He, Haonan; Zhang, Peng; Ji, Jian] Zhejiang Univ, Int Res Ctr X Polymers, Int Campus, Haining, Peoples R China; [Ding, Minmin; Wu, Qijun; Jiang, Shaohua] Nanjing Forestry Univ, Coll Mat Sci &amp; Engn, Jiangsu Coinnovat Ctr Efficient Proc &amp; Utilizat Fo, Int Innovat Ctr Forest Chem &amp; Mat, Nanjing, Peoples R China; [He, Haonan; Zhang, Peng; Ji, Jian] Zhejiang Univ, Affiliated Hosp 2, Sch Med, State Key Lab Transvasc Implantat Devices, Hangzhou, Peoples R China; [Ji, Jian] Transvasc Implantat Devices Res Inst China, Hangzhou, Peoples R China</t>
  </si>
  <si>
    <t>Zhejiang University; Zhejiang University; Nanjing Forestry University; Zhejiang University</t>
  </si>
  <si>
    <t>A versatile multimodal learning framework bridging multiscale knowledge for material design</t>
  </si>
  <si>
    <t>NPJ COMPUTATIONAL MATERIALS</t>
  </si>
  <si>
    <t>REPRESENTATION</t>
  </si>
  <si>
    <t>Jiang, Shaohua/HDM-0188-2022; Zhang, Peng/K-9566-2014</t>
  </si>
  <si>
    <t>Zhang, Peng/0000-0002-5409-7480</t>
  </si>
  <si>
    <t>53</t>
  </si>
  <si>
    <t>2057-3960</t>
  </si>
  <si>
    <t>NPJ COMPUT MATER</t>
  </si>
  <si>
    <t>npj Comput. Mater.</t>
  </si>
  <si>
    <t>AUG 25 2025</t>
  </si>
  <si>
    <t>276</t>
  </si>
  <si>
    <t>10.1038/s41524-025-01767-3</t>
  </si>
  <si>
    <t>http://dx.doi.org/10.1038/s41524-025-01767-3</t>
  </si>
  <si>
    <t>Chemistry, Physical; Materials Science, Multidisciplinary</t>
  </si>
  <si>
    <t>Chemistry; Materials Science</t>
  </si>
  <si>
    <t>6PA7F</t>
  </si>
  <si>
    <t>WOS:001558608800001</t>
  </si>
  <si>
    <t>He, RN; Dong, LS; Xia, S; Cao, C; Wang, YW; Pang, MJ; Zhang, K; Liu, XY; Ming, D; Haacke, M</t>
  </si>
  <si>
    <t>The accurate delineation of ischemic stroke lesions in magnetic resonance imaging (MRI) is impeded by heterogeneous lesion morphology and the computational expense of modeling global context in three-dimensional data. In cerebral infarction assessment, diffusion-weighted imaging, apparent diffusion coefficient, T2-weighted imaging and T2star sequences (including susceptibility weighted image processing) each offer complementary information, yet existing fusion strategies often fail to adapt to missing modalities or capture long-range dependencies efficiently. Here we present GPMNet, a lightweight convolutional framework that integrates an adaptive multimodal feature fusion module-employing dynamic cross-attention to spatially weight and merge signals from all four MRI sequences-and a gated parallel state-space module that models global voxel interactions in linear time via dual gated branches. We trained the network end-to-end on the ATLAS R2.0 dataset and our own dataset collected at HuanHu Hospital (Tianjin, China), labeled as HHD. The training used a combined Dice-binary cross-entropy and TOPK10 loss, and the outputs were refined using ensemble inference and connected-domain filtering. GPMNet achieved Dice coefficients of 0.6604 and 0.7171 on the two cohorts respectively, achieving superior results compared to other state-of-the-art algorithms. Moreover, the Grad-CAM-based interpretability analysis confirms that the model's attention corresponds to true ischemic areas across modalities, offering visual evidence of its diagnostic reliability and enhancing the transparency of the segmentation process. Our approach delivered rapid, high-precision stroke segmentation and establishes a scalable paradigm for resource-efficient clinical imaging applications.</t>
  </si>
  <si>
    <t>He, Runnan; Dong, Leshui; Xia, Shuang; Cao, Chen; Wang, Youwei; Pang, Meijun; Zhang, Kuo; Liu, Xiuyun; Ming, Dong; Haacke, Mark</t>
  </si>
  <si>
    <t>Liu, XY; Ming, D (corresponding author), Tianjin Univ, Med Sch, Tianjin, Peoples R China.; Liu, XY; Ming, D (corresponding author), State Key Lab Adv Med Mat &amp; Devices, Tianjin, Peoples R China.; Liu, XY; Ming, D (corresponding author), Haihe Lab Brain Comp Interact &amp; Human Machine Inte, Tianjin, Peoples R China.; Liu, XY (corresponding author), Tianjin Univ, Sch Pharmaceut Sci &amp; Technol, Tianjin, Peoples R China.; Haacke, M (corresponding author), Shanghai Jiao Tong Univ, Ruijin Hosp, Dept Radiol, Shanghai, Peoples R China.</t>
  </si>
  <si>
    <t>nmrimaging@aol.com; richardming@tju.edu.cn; xiuyun_liu@tju.edu.cn</t>
  </si>
  <si>
    <t>Tianjin Natural Science Foundation - Outstanding Youth Project [24JCJQJC00250]; National Science Fund for Excellent Overseas Scholars [0401260011]; Autonomous Project of Haihe Laboratory of Brain-Computer Interaction and Human-Machine Integration [2025E7-0121]; National Natural Science Foundation of China [82472098]; Scientific Research Innovation Capability Support Project for Young Faculty [0401260003]; Major Science and Technology Special Projects and Engineering - Major Project of National Key Laboratories [24ZXZSSS00510]</t>
  </si>
  <si>
    <t>Tianjin Natural Science Foundation - Outstanding Youth Project; National Science Fund for Excellent Overseas Scholars; Autonomous Project of Haihe Laboratory of Brain-Computer Interaction and Human-Machine Integration; National Natural Science Foundation of China (National Natural Science Foundation of China (NSFC)); Scientific Research Innovation Capability Support Project for Young Faculty; Major Science and Technology Special Projects and Engineering - Major Project of National Key Laboratories</t>
  </si>
  <si>
    <t>This study was funded by Scientific Research Innovation Capability Support Project for Young Faculty (0401260003, XL), National Science Fund for Excellent Overseas Scholars (0401260011, XL), National Natural Science Foundation of China (82472098), Tianjin Natural Science Foundation - Outstanding Youth Project (24JCJQJC00250, XL) and Major Science and Technology Special Projects and Engineering - Major Project of National Key Laboratories (24ZXZSSS00510, XL), Autonomous Project of Haihe Laboratory of Brain-Computer Interaction and Human-Machine Integration (No. 2025E7-0121, RH). The funders had a role in the decision to publish the manuscript.</t>
  </si>
  <si>
    <t>[He, Runnan; Dong, Leshui; Wang, Youwei; Pang, Meijun; Zhang, Kuo; Liu, Xiuyun; Ming, Dong] Tianjin Univ, Med Sch, Tianjin, Peoples R China; [Xia, Shuang] Tianjin First Cent Hosp, Dept Radiol, Tianjin, Peoples R China; [Cao, Chen] Tianjin Huanhu Hosp, Tianjin, Peoples R China; [Liu, Xiuyun; Ming, Dong] State Key Lab Adv Med Mat &amp; Devices, Tianjin, Peoples R China; [Liu, Xiuyun; Ming, Dong] Haihe Lab Brain Comp Interact &amp; Human Machine Inte, Tianjin, Peoples R China; [Liu, Xiuyun] Tianjin Univ, Sch Pharmaceut Sci &amp; Technol, Tianjin, Peoples R China; [Haacke, Mark] Shanghai Jiao Tong Univ, Ruijin Hosp, Dept Radiol, Shanghai, Peoples R China</t>
  </si>
  <si>
    <t>Tianjin University; Tianjin Medical University; Tianjin University; Shanghai Jiao Tong University</t>
  </si>
  <si>
    <t>Adaptive multimodal fusion via Gated Parallel Mamba architecture for ultra-high-precision stroke lesion segmentation in medical imaging</t>
  </si>
  <si>
    <t>PLOS DIGITAL HEALTH</t>
  </si>
  <si>
    <t>Liu, Xiuyun/V-4427-2017; Ming, Dong/G-8786-2011</t>
  </si>
  <si>
    <t>PUBLIC LIBRARY SCIENCE</t>
  </si>
  <si>
    <t>SAN FRANCISCO</t>
  </si>
  <si>
    <t>1160 BATTERY STREET, STE 100, SAN FRANCISCO, CA 94111 USA</t>
  </si>
  <si>
    <t>2767-3170</t>
  </si>
  <si>
    <t>PLOS DIGIT HEALTH</t>
  </si>
  <si>
    <t>PLOS Digit. Health</t>
  </si>
  <si>
    <t>e0001517</t>
  </si>
  <si>
    <t>10.1371/journal.pdig.0001517</t>
  </si>
  <si>
    <t>http://dx.doi.org/10.1371/journal.pdig.0001517</t>
  </si>
  <si>
    <t>LF1NM</t>
  </si>
  <si>
    <t>42467675</t>
  </si>
  <si>
    <t>WOS:001823121700001</t>
  </si>
  <si>
    <t>Maqsood, H; Khan, SUR</t>
  </si>
  <si>
    <t>Accurate prediction of recurrence in clear cell renal cell carcinoma (ccRCC) remains a major clinical challenge due to the disease complex molecular, pathological, and clinical heterogeneity. Traditional prognostic models, which rely on single data modalities such as radiology, histopathology, or genomics, often fail to capture the full spectrum of disease complexity, leading to suboptimal predictive accuracy. This study proposes a deep learning (DL) framework that integrates multimodal data, including CT, MRI, histopathology whole slide images (WSI), clinical data, and genomic profiles, to improve ccRCC recurrence prediction and enhance clinical decision making. The proposed framework utilizes a comprehensive dataset curated from multiple publicly available sources, including TCGA, TCIA, and CPTAC. Domain specific models are employed to process the diverse modalities: CLAM, a ResNet50-based model, is used for histopathology WSIs, while MedicalNet, a pre-trained 3D-ResNet18 model, processes CT and MRI images. For structured clinical and genomic data, a multi layer perceptron (MLP) is used. These models extract deep feature embeddings from each modality, which are then fused using early and late integration architectures. Experimental validation demonstrates that when all three modalities are available, the proposed MeD-3D model significantly outperforms unimodal baselines, achieving a balanced accuracy of 83.3%, F1 score of 0.983, precision of 0.967, and recall of 1.000, compared to unimodal approaches such as the EHR MLP baseline (81.6% balanced accuracy, 0.774 F1 score), CT/MRI MLP baseline (86.8% balanced accuracy, 0.848 F1 score), and WSI MLP baseline (70.2 % balanced accuracy, 0.740 F1 score). These results demonstrate that multimodal integration effectively captures complementary prognostic information across diverse data types clinical, radiological, and pathological leading to improved recurrence prediction performance. This study establishes the MeD-3D framework as a promising approach for enhancing risk stratification and supporting personalized treatment planning in ccRCC patients. The findings underscore the potential of DL based multimodal fusion in advancing precision oncology. Future work will focus on validating the framework robustness under scenarios with missing or incomplete modalities and extending validation to multi institutional datasets to assess generalizability and clinical deployment readiness.</t>
  </si>
  <si>
    <t>Maqsood, Hasaan; Khan, Saif Ur Rehman</t>
  </si>
  <si>
    <t>Khan, SUR (corresponding author), German Res Ctr Artificial Intelligence DFKI, Trippstadter Str 122, D-67663 Kaiserslautern, Germany.</t>
  </si>
  <si>
    <t>hasaan.maqsood@skoltech.ru; saif_ur_rehman.khan@dfki.de</t>
  </si>
  <si>
    <t>[Maqsood, Hasaan] Skolkovo Inst Sci &amp; Technol Skoltech, Bolshoy Blvd 30,Bld1, Moscow 121205, Russia; [Khan, Saif Ur Rehman] German Res Ctr Artificial Intelligence DFKI, Trippstadter Str 122, D-67663 Kaiserslautern, Germany</t>
  </si>
  <si>
    <t>Skolkovo Institute of Science &amp; Technology; German Research Center for Artificial Intelligence (DFKI)</t>
  </si>
  <si>
    <t>MeD-3D: A multimodal deep learning framework for precise recurrence prediction in clear cell renal cell carcinoma (ccRCC)</t>
  </si>
  <si>
    <t>EXPERT SYSTEMS WITH APPLICATIONS</t>
  </si>
  <si>
    <t>Biomedical data; Multimodal; data fusion; Recurrence; Precision oncology</t>
  </si>
  <si>
    <t>Khan, Saif ur Rehman/JXM-3525-2024</t>
  </si>
  <si>
    <t>Maqsood, Hasaan/0009-0007-3624-1032; Khan, Saif ur Rehman/0000-0002-0768-5239</t>
  </si>
  <si>
    <t>0957-4174</t>
  </si>
  <si>
    <t>1873-6793</t>
  </si>
  <si>
    <t>EXPERT SYST APPL</t>
  </si>
  <si>
    <t>Expert Syst. Appl.</t>
  </si>
  <si>
    <t>MAR 1 2026</t>
  </si>
  <si>
    <t>299</t>
  </si>
  <si>
    <t>130174</t>
  </si>
  <si>
    <t>10.1016/j.eswa.2025.130174</t>
  </si>
  <si>
    <t>http://dx.doi.org/10.1016/j.eswa.2025.130174</t>
  </si>
  <si>
    <t>Computer Science, Artificial Intelligence; Engineering, Electrical &amp; Electronic; Operations Research &amp; Management Science</t>
  </si>
  <si>
    <t>Computer Science; Engineering; Operations Research &amp; Management Science</t>
  </si>
  <si>
    <t>9YJ9N</t>
  </si>
  <si>
    <t>WOS:001617982400017</t>
  </si>
  <si>
    <t>Alowidi, N</t>
  </si>
  <si>
    <t>Effective website usability assessment is crucial for improving user experience, driving customer satisfaction, and ensuring business success, particularly in the competitive e-commerce sector. Traditional methods, such as expert reviews and user testing, are resource-intensive and often fail to fully capture the complex interplay between a site's aesthetic design and its technical performance. This paper introduces an end-to-end multimodal deep learning framework that automates the usability assessment of fashion e-commerce websites. The framework fuses structured numerical indicators (e.g., load time, mobile compatibility) with high-level visual features extracted from full-page screenshots. The proposed framework employs a comprehensive set of visual backbones-including modern architectures such as ConvNeXt and Vision Transformers (ViT, Swin) alongside established CNNs-and systematically evaluates three fusion strategies: early fusion, late fusion, and a state-of-the-art cross-modal fusion strategy that enables deep, bidirectional interactions between modalities. Extensive experiments demonstrate that the cross-modal fusion approach, particularly when paired with a ConvNeXt backbone, achieves superior performance with a 0.92 accuracy and 0.89 F1-score, outperforming both unimodal and simpler fusion baselines. Model interpretability is provided through SHAP and LIME, confirming that the predictions align with established usability principles and generate actionable insights. Although validated on fashion e-commerce sites, the framework is highly adaptable to other domains-such as e-learning and e-government-via domain-specific data and light fine-tuning. It provides a robust, explainable benchmark for data-driven, multimodal website usability assessment and paves the way for more intelligent, automated user-experience optimization.</t>
  </si>
  <si>
    <t>Alowidi, Nahed</t>
  </si>
  <si>
    <t>Social Science Citation Index (SSCI)</t>
  </si>
  <si>
    <t>Alowidi, N (corresponding author), King Abdulaziz Univ, Fac Comp &amp; Informat Technol, Dept Comp Sci, Jeddah 21589, Saudi Arabia.</t>
  </si>
  <si>
    <t>nalowidi@kau.edu.sa</t>
  </si>
  <si>
    <t>Deanship of Scientific Research (DSR) at King Abdulaziz University, Jeddah, Saudi Arabia [IPP: 1129-612-2025]</t>
  </si>
  <si>
    <t>Deanship of Scientific Research (DSR) at King Abdulaziz University, Jeddah, Saudi Arabia (King Abdulaziz University)</t>
  </si>
  <si>
    <t>This work was funded by the Deanship of Scientific Research (DSR) at King Abdulaziz University, Jeddah, Saudi Arabia, under grant no. (IPP: 1129-612-2025). The author, therefore, acknowledges with thanks DSR for its technical and financial support.</t>
  </si>
  <si>
    <t>[Alowidi, Nahed] King Abdulaziz Univ, Fac Comp &amp; Informat Technol, Dept Comp Sci, Jeddah 21589, Saudi Arabia</t>
  </si>
  <si>
    <t>King Abdulaziz University</t>
  </si>
  <si>
    <t>Multimodal Deep Learning Framework for Automated Usability Evaluation of Fashion E-Commerce Sites</t>
  </si>
  <si>
    <t>JOURNAL OF THEORETICAL AND APPLIED ELECTRONIC COMMERCE RESEARCH</t>
  </si>
  <si>
    <t>automated assessment; website usability evaluation; fashion e-commerce; multimodal transformer; cross-modal fusion</t>
  </si>
  <si>
    <t>Alowidi, Nahed/ACC-0377-2022</t>
  </si>
  <si>
    <t>Alowidi, Nahed/0000-0002-4683-3716</t>
  </si>
  <si>
    <t>0718-1876</t>
  </si>
  <si>
    <t>J THEOR APPL EL COMM</t>
  </si>
  <si>
    <t>J. Theor. Appl. Electron. Commer. Res.</t>
  </si>
  <si>
    <t>DEC 3 2025</t>
  </si>
  <si>
    <t>343</t>
  </si>
  <si>
    <t>10.3390/jtaer20040343</t>
  </si>
  <si>
    <t>http://dx.doi.org/10.3390/jtaer20040343</t>
  </si>
  <si>
    <t>28</t>
  </si>
  <si>
    <t>Business</t>
  </si>
  <si>
    <t>Business &amp; Economics</t>
  </si>
  <si>
    <t>AF4CB</t>
  </si>
  <si>
    <t>WOS:001646834100001</t>
  </si>
  <si>
    <t>Guarrasi, V; Aksu, F; Caruso, CM; Di Feola, F; Rofena, A; Ruffini, F; Soda, P</t>
  </si>
  <si>
    <t>Deep learning has revolutionized biomedical research by providing sophisticated methods to handle complex, high-dimensional data. Multimodal deep learning (MDL) further enhances this capability by integrating diverse data types such as imaging, textual data, and genetic information, leading to more robust and accurate predictive models. In MDL, differently from early and late fusion methods, intermediate fusion stands out for its ability to effectively combine modality-specific features during the learning process. This systematic review comprehensively analyzes and formalizes current intermediate fusion methods in biomedical applications, highlighting their effectiveness in improving predictive performance and capturing complex inter-modal relationships. We investigate the techniques employed, the challenges faced, and potential future directions for advancing intermediate fusion methods. Additionally, we introduce a novel structured notation that standardizes intermediate fusion architectures, enhancing understanding and facilitating implementation across various domains. Our findings provide actionable insights and practical guidelines intended to support researchers, healthcare professionals, and the broader deep learning community in developing more sophisticated and insightful multimodal models. Through this review, we aim to provide a foundational framework for future research and practical applications in the dynamic field of MDL.</t>
  </si>
  <si>
    <t>Guarrasi, Valerio; Aksu, Fatih; Caruso, Camillo Maria; Di Feola, Francesco; Rofena, Aurora; Ruffini, Filippo; Soda, Paolo</t>
  </si>
  <si>
    <t>Guarrasi, V; Soda, P (corresponding author), Univ Campus Biomed Roma, Dept Engn, Res Unit Comp Syst &amp; Bioinformat, Rome, Italy.; Soda, P (corresponding author), Umea Univ, Dept Diagnost &amp; Intervent, Radiat Phys, Biomed Engn, Umea, Sweden.</t>
  </si>
  <si>
    <t>aurora.rofena@unicampus.it; francesco.feola@umu.se; camillomaria.caruso@unicampus.it; fatih.aksu@st.hunimed.eu; filippo.ruffini@unicampus.it; valerio.guarrasi@unicampus.it; p.soda@unicampus.it</t>
  </si>
  <si>
    <t>University Campus BioMedico di Roma; PRIN 2022 MUR 20228MZFAA-AIDA; PNRR [PE0000013FAIR]; Project ECS 0000024 Rome Technopole [CUP C83C22000510001]; European Union-NextGenerationEU</t>
  </si>
  <si>
    <t>University Campus BioMedico di Roma; PRIN 2022 MUR 20228MZFAA-AIDA (Ministry of Education, Universities and Research (MIUR), Research Projects of National Relevance (PRIN)); PNRR; Project ECS 0000024 Rome Technopole; European Union-NextGenerationEU</t>
  </si>
  <si>
    <t>Fatih Aksu, Camillo Maria Caruso, Aurora Rofena and Filippo Ruffini are Ph.D. students enrolled in the National Ph.D. in Artificial Intelligence, course on Health and Life Sciences, organized by University Campus Bio-Medico di Roma. This work was partially founded by: (i) University Campus BioMedico di Roma under the program "University Strategic Projects" within the project "AI-powered Digital Twin for next-generation lung cancEr cAre (IDEA) "; (ii) from PRIN 2022 MUR 20228MZFAA-AIDA (CUP C53D23003620008) ; (iii) from PNRR MUR project PE0000013FAIR; (iv) from Project ECS 0000024 Rome Technopole,-CUP C83C22000510001, NRP Mission 4 Component 2 Investment 1.5, Funded by the European Union-NextGenerationEU. (v) from Kempestiftelserna grant n. JCSMK24-0094</t>
  </si>
  <si>
    <t>[Guarrasi, Valerio; Aksu, Fatih; Caruso, Camillo Maria; Rofena, Aurora; Ruffini, Filippo; Soda, Paolo] Univ Campus Biomed Roma, Dept Engn, Res Unit Comp Syst &amp; Bioinformat, Rome, Italy; [Aksu, Fatih] Humanitas Univ, Dept Biomed Sci, Milan, Italy; [Di Feola, Francesco; Soda, Paolo] Umea Univ, Dept Diagnost &amp; Intervent, Radiat Phys, Biomed Engn, Umea, Sweden</t>
  </si>
  <si>
    <t>University Campus Bio-Medico - Rome Italy; Humanitas University; Umea University</t>
  </si>
  <si>
    <t>A systematic review of intermediate fusion in multimodal deep learning for biomedical applications</t>
  </si>
  <si>
    <t>IMAGE AND VISION COMPUTING</t>
  </si>
  <si>
    <t>Joint fusion; Fusion techniques; Data integration; Biomedical data; Healthcare; Data fusion</t>
  </si>
  <si>
    <t>ARTIFICIAL-INTELLIGENCE; CHALLENGES</t>
  </si>
  <si>
    <t>Guarrasi, Valerio/GWU-9478-2022</t>
  </si>
  <si>
    <t>Caruso, Camillo Maria/0000-0002-7320-4173; Ruffini, Filippo/0009-0003-9759-5492; Guarrasi, Valerio/0000-0002-1860-7447</t>
  </si>
  <si>
    <t>137</t>
  </si>
  <si>
    <t>0262-8856</t>
  </si>
  <si>
    <t>1872-8138</t>
  </si>
  <si>
    <t>IMAGE VISION COMPUT</t>
  </si>
  <si>
    <t>Image Vis. Comput.</t>
  </si>
  <si>
    <t>105509</t>
  </si>
  <si>
    <t>10.1016/j.imavis.2025.105509</t>
  </si>
  <si>
    <t>http://dx.doi.org/10.1016/j.imavis.2025.105509</t>
  </si>
  <si>
    <t>APR 2025</t>
  </si>
  <si>
    <t>Computer Science, Artificial Intelligence; Computer Science, Software Engineering; Computer Science, Theory &amp; Methods; Engineering, Electrical &amp; Electronic; Optics</t>
  </si>
  <si>
    <t>Computer Science; Engineering; Optics</t>
  </si>
  <si>
    <t>1BY5G</t>
  </si>
  <si>
    <t>WOS:001461385100001</t>
  </si>
  <si>
    <t>Teles, AS; de Moura, IR; Silva, F; Roberts, A; Stahl, D</t>
  </si>
  <si>
    <t>Electronic Health Records (EHRs) have transformed healthcare by digitally consolidating patient medical history, encompassing structured data (e.g., demographic data, lab results), and unstructured textual data (e.g., clinical notes). These data hold significant potential for predictive modelling, and recent studies have dedicated efforts to leverage the different modalities in a cohesive and effective manner to improve predictive accuracy. This Systematic Literature Review (SLR) addresses the application of Multimodal Deep Learning (MDL) methods in EHR-based prediction modelling, specifically through the fusion of structured and textual data. Following PRISMA guidelines, we conducted a comprehensive literature search across six article databases, using a carefully designed search string. After applying inclusion and exclusion criteria, we selected 77 primary studies. Data extraction was standardized using a structured form based on the CHARMS checklist. We categorized and analysed the fusion strategies employed across the studies. By combining structured and textual data at the input level, early fusion enabled models to learn joint feature representations from the beginning, whether in vectorized representations or data textualization. Intermediate fusion, which delays integration, was particularly useful for tasks where each modality provides unique insights that need to be processed independently before being combined. Late fusion enabled modularity by integrating outputs from unimodal models, which is suitable when EHR structured and textual data have varying quality or reliability. We also identified trends and open issues that need attention. This review contributes a comprehensive understanding of EHR data fusion practices using MDL, highlighting potential pathways for future research and development in health informatics.</t>
  </si>
  <si>
    <t>Teles, Ariel Soares; de Moura, Ivan Rodrigues; Silva, Francisco; Roberts, Angus; Stahl, Daniel</t>
  </si>
  <si>
    <t>Teles, AS (corresponding author), Fed Inst Maranhao, Sao Luis, Maranhao, Brazil.</t>
  </si>
  <si>
    <t>ariel.teles@ifma.edu.br</t>
  </si>
  <si>
    <t>National Council for Scientific and Technological Development-CNPq, Brazil [441817/2023-8]</t>
  </si>
  <si>
    <t>National Council for Scientific and Technological Development-CNPq, Brazil (Conselho Nacional de Desenvolvimento Cientifico e Tecnologico (CNPQ))</t>
  </si>
  <si>
    <t>This work was supported by the National Council for Scientific and Technological Development-CNPq, Brazil (grant 441817/2023-8) .</t>
  </si>
  <si>
    <t>[Teles, Ariel Soares; Roberts, Angus] Kings Coll London, Inst Psychiat Psychol &amp; Neurosci, Dept Biostat &amp; Hlth Informat, London, England; [Teles, Ariel Soares] Fed Inst Maranhao, Sao Luis, Maranhao, Brazil; [de Moura, Ivan Rodrigues] Fed Inst Piaui, Teresina, Piaui, Brazil; [Silva, Francisco] Univ Fed Maranhao, Maranhao, Maranhao, Brazil</t>
  </si>
  <si>
    <t>King's College London; University of London; King's College London; Instituto Federal do Maranhao; Instituto Federal do Piaui (IFPI); Universidade Federal do Maranhao</t>
  </si>
  <si>
    <t>EHR-based prediction modelling meets multimodal deep learning: A systematic review of structured and textual data fusion methods</t>
  </si>
  <si>
    <t>Multimodal; Deep learning; Electronic Health Records; Predictive modelling; Data fusion; Natural Language Processing; Medical AI</t>
  </si>
  <si>
    <t>ELECTRONIC HEALTH RECORDS; ARTIFICIAL-INTELLIGENCE; DISEASE PREDICTION; INFORMATION; AGREEMENT; FAIRNESS; KAPPA; RISK; BIAS</t>
  </si>
  <si>
    <t>Stahl, Daniel/B-9713-2011; Soares Teles, Ariel/AAA-7305-2022; /AAN-4918-2021; Da+Silva+E+Silva, Francisco/AGM-5640-2022</t>
  </si>
  <si>
    <t>Roberts, Angus/0000-0002-4570-9801; Stahl, Daniel/0000-0001-7987-6619; Soares Teles, Ariel/0000-0002-0840-3870</t>
  </si>
  <si>
    <t>183</t>
  </si>
  <si>
    <t>118</t>
  </si>
  <si>
    <t>102981</t>
  </si>
  <si>
    <t>10.1016/j.inffus.2025.102981</t>
  </si>
  <si>
    <t>http://dx.doi.org/10.1016/j.inffus.2025.102981</t>
  </si>
  <si>
    <t>X4B2K</t>
  </si>
  <si>
    <t>WOS:001424816800001</t>
  </si>
  <si>
    <t>Gu, TY; Yan, ZZ; Jiang, JH</t>
  </si>
  <si>
    <t>Objective To develop a multimodal deep-learning model for classifying Chinese medicine constitution, i.e., the balanced and unbalanced constitutions, based on inspection of tongue and face images, pulse waves from palpation, and health information from a total of 540 subjects. Methods This study data consisted of tongue and face images, pulse waves obtained by palpation, and health information, including personal information, life habits, medical history, and current symptoms, from 540 subjects (202 males and 338 females). Convolutional neural networks, recurrent neural networks, and fully connected neural networks were used to extract deep features from the data. Feature fusion and decision fusion models were constructed for the multimodal data. Results The optimal models for tongue and face images, pulse waves and health information were ResNet18, Gate Recurrent Unit, and entity embedding, respectively. Feature fusion was superior to decision fusion. The multimodal analysis revealed that multimodal data compensated for the loss of information from a single mode, resulting in improved classification performance. Conclusions Multimodal data fusion can supplement single model information and improve classification performance. Our research underscores the effectiveness of multimodal deep learning technology to identify body constitution for modernizing and improving the intelligent application of Chinese medicine.</t>
  </si>
  <si>
    <t>Gu Tian-yu; Yan Zhuang-zhi; Jiang Jie-hui</t>
  </si>
  <si>
    <t>Yan, ZZ (corresponding author), Shanghai Univ, Sch Life Sci, Shanghai 200444, Peoples R China.</t>
  </si>
  <si>
    <t>zzyan@shu.edu.cn</t>
  </si>
  <si>
    <t>[Gu Tian-yu] Shanghai Univ, Sch Commun &amp; Informat Engn, Shanghai 200444, Peoples R China; [Yan Zhuang-zhi; Jiang Jie-hui] Shanghai Univ, Sch Life Sci, Shanghai 200444, Peoples R China</t>
  </si>
  <si>
    <t>Shanghai University; Shanghai University</t>
  </si>
  <si>
    <t>Classifying Chinese Medicine Constitution Using Multimodal Deep-Learning Model</t>
  </si>
  <si>
    <t>CHINESE JOURNAL OF INTEGRATIVE MEDICINE</t>
  </si>
  <si>
    <t>Chinese medicine constitution classification; multimodal deep learning; tongue image; face image; pulse wave; health information</t>
  </si>
  <si>
    <t>TONGUE</t>
  </si>
  <si>
    <t>Jiang, Jiehui/ABA-5060-2020; /B-6765-2008</t>
  </si>
  <si>
    <t>1672-0415</t>
  </si>
  <si>
    <t>1993-0402</t>
  </si>
  <si>
    <t>CHIN J INTEGR MED</t>
  </si>
  <si>
    <t>Chin. J. Integr. Med.</t>
  </si>
  <si>
    <t>FEB 2024</t>
  </si>
  <si>
    <t>163</t>
  </si>
  <si>
    <t>10.1007/s11655-022-3541-8</t>
  </si>
  <si>
    <t>http://dx.doi.org/10.1007/s11655-022-3541-8</t>
  </si>
  <si>
    <t>Integrative &amp; Complementary Medicine</t>
  </si>
  <si>
    <t>GP4O2</t>
  </si>
  <si>
    <t>36374441</t>
  </si>
  <si>
    <t>WOS:000883206300002</t>
  </si>
  <si>
    <t>Rella, BPR; Chaudhary, AK; Patel, RB; Nikolic, B; Janjic, M; Bacanin, N</t>
  </si>
  <si>
    <t>Multimodal clinical data such as medical imaging, electronic health records (EHRs) and genomic information have become increasingly important for intelligent healthcare analytics and early disease prediction. However, centralized AI training approaches introduce major concerns related to patient confidentiality, institutional data governance, and secure interhospital collaboration. To address these limitations, this work presents a privacy-aware federated multimodal learning framework for sepsis prediction in distributed healthcare environments. The proposed architecture combines a Vision Transformer (ViT) for chest X-ray feature extraction with a Deep Neural Network (DNN) for structured EHR and genomic data processing, enabling efficient multimodal feature fusion without centralized data sharing. Differential Privacy is incorporated to protect local model updates, while Homomorphic Encryption enables secure aggregation during federated communication. The framework was evaluated using multimodal clinical datasets containing chest radiographs, patient records and genomic indicators collected across simulated healthcare institutions. Experimental findings demonstrate that the proposed framework achieves an AUC of 0.945 and an F1-score of 0.887 while maintaining strong privacy guarantees and robustness against inference attacks. Comparative analysis further shows that the proposed method achieves performance close to centralized learning while significantly improving data confidentiality and collaborative security. The framework provides a scalable and practical solution for privacy-preserving healthcare AI deployment across distributed medical systems.</t>
  </si>
  <si>
    <t>Rella, Bhanu Prakash Reddy; Chaudhary, Arvind Kumar; Patel, Ronish B.; Nikolic, Bosko; Janjic, Milos; Bacanin, Nebojsa</t>
  </si>
  <si>
    <t>Rella, BPR (corresponding author), Golden Gate Univ, San Francisco, CA 94105 USA.</t>
  </si>
  <si>
    <t>27rellaprakash@gmail.com</t>
  </si>
  <si>
    <t>EUROHPC-JU [101191697]; EuroCC4SEE</t>
  </si>
  <si>
    <t>EUROHPC-JU; EuroCC4SEE</t>
  </si>
  <si>
    <t>This research was supported by EUROHPC-JU, (101191697) and EuroCC4SEE.</t>
  </si>
  <si>
    <t>[Rella, Bhanu Prakash Reddy] Golden Gate Univ, San Francisco, CA 94105 USA; [Chaudhary, Arvind Kumar] Cognizant Technol Solut US Corp, Teaneck, NJ USA; [Patel, Ronish B.] Univ British Columbia, Vancouver, BC, Canada; [Nikolic, Bosko] Univ Belgrade, Sch Elect Engn, Belgrade, Serbia; [Janjic, Milos] Univ Belgrade, Innovat Ctr, Sch Elect Engn, Belgrade, Serbia; [Bacanin, Nebojsa] SIMATS, Saveetha Sch Engn, Dept Math, Chennai, Tamil Nadu, India; [Bacanin, Nebojsa] Singidunum Univ, Belgrade, Serbia</t>
  </si>
  <si>
    <t>University of British Columbia; University of Belgrade; University of Belgrade; Saveetha Institute of Medical &amp; Technical Science; Saveetha School of Engineering</t>
  </si>
  <si>
    <t>Privacy-Preserving Federated Multimodal Deep Learning for Sepsis Prediction Using Vision Transformers and Secure Aggregation</t>
  </si>
  <si>
    <t>INTERNET TECHNOLOGY LETTERS</t>
  </si>
  <si>
    <t>decentralized healthcare AI; differential privacy; federated learning; homomorphic encryption; multimodal data integration; privacy-preserving AI; sepsis prediction</t>
  </si>
  <si>
    <t>Bacanin, Nebojsa/L-5328-2019; Nikolic, Bosko/L-4543-2019; Patel, Ronish/ODI-7650-2025</t>
  </si>
  <si>
    <t>2476-1508</t>
  </si>
  <si>
    <t>INTERNET TECHNOL LET</t>
  </si>
  <si>
    <t>Internet. Technol. Lett.</t>
  </si>
  <si>
    <t>JUN 8 2026</t>
  </si>
  <si>
    <t>e70324</t>
  </si>
  <si>
    <t>10.1002/itl2.70324</t>
  </si>
  <si>
    <t>http://dx.doi.org/10.1002/itl2.70324</t>
  </si>
  <si>
    <t>Telecommunications</t>
  </si>
  <si>
    <t>JD3GO</t>
  </si>
  <si>
    <t>WOS:001786616500001</t>
  </si>
  <si>
    <t>Qu, Y; Wu, QT; Liu, J; Li, MW; Gao, HM; Yang, MY</t>
  </si>
  <si>
    <t>Medical Visual Question Answering (Med-VQA) is an important cross-modal interactive task for assisting clinicians in making diagnostic decisions. However, the performance of existing Med-VQA models is limited due to the following two issues: (1) They cannot fully capture the subtle features of lesions in medical images, and (2) the image-text term associations cannot be deeply explored unique to the medical field, which significantly limits the performance of the model. To address these issues, this paper proposes a Cross-Modal fusion model based on the Dynamic Enhancement of medical images (DECM). Concretely, DECM consists of two main modules. One is the Medical Image Feature Enhancement (MIFE) module, which dynamically focuses on lesion regions to precisely enhance lesion features and effectively distinguish lesions from normal tissues. The other is the Cross-Modal Feature Fusion (CMFF) module, which jointly models image features and text information to establish accurate mappings between medical images and text descriptions, improving the ability to mine cross-modal associations. To evaluate the effectiveness of the proposed method, we construct the first integrated Traditional Chinese and Western Medicine lumbar visual question answering dataset, which enables the analysis of cervical spine diseases using the collaborative knowledge of Traditional Chinese and Western medicine. Finally, experimental results demonstrate that the proposed DECM model outperforms existing state-of-the-art (SOTA) algorithms on four Med-VQA datasets, fully validating its effectiveness and superiority in medical visual question answering tasks.</t>
  </si>
  <si>
    <t>Qu, Yuan; Wu, Qingtao; Liu, Jia; Li, Meiwen; Gao, Huimin; Yang, Meiyi</t>
  </si>
  <si>
    <t>Li, MW (corresponding author), Henan Univ Sci &amp; Technol, Sch Software, Luoyang 471023, Peoples R China.</t>
  </si>
  <si>
    <t>gaomnli@haust.edu.cn; mwli@haust.edu.cn; yuanqu@stu.haust.edu.cn; 231537010210@stu.haust.edu.cn; myyang@haust.edu.cn; wqt8921@haust.edu.cn</t>
  </si>
  <si>
    <t>Henan Provincial Science and Technology Key Project [252102210073]; Key Technologies R&amp;D Program of Henan Province [241111210700]; Open Research Projects of National Engineering Research Center of Advanced Network Technologies [ANT2024001]; e Key Research Project of Higher Education Institutions of Henan Province [25A520017]</t>
  </si>
  <si>
    <t>Henan Provincial Science and Technology Key Project; Key Technologies R&amp;D Program of Henan Province; Open Research Projects of National Engineering Research Center of Advanced Network Technologies; e Key Research Project of Higher Education Institutions of Henan Province</t>
  </si>
  <si>
    <t>This work was supported by the Key Technologies R&amp;D Program of Henan Province under Grant No. 241111210700, and in part by the Henan Provincial Science and Technology Key Project under Grant No. 252102210073, and in part by the Open Research Projects of National Engineering Research Center of Advanced Network Technologies under Grant No. ANT2024001, and in part by the Key Research Project of Higher Education Institutions of Henan Province under Grant No. 25A520017.</t>
  </si>
  <si>
    <t>[Qu, Yuan; Wu, Qingtao; Yang, Meiyi] Henan Univ Sci &amp; Technol, Sch Informat Engn, Luoyang 471023, Peoples R China; [Liu, Jia] Henan Univ Sci &amp; Technol, Sch Basic Med &amp; Forens Med, Luoyang 471023, Peoples R China; [Li, Meiwen] Henan Univ Sci &amp; Technol, Sch Software, Luoyang 471023, Peoples R China; [Gao, Huimin] Henan Univ Sci &amp; Technol, Sch Math &amp; Stat, Luoyang 471023, Peoples R China</t>
  </si>
  <si>
    <t>Henan University of Science &amp; Technology; Henan University of Science &amp; Technology; Henan University of Science &amp; Technology; Henan University of Science &amp; Technology</t>
  </si>
  <si>
    <t>Medical dynamic feature enhanced multimodal fusion for medical visual question answering</t>
  </si>
  <si>
    <t>PATTERN ANALYSIS AND APPLICATIONS</t>
  </si>
  <si>
    <t>Medical visual question answering; Multi-modal fusion; Medical image feature enhancement</t>
  </si>
  <si>
    <t>1433-7541</t>
  </si>
  <si>
    <t>1433-755X</t>
  </si>
  <si>
    <t>PATTERN ANAL APPL</t>
  </si>
  <si>
    <t>Pattern Anal. Appl.</t>
  </si>
  <si>
    <t>MAR 10 2026</t>
  </si>
  <si>
    <t>10.1007/s10044-026-01644-9</t>
  </si>
  <si>
    <t>http://dx.doi.org/10.1007/s10044-026-01644-9</t>
  </si>
  <si>
    <t>EX0HC</t>
  </si>
  <si>
    <t>WOS:001711759500001</t>
  </si>
  <si>
    <t>Juneja, S; Bhati, BS</t>
  </si>
  <si>
    <t>Early detection of women's health conditions such as breast cancer, cervical cancer, and polycystic ovary syndrome (PCOS) remains a major challenge because these diseases often require analysing both visual and textual clinical information. Traditional deep learning systems usually depend upon one single source of input - the medical images or the clinical text which restricts them from understanding the full clinical picture. We propose MedFusionNet, a hybrid Transformer-based deep learning model that combines both medical images and clinical reports for more detailed information. The image processing stream introduces EfficientNetB0 and ViT to extract the detailed and global features of images, while in the text processing stream, a transformer based language model identifies the exact meaning of clinical notes. These two models are brought together with a cross-modal influence fusion mechanism that allows the model to learn how the visual patterns use the textual descriptions. After training on 18,434 image-text pairs, MedFusionNet shows good performance after its two-stage training process, learning the fusion and classification layers first, followed by the fine-tuning of all model components. The model achieved very high validation accuracies of 96.8% for breast cancer, 98.2% for cervical cancer, and 99.3% for PCOS detection with strong generalisation ability across diseases. This research further shows that combining image and text inputs will be able to make disease predictions early and accurately, which will make it easy to improve medical support and women's healthcare outcomes.</t>
  </si>
  <si>
    <t>Juneja, Sonam; Bhati, Bhoopesh Singh</t>
  </si>
  <si>
    <t>Juneja, S (corresponding author), Indian Inst Informat Technol, Dept CSE, Sonepat 131001, Haryana, India.</t>
  </si>
  <si>
    <t>sonam.december@gmail.com</t>
  </si>
  <si>
    <t>[Juneja, Sonam; Bhati, Bhoopesh Singh] Indian Inst Informat Technol, Dept CSE, Sonepat 131001, Haryana, India</t>
  </si>
  <si>
    <t>MedFusionNet: A hybrid transformer-based multimodal deep learning framework for chronic disease prediction in women's health☆</t>
  </si>
  <si>
    <t>Multimodal deep learning; Medical image analysis; Clinical text processing; Vision Transformer (ViT); EfficientNetB0; Cross-modal fusion; Multi-task learning</t>
  </si>
  <si>
    <t>Juneja, Sonam/OPN-6641-2025</t>
  </si>
  <si>
    <t>AUG 2026</t>
  </si>
  <si>
    <t>134</t>
  </si>
  <si>
    <t>102795</t>
  </si>
  <si>
    <t>10.1016/j.compmedimag.2026.102795</t>
  </si>
  <si>
    <t>http://dx.doi.org/10.1016/j.compmedimag.2026.102795</t>
  </si>
  <si>
    <t>LD7PL</t>
  </si>
  <si>
    <t>42424829</t>
  </si>
  <si>
    <t>WOS:001822179100001</t>
  </si>
  <si>
    <t>Shurrab, S; Guerra-Manzanares, A; Magid, A; Piechowski-Jozwiak, B; Atashzar, SF; Shamout, FE</t>
  </si>
  <si>
    <t>Stroke is a life-threatening medical condition that could lead to mortality or significant sensorimotor deficits. Various machine learning techniques have been successfully used to detect and predict stroke-related outcomes. Considering the diversity in the type of clinical modalities involved during management of patients with stroke, such as medical images, bio-signals, and clinical data, multimodal machine learning has become increasingly popular. Thus, we conducted a systematic literature review to understand the current status of state-of-the-art multimodal machine learning methods for stroke prognosis and diagnosis. Following the Preferred Reporting Items for Systematic Reviews and Meta-Analyses (PRISMA) guidelines during literature search and selection, our results show that the most dominant techniques are related to the fusion paradigm, specifically early, joint and late fusion. We discuss opportunities to leverage other multimodal learning paradigms, such as multimodal translation and alignment, which are generally less explored. We also discuss the scale of datasets and types of modalities used to develop existing models, highlighting opportunities for the creation of more diverse multimodal datasets. Finally, we present ongoing challenges and provide a set of recommendations to drive the next generation of multimodal learning methods for improved prognosis and diagnosis of patients with stroke.</t>
  </si>
  <si>
    <t>Shurrab, Saeed; Guerra-Manzanares, Alejandro; Magid, Amani; Piechowski-Jozwiak, Bartlomiej; Atashzar, S. Farokh; Shamout, Farah E.</t>
  </si>
  <si>
    <t>Shamout, FE (corresponding author), New York Univ Abu Dhabi, Comp Engn Div, Abu Dhabi 129188, U Arab Emirates.</t>
  </si>
  <si>
    <t>neurobart@gmail.com; farah.shamout@nyu.edu; saeed.shurrab@nyu.edu; am6087@nyu.edu; alejandro.guerra@nyu.edu; f.atashzar@nyu.edu</t>
  </si>
  <si>
    <t>Tamkeen through NYU Abu Dhabi Research Enhancement Fund; NYUAD Center for AI Robotics [CG010]; Center for Interacting Urban Networks [CG001]; Center for Cyber Security [G1104]; ASPIRE; Technology Program Management Pillar of Abu Dhabi's Advanced Technology Research Council (ATRC), through ASPIRE Precision Medicine Research Institute Abu Dhabi (ASPIREPMRIAD) [VRI-20-10]</t>
  </si>
  <si>
    <t>Tamkeen through NYU Abu Dhabi Research Enhancement Fund (New York University); NYUAD Center for AI Robotics (New York University); Center for Interacting Urban Networks; Center for Cyber Security; ASPIRE; Technology Program Management Pillar of Abu Dhabi's Advanced Technology Research Council (ATRC), through ASPIRE Precision Medicine Research Institute Abu Dhabi (ASPIREPMRIAD)</t>
  </si>
  <si>
    <t>This work was supported by Tamkeen through NYU Abu Dhabi Research Enhancement Fund, in part by the NYUAD Center for AI &amp; Robotics under Grant CG010, in part by the Center for Interacting Urban Networks under Grant CG001, in part by the Center for Cyber Security under Grant G1104, in part by ASPIRE, the Technology Program Management Pillar of Abu Dhabi's Advanced Technology Research Council (ATRC), through ASPIRE Precision Medicine Research Institute Abu Dhabi (ASPIREPMRIAD) under Award VRI-20-10.(Saeed Shurrab and Alejandro Guerra-Manzanares contributedequally to this work.)</t>
  </si>
  <si>
    <t>[Shurrab, Saeed; Guerra-Manzanares, Alejandro; Shamout, Farah E.] New York Univ Abu Dhabi, Comp Engn Div, Abu Dhabi 129188, U Arab Emirates; [Magid, Amani] New York Univ Abu Dhabi, Sci &amp; Engn Lib, Abu Dhabi 129188, U Arab Emirates; [Piechowski-Jozwiak, Bartlomiej] Cleveland Clin Abu Dhabi, Neurol Inst, Abu Dhabi 112412, U Arab Emirates; [Atashzar, S. Farokh] NYU, Mech &amp; Aerosp Engn, Elect &amp; Comp Engn, New York, NY 11201 USA</t>
  </si>
  <si>
    <t>New York University; New York University Abu Dhabi; New York University; New York University Abu Dhabi; Cleveland Clinic Foundation; New York University</t>
  </si>
  <si>
    <t>Multimodal Machine Learning for Stroke Prognosis and Diagnosis: A Systematic Review</t>
  </si>
  <si>
    <t>Stroke (medical condition); Prognostics and health management; Imaging; Medical diagnostic imaging; Deep learning; Medical services; Diseases; Stroke; multimodal clinical data; machine learning; deep learning</t>
  </si>
  <si>
    <t>ACUTE ISCHEMIC-STROKE; ARTIFICIAL-INTELLIGENCE; LESION SEGMENTATION; PREDICTION; OCCLUSION; FUSION; CT</t>
  </si>
  <si>
    <t>Piechowski-Jozwiak, Bartlomiej/HCI-4426-2022</t>
  </si>
  <si>
    <t>Shurrab, Saeed A S/0009-0008-7008-9158; Atashzar, Seyed Farokh/0000-0001-8495-8440; Magid, Amani/0000-0001-5664-9982; Guerra-Manzanares, Alejandro/0000-0002-3655-5804</t>
  </si>
  <si>
    <t>91</t>
  </si>
  <si>
    <t>NOV 2024</t>
  </si>
  <si>
    <t>6958</t>
  </si>
  <si>
    <t>6973</t>
  </si>
  <si>
    <t>10.1109/JBHI.2024.3448238</t>
  </si>
  <si>
    <t>http://dx.doi.org/10.1109/JBHI.2024.3448238</t>
  </si>
  <si>
    <t>M7I4Z</t>
  </si>
  <si>
    <t>39172620</t>
  </si>
  <si>
    <t>WOS:001359232100017</t>
  </si>
  <si>
    <t>Aksu, F; Gelardi, F; Chiti, A; Soda, P</t>
  </si>
  <si>
    <t>Accurate classification of histological subtypes of non-small cell lung cancer (NSCLC) is essential in the era of precision medicine, yet current invasive techniques are not always feasible and may lead to clinical complications. This study presents MINT, a Multi-stage INTermediate fusion approach to classify NSCLC subtypes from CT and PET images. Our method integrates the two modalities at different stages of feature extraction, using voxel-wise fusion to exploit complementary information across varying abstraction levels while preserving spatial correlations. We compare our method against unimodal approaches using only CT or PET images to demonstrate the benefits of modality fusion, and further benchmark it against early and late fusion techniques to highlight the advantages of intermediate fusion during feature extraction. Additionally, we compare our model with the only existing intermediate fusion method for histological subtype classification using PET/CT images. Our results demonstrate that the proposed method outperforms all alternatives across key metrics, with an accuracy and AUC equal to 0.724 and 0.681, respectively. This non-invasive approach has the potential to significantly improve diagnostic accuracy, facilitate more informed treatment decisions, and advance personalized care in lung cancer management.</t>
  </si>
  <si>
    <t>Aksu, Fatih; Gelardi, Fabrizia; Chiti, Arturo; Soda, Paolo</t>
  </si>
  <si>
    <t>Soda, P (corresponding author), Umea Univ, Dept Diag &amp; Intervent, Radiat Phys, Umea, Sweden.</t>
  </si>
  <si>
    <t>fatih.aksu@st.hunimed.eu; gelardi.fabrizia@hsr.it; chiti.arturo@hsr.it; paolo.soda@umu.se</t>
  </si>
  <si>
    <t>PNRR MUR project [PE0000013-FAIR]; PRIN 2022 MUR [20228MZFAA-AIDA, CUP C53D23003620008]; PRIN PNRR 2022 MUR [P2022P3CXJ-PICTURE, CUP C53D23009280001]; Swedish Research Council [2022-06725, 2018-05973]</t>
  </si>
  <si>
    <t>PNRR MUR project; PRIN 2022 MUR (Ministry of Education, Universities and Research (MIUR), Research Projects of National Relevance (PRIN)); PRIN PNRR 2022 MUR (Ministry of Education, Universities and Research (MIUR), Research Projects of National Relevance (PRIN)); Swedish Research Council (Swedish Research Council)</t>
  </si>
  <si>
    <t>Fatih Aksu is a Ph.D. student enrolled in the National PhD in Artificial Intelligence, XXXVII cycle, course on Health and life sciences, organized by University Campus Bio-Medico di Roma. This work was partially supported by : (i) PNRR MUR project PE0000013-FAIR, (ii) PRIN 2022 MUR 20228MZFAA-AIDA (CUP C53D23003620008) , (iii) PRIN PNRR 2022 MUR P2022P3CXJ-PICTURE (CUP C53D23009280001) , (iv) PNRR-MCNT2-2023-12377755. Resources are provided by the Swedish National Academic Infrastructure for Supercomputing and by National Infrastructure for Computing (SNIC) at Alvis @ C3SE, funded by the Swedish Research Council through grant agreements no. 2022-06725 and no. 2018-05973.</t>
  </si>
  <si>
    <t>[Aksu, Fatih] Humanitas Univ, Dept Biomed Sci, Milan, Italy; [Gelardi, Fabrizia; Chiti, Arturo] Univ Vita Salute San Raffaele, Milan, Italy; [Gelardi, Fabrizia; Chiti, Arturo] IRCCS Osped San Raffaele, Milan, Italy; [Soda, Paolo] Univ Campus Biomed Roma, Dept Engn, Unit Comp Syst &amp; Bioinformat, Rome, Italy; [Soda, Paolo] Umea Univ, Dept Diag &amp; Intervent, Radiat Phys, Umea, Sweden</t>
  </si>
  <si>
    <t>Humanitas University; Vita-Salute San Raffaele University; Vita-Salute San Raffaele University; IRCCS Ospedale San Raffaele; University Campus Bio-Medico - Rome Italy; Umea University</t>
  </si>
  <si>
    <t>Multi-stage intermediate fusion for multimodal learning to classify non-small cell lung cancer subtypes from CT and PET</t>
  </si>
  <si>
    <t>PATTERN RECOGNITION LETTERS</t>
  </si>
  <si>
    <t>Medical image analysis; Multimodal deep learning; Intermediate fusion; Multi-stage fusion; Histological subtype classification</t>
  </si>
  <si>
    <t>CLASSIFICATION; IMPACT; STAGE</t>
  </si>
  <si>
    <t>gelardi, fabrizia/AAB-7339-2022; Chiti, Arturo/K-6524-2016</t>
  </si>
  <si>
    <t>Aksu, Fatih/0000-0001-5677-2024; gelardi, fabrizia/0000-0001-7120-333X; Chiti, Arturo/0000-0002-5806-1856</t>
  </si>
  <si>
    <t>0167-8655</t>
  </si>
  <si>
    <t>1872-7344</t>
  </si>
  <si>
    <t>PATTERN RECOGN LETT</t>
  </si>
  <si>
    <t>Pattern Recognit. Lett.</t>
  </si>
  <si>
    <t>193</t>
  </si>
  <si>
    <t>86</t>
  </si>
  <si>
    <t>93</t>
  </si>
  <si>
    <t>10.1016/j.patrec.2025.04.001</t>
  </si>
  <si>
    <t>http://dx.doi.org/10.1016/j.patrec.2025.04.001</t>
  </si>
  <si>
    <t>2HA8G</t>
  </si>
  <si>
    <t>WOS:001482467000001</t>
  </si>
  <si>
    <t>Xu, Y; Zhang, Y; Weng, FT; Ma, YT; Li, HY; Wang, JZ</t>
  </si>
  <si>
    <t>This study explores the application of multimodal data (online review text, search engine data, holiday calendars, weather, and historical arrivals) to forecast tourism demand across five destinations (Jiuzhaigou, Macau, and Mount Siguniang in China; Hawaii in the United States; and Singapore) during stable and turbulent periods. We develop three multimodal fusion strategies (early, intermediate, and late fusion) and compare their forecasting performance. Early fusion yields the best performance with higher accuracy, and it also achieves better performance compared with traditional unimodal feature extraction methods. Additionally, we extend the Mean Impact Value method to improve the interpretability of multimodal models. This interpretability allows us to understand how different types of information impact prediction results. Beyond providing model transparency, it also offers valuable references for tourism management regarding which types of information are more significant when the environment is uncertain.</t>
  </si>
  <si>
    <t>Xu, Yan; Zhang, Yan; Weng, Futian; Ma, Yuanting; Li, Hengyun; Wang, Jianzhou</t>
  </si>
  <si>
    <t>Li, HY (corresponding author), Hong Kong Polytech Univ, Sch Hotel &amp; Tourism Management, Hong Kong, Peoples R China.</t>
  </si>
  <si>
    <t>zhangyan3817@stu.ouc.edu.cn; xy8633@ouc.edu.cn; wjz@lzu.edu.cn; mayuanting@stu.ouc.edu.cn; wengfutian@stu.xmu.edu.cn; neilhengyun.li@polyu.edu.hk</t>
  </si>
  <si>
    <t>Humanities and Social Sciences of Ministry of Education Planning Fund [22YJA910004]</t>
  </si>
  <si>
    <t>Humanities and Social Sciences of Ministry of Education Planning Fund</t>
  </si>
  <si>
    <t>This study is supported by the Humanities and Social Sciences of Ministry of Education Planning Fund (NO: 22YJA910004) .</t>
  </si>
  <si>
    <t>[Xu, Yan] Ocean Univ China, Coll Marine Life Sci, MOE Key Lab Marine Genet &amp; Breeding, Qingdao 266003, Peoples R China; [Zhang, Yan] Ocean Univ China, Sch Math Sci, Qingdao 266100, Peoples R China; [Weng, Futian] Fuzhou Univ, Sch Econ &amp; Management, Fuzhou 350108, Peoples R China; [Ma, Yuanting] Ocean Univ China, Coll Marine Life Sci, Fang Zongxi Ctr, MOE Key Lab Marine Genet &amp; Breeding, Qingdao 266003, Peoples R China; [Li, Hengyun] Hong Kong Polytech Univ, Sch Hotel &amp; Tourism Management, Hong Kong, Peoples R China; [Wang, Jianzhou] Macau Univ Sci &amp; Technol, Inst Syst Engn, Macau 999078, Peoples R China</t>
  </si>
  <si>
    <t>Ocean University of China; Ocean University of China; Fuzhou University; Ocean University of China; Hong Kong Polytechnic University; Macau University of Science and Technology</t>
  </si>
  <si>
    <t>Multimodal deep learning for tourism demand forecasting</t>
  </si>
  <si>
    <t>TOURISM MANAGEMENT</t>
  </si>
  <si>
    <t>Multimodal deep learning; Tourism demand forecasting; Model interpretation</t>
  </si>
  <si>
    <t>Li, Hengyun/ABE-6467-2020</t>
  </si>
  <si>
    <t>89</t>
  </si>
  <si>
    <t>0261-5177</t>
  </si>
  <si>
    <t>1879-3193</t>
  </si>
  <si>
    <t>TOURISM MANAGE</t>
  </si>
  <si>
    <t>Tourism Manage.</t>
  </si>
  <si>
    <t>105450</t>
  </si>
  <si>
    <t>10.1016/j.tourman.2026.105450</t>
  </si>
  <si>
    <t>http://dx.doi.org/10.1016/j.tourman.2026.105450</t>
  </si>
  <si>
    <t>Environmental Studies; Hospitality, Leisure, Sport &amp; Tourism; Management</t>
  </si>
  <si>
    <t>Environmental Sciences &amp; Ecology; Social Sciences - Other Topics; Business &amp; Economics</t>
  </si>
  <si>
    <t>HU7DG</t>
  </si>
  <si>
    <t>WOS:001763135000001</t>
  </si>
  <si>
    <t>Faria, FTJ; Baniata, LH; Baniata, MH; Khair, MA; Ata, AIB; Bunterngchit, C; Kang, SW</t>
  </si>
  <si>
    <t>Social media has increasingly relied on memes as a tool for expressing opinions, making meme sentiment analysis an emerging area of interest for researchers. While much of the research has focused on English-language memes, under-resourced languages, such as Bengali, have received limited attention. Given the surge in social media use, the need for sentiment analysis of memes in these languages has become critical. One of the primary challenges in this field is the lack of benchmark datasets, particularly in languages with fewer resources. To address this, we used the MemoSen dataset, designed for Bengali, which consists of 4368 memes annotated with three sentiment labels: positive, negative, and neutral. MemoSen is divided into training (70%), test (20%), and validation (10%) sets, with an imbalanced class distribution: 1349 memes in the positive class, 2728 in the negative class, and 291 in the neutral class. Our approach leverages advanced deep learning techniques for multimodal sentiment analysis in Bengali, introducing three hybrid approaches. SentimentTextFormer is a text-based, fine-tuned model that utilizes state-of-the-art transformer architectures to accurately extract sentiment-related insights from Bengali text, capturing nuanced linguistic features. SentimentImageFormer is an image-based model that employs cutting-edge transformer-based techniques for precise sentiment classification through visual data. Lastly, SentimentFormer is a hybrid model that seamlessly integrates both text and image modalities using fusion strategies. Early fusion combines textual and visual features at the input level, enabling the model to jointly learn from both modalities. Late fusion merges the outputs of separate text and image models, preserving their individual strengths for the final prediction. Intermediate fusion integrates textual and visual features at intermediate layers, refining their interactions during processing. These fusion strategies combine the strengths of both textual and visual data, enhancing sentiment analysis by exploiting complementary information from multiple sources. The performance of our models was evaluated using various accuracy metrics, with SentimentTextFormer achieving 73.31% accuracy and SentimentImageFormer attaining 64.72%. The hybrid model, SentimentFormer (SwiftFormer with mBERT), employing intermediate fusion, shows a notable improvement in accuracy, achieving 79.04%, outperforming SentimentTextFormer by 5.73% and SentimentImageFormer by 14.32%. Among the fusion strategies, SentimentFormer (SwiftFormer with mBERT) achieved the highest accuracy of 79.04%, highlighting the effectiveness of our fusion technique and the reliability of our multimodal framework in improving sentiment analysis accuracy across diverse modalities.</t>
  </si>
  <si>
    <t>Faria, Fatema Tuj Johora; Baniata, Laith H.; Baniata, Mohammad H.; Khair, Mohannad A.; Bani Ata, Ahmed Ibrahim; Bunterngchit, Chayut; Kang, Sangwoo</t>
  </si>
  <si>
    <t>Baniata, LH; Kang, SW (corresponding author), Gachon Univ, Sch Comp, Seongnam 13120, South Korea.</t>
  </si>
  <si>
    <t>mohammad.baniata@wise.edu.jo; chayutb@ia.ac.cn; a.baniata@meu.edu.jo; laith@gachon.ac.kr; fatema.faria142@gmail.com; mkhair@qatranacement.com; swkang@gachon.ac.kr</t>
  </si>
  <si>
    <t>Ministry of Science [NRF-2022R1A2C1005316]; Basic Science Research Program through the National Research Foundation of Korea (NRF) - Ministry of Science and ICT</t>
  </si>
  <si>
    <t>Ministry of Science (Ministry of Science, Industry &amp; Technology - Turkey); Basic Science Research Program through the National Research Foundation of Korea (NRF) - Ministry of Science and ICT (National Research Foundation of Korea, Ministry of Science &amp; ICT (MMSTI))</t>
  </si>
  <si>
    <t>This work was supported by the Basic Science Research Program through the National Research Foundation of Korea (NRF), funded by the Ministry of Science and ICT under Grant NRF-2022R1A2C1005316.</t>
  </si>
  <si>
    <t>[Faria, Fatema Tuj Johora] Ahsanullah Univ Sci &amp; Technol, Dept Comp Sci &amp; Engn, Dhaka 1208, Bangladesh; [Baniata, Laith H.; Kang, Sangwoo] Gachon Univ, Sch Comp, Seongnam 13120, South Korea; [Baniata, Mohammad H.] World Islamic Sci &amp; Educ Univ WISE, Fac Informat Technol, Dept Comp Sci, Amman 11947, Jordan; [Khair, Mohannad A.] Qatrana Cement Co, Amman 11831, Jordan; [Bani Ata, Ahmed Ibrahim] Middle East Univ, Fac Arts &amp; Educ Sci, Dept Arab Language, Amman 11831, Jordan; [Bunterngchit, Chayut] Chinese Acad Sci, Inst Automat, State Key Lab Multimodal Artificial Intelligence S, Beijing 100190, Peoples R China</t>
  </si>
  <si>
    <t>Ahsanullah University of Science &amp; Technology (AUST); Gachon University; Middle East University; Chinese Academy of Sciences; Institute of Automation, CAS</t>
  </si>
  <si>
    <t>SentimentFormer: A Transformer-Based Multimodal Fusion Framework for Enhanced Sentiment Analysis of Memes in Under-Resourced Bangla Language</t>
  </si>
  <si>
    <t>early fusion; late fusion; intermediate fusion; Bengali language; multimodal sentiment analysis; under-resourced languages; social media; sentiment classification; machine learning</t>
  </si>
  <si>
    <t>Bani Ata, Ahmed Ibrahim/KCY-7806-2024; Baniata, Laith/S-3656-2018; /AAX-9934-2020; Faria, Fatema Tuj Johora/MDT-7501-2025; Bunterngchit, Chayut/MIK-3611-2025</t>
  </si>
  <si>
    <t>Bani Ata, Ahmed Ibrahim/0009-0001-4796-3432; Kang, Sangwoo/0000-0002-0281-1726; Faria, Fatema Tuj Johora/0009-0005-1684-8211; Bunterngchit, Chayut/0000-0001-5104-1177</t>
  </si>
  <si>
    <t>799</t>
  </si>
  <si>
    <t>10.3390/electronics14040799</t>
  </si>
  <si>
    <t>http://dx.doi.org/10.3390/electronics14040799</t>
  </si>
  <si>
    <t>Y4L5S</t>
  </si>
  <si>
    <t>WOS:001431860200001</t>
  </si>
  <si>
    <t>Tortora, M; Cordelli, E; Sicilia, R; Nibid, L; Ippolito, E; Perrone, G; Ramella, S; Soda, P</t>
  </si>
  <si>
    <t>Current practice in cancer treatment collects multimodal data, such as radiology images, histopathology slides, genomics and clinical data. The importance of these data sources taken individually has fostered the recent rise of radiomics and pathomics, i.e., the extraction of quantitative features from radiology and histopathology images collected to predict clinical outcomes or guide clinical decisions using artificial intelligence algorithms. Nevertheless, how to combine them into a single multimodal framework is still an open issue. In this work, we develop a multimodal late fusion approach that combines hand-crafted features computed from radiomics, pathomics and clinical data to predict radiotherapy treatment outcomes for non-small-cell lung cancer patients. Within this context, we investigate eight different late fusion rules and two patient-wise aggregation rules leveraging the richness of information given by CT images, whole-slide scans and clinical data. The experiments in leave-one-patient-out cross-validation on an in-house cohort of 33 patients show that the proposed fusion-based multimodal paradigm, with an AUC equal to 90.9%, outperforms each unimodal approach, suggesting that data integration can advance precision medicine. The results also show that late fusion favourably compares against early fusion, another commonly used multimodal approach. As a further contribution, we explore the chance to use a deep learning framework against hand-crafted features. In our scenario characterised by different modalities and a limited amount of data, as it may happen in different areas of cancer research, the results show that the latter is still a viable and effective option for extracting relevant information with respect to the former.</t>
  </si>
  <si>
    <t>Tortora, Matteo; Cordelli, Ermanno; Sicilia, Rosa; Nibid, Lorenzo; Ippolito, Edy; Perrone, Giuseppe; Ramella, Sara; Soda, Paolo</t>
  </si>
  <si>
    <t>Tortora, M (corresponding author), Univ Rome, Dept Engn, Unit Comp Syst &amp; Bioinformat, Campus Biomed, I-00128 Rome, Italy.</t>
  </si>
  <si>
    <t>m.tortora@unicampus.it</t>
  </si>
  <si>
    <t>University Campus Bio-Medico di Roma; Programma Operativo Nazionale (PON); Regione Lazio; Piano Nazionale di Ripresa e Resilienza (Recovery and Resilience Plan) of the Ministry of University and Research [PE0000013-FAIR]; Fondo per la Crescita Sostenibile (FCS) Bando Accordo Innovazione [CUP B89J23000580005]</t>
  </si>
  <si>
    <t>University Campus Bio-Medico di Roma; Programma Operativo Nazionale (PON) (Ministry of Education, Universities and Research (MIUR)); Regione Lazio (Regione Lazio); Piano Nazionale di Ripresa e Resilienza (Recovery and Resilience Plan) of the Ministry of University and Research; Fondo per la Crescita Sostenibile (FCS) Bando Accordo Innovazione</t>
  </si>
  <si>
    <t>This work was supported in part by University Campus Bio-Medico di Roma under the program University Strategic Projects,'' within theproject A CoLlAborative multi-sources Radiopathomics approach for personalized Oncology in non-small cell lung cancer (CLARO)''; in part by Programma Operativo Nazionale (PON) Ricerca e Innovazione 2014-2020, Azioni IV.4-Dottorati e Contratti di Ricerca suTematiche dell'Innovazione''; in part by Regione Lazio under the program PO FSE 2014-2020 Azione Cardine 21''; in part by the project PE0000013-FAIR supported by Piano Nazionale di Ripresa e Resilienza (Recovery and Resilience Plan) of the Ministry of University and Research; and in part by Fondo per la Crescita Sostenibile (FCS) Bando Accordo Innovazione DM 24/5/2017 (Ministerodelle Imprese e del Made in Italy), under the project Piattaforma per la Medicina di Precisione, Intelligenza Artificiale e DiagnosticaClinica Integrata'' (CUP B89J23000580005).</t>
  </si>
  <si>
    <t>[Tortora, Matteo; Cordelli, Ermanno; Sicilia, Rosa; Soda, Paolo] Univ Rome, Dept Engn, Unit Comp Syst &amp; Bioinformat, Campus Biomed, I-00128 Rome, Italy; [Nibid, Lorenzo; Perrone, Giuseppe] Univ Rome, Dept Med, Unit Anat Pathol, Campus Biomed, I-00128 Rome, Italy; [Ippolito, Edy; Ramella, Sara] Univ Rome, Dept Med, Unit Radiat Oncol, Campus Biomed, I-00128 Rome, Italy; [Soda, Paolo] Umea Univ, Dept Radiat Sci Radiat Phys Biomed Engn, S-90187 Umea, Sweden</t>
  </si>
  <si>
    <t>Sapienza University Rome; University Campus Bio-Medico - Rome Italy; University Campus Bio-Medico - Rome Italy; Sapienza University Rome; University Campus Bio-Medico - Rome Italy; Sapienza University Rome; Umea University</t>
  </si>
  <si>
    <t>RadioPathomics: Multimodal Learning in Non-Small Cell Lung Cancer for Adaptive Radiotherapy</t>
  </si>
  <si>
    <t>IEEE ACCESS</t>
  </si>
  <si>
    <t>Feature extraction; Radiomics; Lung cancer; Bioinformatics; Genomics; Data mining; Radiation therapy; Late fusion; machine learning; multimodal learning; non-small-cell lung cancer; radiomics; pathomics</t>
  </si>
  <si>
    <t>CLASSIFICATION; RADIOMICS; INFORMATION</t>
  </si>
  <si>
    <t>RAMELLA, SARA/AAC-6523-2022; Nibid, Lorenzo/JQI-0890-2023; Sicilia, Rosa/AAC-6012-2022</t>
  </si>
  <si>
    <t>Nibid, Lorenzo/0000-0001-8583-0596; Sicilia, Rosa/0000-0002-2513-0827; Tortora, Matteo/0000-0002-3932-7380</t>
  </si>
  <si>
    <t>2169-3536</t>
  </si>
  <si>
    <t>IEEE Access</t>
  </si>
  <si>
    <t>47563</t>
  </si>
  <si>
    <t>47578</t>
  </si>
  <si>
    <t>10.1109/ACCESS.2023.3275126</t>
  </si>
  <si>
    <t>http://dx.doi.org/10.1109/ACCESS.2023.3275126</t>
  </si>
  <si>
    <t>J5PF0</t>
  </si>
  <si>
    <t>WOS:001010128600001</t>
  </si>
  <si>
    <t>Sucre, A; Sánchez, XC; Perez-Herrera, LV; Vivanco, MD; Garcia-González, MJ; López-Linares, K; Calvo, B; Garin-Muga, A</t>
  </si>
  <si>
    <t>Accurate survival prediction in breast cancer remains a key challenge in oncology, requiring models that can integrate diverse clinical, molecular, and imaging data sources to guide breast cancer management. While recent deep learning models have explored multimodal integration for cancer survival prediction, their generalizability to unseen data remains limited. In this study, we developed and optimized unimodal and multimodal models for breast cancer survival prediction, systematically assessing our optimized early and late integration strategies and their impact on out-of-sample generalization performance. We integrated clinical variables, somatic mutations, RNA expression, copy number variation, miRNA expression, and histopathology images from The Cancer Genome Atlas breast cancer dataset. Across all modality combinations, late fusion models consistently outperformed early fusion approaches and late and intermediate benchmark methods, with the combination of omics and clinical data yielding the highest test-set concordance indices. Explainability analyses showed that our models captured biologically relevant features associated with patient survival. These findings highlight the value of late-fusion multimodal deep learning frameworks for robust and explainable survival prediction in breast cancer.</t>
  </si>
  <si>
    <t>Sucre, Aurora; Sanchez, Xabier Calle; Perez-Herrera, Laura Valeria; Vivanco, Maria Dm; Garcia-Gonzalez, Maria Jesus; Lopez-Linares, Karen; Calvo, Borja; Garin-Muga, Alba</t>
  </si>
  <si>
    <t>Sucre, A (corresponding author), Fdn Vicomtech, Basque Res &amp; Technol Alliance BRTA, Mikeletegi 57, Donostia San Sebastian 20009, Spain.</t>
  </si>
  <si>
    <t>amsucre@vicomtech.org</t>
  </si>
  <si>
    <t>Basque Government ELKARTEK Program [KK-2024/00019]; Basque Government [IT1504-22]; Spanish Ministry of Science [PID2022-137442NB-I00]</t>
  </si>
  <si>
    <t>Basque Government ELKARTEK Program (Basque Government); Basque Government (Basque Government); Spanish Ministry of Science (Spanish Government)</t>
  </si>
  <si>
    <t>This work has been partially funded by the Basque Government ELKARTEK Program, within the BG24 Project (KK-2024/00019) , granted to AS, XCS, LVP, MdMV, MJG, KL and AG. This project focuses on the exploration and characterization of molecular factors in breast cancer and its innovative applications in precision oncology. B. Calvo acknowledges partial support by the Research Groups 2022-2025 (IT1504-22) from the Basque Government, and the PID2022-137442NB-I00 research project from the Spanish Ministry of Science. The Funding sources were not involved in the design of this study.</t>
  </si>
  <si>
    <t>[Sucre, Aurora; Sanchez, Xabier Calle; Perez-Herrera, Laura Valeria; Garcia-Gonzalez, Maria Jesus; Lopez-Linares, Karen; Garin-Muga, Alba] Fdn Vicomtech, Basque Res &amp; Technol Alliance BRTA, Mikeletegi 57, Donostia San Sebastian 20009, Spain; [Sucre, Aurora; Sanchez, Xabier Calle; Perez-Herrera, Laura Valeria; Garcia-Gonzalez, Maria Jesus; Lopez-Linares, Karen; Garin-Muga, Alba] E Hlth Grp, Biogipuzkoa Hlth Res Inst, Donostia San Sebastian 20014, Spain; [Sucre, Aurora; Calvo, Borja] Univ Basque Country EHU, Dept Comp Sci &amp; Artificial Intelligence, Donostia San Sebastian 20018, Spain; [Vivanco, Maria Dm] Basque Res &amp; Technol Alliance BRTA, Canc Heterogene Lab, CIC Bio GUNE, Derio 48160, Spain; [Garcia-Gonzalez, Maria Jesus] Univ Politecn Valencia, Valencia 46022, Spain</t>
  </si>
  <si>
    <t>Instituto de Investigacion Sanitaria Biogipuzkoa; University of Basque Country; Universitat Politecnica de Valencia</t>
  </si>
  <si>
    <t>Multimodal fusion strategies for survival prediction in breast cancer: A comparative deep learning study</t>
  </si>
  <si>
    <t>COMPUTATIONAL AND STRUCTURAL BIOTECHNOLOGY JOURNAL</t>
  </si>
  <si>
    <t>Multiomics; Deep learning; Neural networks; Multimodal fusion; Breast cancer; Survival prediction</t>
  </si>
  <si>
    <t>López-Linares, Karen/AAR-6353-2020; Vivanco, Maria/G-2393-2011; /H-2667-2015; /AAB-2278-2019</t>
  </si>
  <si>
    <t>Sucre, Aurora/0000-0002-4078-9275; García González, María Jesús/0000-0001-6357-1327; Calvo, Borja/0000-0001-9969-9664</t>
  </si>
  <si>
    <t>2001-0370</t>
  </si>
  <si>
    <t>COMPUT STRUCT BIOTEC</t>
  </si>
  <si>
    <t>Comp. Struct. Biotechnol. J..</t>
  </si>
  <si>
    <t>4505</t>
  </si>
  <si>
    <t>4516</t>
  </si>
  <si>
    <t>10.1016/j.csbj.2025.10.038</t>
  </si>
  <si>
    <t>http://dx.doi.org/10.1016/j.csbj.2025.10.038</t>
  </si>
  <si>
    <t>Biochemistry &amp; Molecular Biology; Biotechnology &amp; Applied Microbiology</t>
  </si>
  <si>
    <t>9HD3X</t>
  </si>
  <si>
    <t>41209345</t>
  </si>
  <si>
    <t>WOS:001606234600001</t>
  </si>
  <si>
    <t>Ma, B; Dong, SM</t>
  </si>
  <si>
    <t>Rod pump systems are complex nonlinear processes, and conventional efficiency prediction methods for such systems typically rely on high-order fractional partial differential equations, which severely constrain real-time inference. Motivated by the increasing availability of measured electrical power data, this paper introduces a series of prediction models for nonlinear fractional-order PDE systems efficiency based on multimodal feature fusion. First, three single-model predictions-Asymptotic Cross-Fusion, Adaptive-Weight Late-Fusion, and Two-Stage Progressive Feature Fusion-are presented; next, two ensemble approaches-one based on a Parallel-Cascaded Ensemble strategy and the other on Data Envelopment Analysis-are developed; finally, by balancing base-learner diversity with predictive accuracy, a multi-strategy ensemble prediction model is devised for online rod pump system efficiency estimation. Comprehensive experiments and ablation studies on data from 3938 oil wells demonstrate that the proposed methods deliver high predictive accuracy while meeting real-time performance requirements.</t>
  </si>
  <si>
    <t>Ma, Biao; Dong, Shimin</t>
  </si>
  <si>
    <t>Dong, SM (corresponding author), Yanshan Univ, Sch Mech Engn, Qinhuangdao 066004, Peoples R China.</t>
  </si>
  <si>
    <t>mb6688@stumail.ysu.edu.cn; ysudshm@ysu.edu.cn</t>
  </si>
  <si>
    <t>This work was supported by the National Natural Science Foundation of China under Grant 51974276.</t>
  </si>
  <si>
    <t>[Ma, Biao; Dong, Shimin] Yanshan Univ, Sch Mech Engn, Qinhuangdao 066004, Peoples R China</t>
  </si>
  <si>
    <t>Yanshan University</t>
  </si>
  <si>
    <t>Real-Time Efficiency Prediction in Nonlinear Fractional-Order Systems via Multimodal Fusion</t>
  </si>
  <si>
    <t>FRACTAL AND FRACTIONAL</t>
  </si>
  <si>
    <t>rod pump system; high-order fractional partial differential; prediction models; feature-fusion method</t>
  </si>
  <si>
    <t>Dong, Shimin/0000-0002-9306-9677</t>
  </si>
  <si>
    <t>2504-3110</t>
  </si>
  <si>
    <t>FRACTAL FRACT</t>
  </si>
  <si>
    <t>Fractal Fract.</t>
  </si>
  <si>
    <t>AUG 19 2025</t>
  </si>
  <si>
    <t>545</t>
  </si>
  <si>
    <t>10.3390/fractalfract9080545</t>
  </si>
  <si>
    <t>http://dx.doi.org/10.3390/fractalfract9080545</t>
  </si>
  <si>
    <t>Mathematics, Interdisciplinary Applications</t>
  </si>
  <si>
    <t>6OO2E</t>
  </si>
  <si>
    <t>WOS:001558281700001</t>
  </si>
  <si>
    <t>Wang, Y</t>
  </si>
  <si>
    <t>With the spread of COVID-19, online healthcare is rapidly evolving to assist the public with health, reduce exposure and avoid the risk of cross-infection. Online healthcare platform requires more information from patients than offline, and insufficient or incorrect information may delay or even mislead treatment. Therefore, it is valuable to predict users' privacy disclosure behaviors while fully protecting their information, which can provide healthcare services for users accurately and realize a personalized online healthcare environment. Compared with the traditional static online healthcare platform user privacy disclosure behavior influence factor analysis, this paper uses multimodal fusion and group profile technology to build a user privacy disclosure model and lay the foundation for personalized online healthcare services. This paper proposes a cross-modal fusion modeling approach to address the problem that the information of each modality cannot be fully utilized in the current online healthcare privacy disclosure modeling. A multimodal user profile approach is used to construct personal and group profiles, and the privacy disclosure behavioral characteristics reflected by both are integrated to realize accurate personalized services for online healthcare. The case study shows that compared with the static unimodal privacy disclosure model, the accuracy of our method gains significant improvement, which is helpful for precision healthcare services and online healthcare platform development.</t>
  </si>
  <si>
    <t>Wang, Yong</t>
  </si>
  <si>
    <t>Wang, Y (corresponding author), Beijing Jiaotong Univ, Sch Econ &amp; Management, Beijing 100044, Peoples R China.</t>
  </si>
  <si>
    <t>17113137@bjtu.edu.cn</t>
  </si>
  <si>
    <t>[Wang, Yong] Beijing Jiaotong Univ, Sch Econ &amp; Management, Beijing 100044, Peoples R China</t>
  </si>
  <si>
    <t>Beijing Jiaotong University</t>
  </si>
  <si>
    <t>Online Healthcare Privacy Disclosure User Group Profile Modeling Based on Multimodal Fusion</t>
  </si>
  <si>
    <t>INTERNATIONAL JOURNAL OF COMPUTERS COMMUNICATIONS &amp; CONTROL</t>
  </si>
  <si>
    <t>multimodal fusion technology; group profiling; privacy disclosure; online healthcare platform; personalized healthcare services</t>
  </si>
  <si>
    <t>INTENTION; INFORMATION</t>
  </si>
  <si>
    <t>CCC PUBL-AGORA UNIV</t>
  </si>
  <si>
    <t>BIHOR</t>
  </si>
  <si>
    <t>PIATA TINERETULUI 8, ORADEA, JUD, BIHOR, 410526, ROMANIA</t>
  </si>
  <si>
    <t>1841-9836</t>
  </si>
  <si>
    <t>1841-9844</t>
  </si>
  <si>
    <t>INT J COMPUT COMMUN</t>
  </si>
  <si>
    <t>Int. J. Comput. Commun. Control</t>
  </si>
  <si>
    <t>4696</t>
  </si>
  <si>
    <t>10.15837/ijccc.2022.5.4696</t>
  </si>
  <si>
    <t>http://dx.doi.org/10.15837/ijccc.2022.5.4696</t>
  </si>
  <si>
    <t>Automation &amp; Control Systems; Computer Science, Information Systems</t>
  </si>
  <si>
    <t>Automation &amp; Control Systems; Computer Science</t>
  </si>
  <si>
    <t>5K1HD</t>
  </si>
  <si>
    <t>WOS:000869482700006</t>
  </si>
  <si>
    <t>Rugolon, F; Randl, K; Jovanovic, B; Miliou, I; Papapetrou, P</t>
  </si>
  <si>
    <t>PURPOSE Multimodal machine learning offers a holistic view of a patient's status, integrating structured and unstructured data from electronic health records (EHR). We propose a framework to predict metastasis risk 1 month before diagnosis, using 6 months of clinical history from EHR data.METHODS Data from four cancer cohorts collected at Karolinska University Hospital (Stockholm, Sweden) were analyzed: breast (n = 743), colon (n = 387), lung (n = 870), and prostate (n = 1,890). The data set included demographics, comorbidities, laboratory results, medications, and clinical text. We compared traditional and deep learning (DL) classifiers across single modalities and multimodal combinations, using various fusion strategies and a transparent reporting of a multivariable prediction model for individual prognosis or diagnosis (TRIPOD) 2a design, with an 80-20 development-validation split to ensure a rigorous, repeatable evaluation. Performance was evaluated using AUROC, area under the precision-recall curve, F1 score, sensitivity, and specificity. We then employed a multimodal adaptation of Shapley additive explanations (SHAP) to analyze the classifiers' reasoning.RESULTS Intermediate fusion achieved the highest F1 scores on breast (0.845), colon (0.786), and prostate cancer (0.845), demonstrating strong predictive performance. For lung cancer, the intermediate fusion achieved an F1 score of 0.819, while the text-only model achieved the highest, with an F1 score of 0.829. DL classifiers consistently outperformed traditional models. Colon cancer, the smallest cohort, had the lowest performance, highlighting the importance of sufficient training data. SHAP analysis showed that the relative importance of modalities varied across cancer types.CONCLUSION Fusion strategies offer distinct strengths and weaknesses. Intermediate fusion consistently delivered the best results, but strategy choices should align with data characteristics and organizational needs.</t>
  </si>
  <si>
    <t>Rugolon, Franco; Randl, Korbinian; Jovanovic, Braslav; Miliou, Ioanna; Papapetrou, Panagiotis</t>
  </si>
  <si>
    <t>Rugolon, F (corresponding author), Stockholm Univ, Dept Comp &amp; Syst Sci, Stockholm, Sweden.</t>
  </si>
  <si>
    <t>franco.rugolon@dsv.su.se</t>
  </si>
  <si>
    <t>Stiftelsen Marcus och Amalia Wallembergs Minnesfond (The Marcus and Amalia Wallemberg Memorial Fund); Horizon Europe Research and Innovation program [875351, 101093026]; Horizon Europe - Pillar II [101093026] Funding Source: Horizon Europe - Pillar II</t>
  </si>
  <si>
    <t>Stiftelsen Marcus och Amalia Wallembergs Minnesfond (The Marcus and Amalia Wallemberg Memorial Fund); Horizon Europe Research and Innovation program; Horizon Europe - Pillar II (European Union (EU), Horizon Europe - Pillar II)</t>
  </si>
  <si>
    <t>Supported in part by the Stiftelsen Marcus och Amalia Wallembergs Minnesfond (The Marcus and Amalia Wallemberg Memorial Fund). Supported in part by the Horizon Europe Research and Innovation program under Grant Agreements No 875351 and 101093026.</t>
  </si>
  <si>
    <t>[Rugolon, Franco; Randl, Korbinian; Miliou, Ioanna; Papapetrou, Panagiotis] Stockholm Univ, Dept Comp &amp; Syst Sci, Stockholm, Sweden; [Jovanovic, Braslav] Karolinska Univ Hosp, Tema Canc, Stockholm, Sweden</t>
  </si>
  <si>
    <t>Stockholm University; Karolinska Institutet; Karolinska University Hospital</t>
  </si>
  <si>
    <t>Multimodal Machine Learning for Early Prediction of Metastasis in a Swedish Multicancer Cohort</t>
  </si>
  <si>
    <t>JCO CLINICAL CANCER INFORMATICS</t>
  </si>
  <si>
    <t>SURVIVAL; IMPROVEMENT; PROGNOSIS; RECORDS</t>
  </si>
  <si>
    <t>LIPPINCOTT WILLIAMS &amp; WILKINS</t>
  </si>
  <si>
    <t>PHILADELPHIA</t>
  </si>
  <si>
    <t>TWO COMMERCE SQ, 2001 MARKET ST, PHILADELPHIA, PA 19103 USA</t>
  </si>
  <si>
    <t>2473-4276</t>
  </si>
  <si>
    <t>JCO CLIN CANCER INFO</t>
  </si>
  <si>
    <t>JCO Clin. Cancer Info.</t>
  </si>
  <si>
    <t>JUN 2026</t>
  </si>
  <si>
    <t>e2500141</t>
  </si>
  <si>
    <t>10.1200/CCI-25-00141</t>
  </si>
  <si>
    <t>http://dx.doi.org/10.1200/CCI-25-00141</t>
  </si>
  <si>
    <t>JX5UC</t>
  </si>
  <si>
    <t>42269139</t>
  </si>
  <si>
    <t>WOS:001800356100001</t>
  </si>
  <si>
    <t>Lau, S; Flores, A; Ledbetter, E; Nitturi, V; Hamre, T; Morgan, T; O'Donnell, T; Balaji, S; Ozden, N; Gopinath, S</t>
  </si>
  <si>
    <t>Objective: With the need for efficient triaging methods in spine clinic increasing, machine learning and natural language processing (NLP) transformer models have demonstrated effectiveness in predicting surgical recommendations, offering a potential approach for patient stratification. We evaluated an integrated fusion model, trained on radiology reports, clinical notes, and clinical variables, to predict spine surgery recommendations in an all-comer population. Methods: A single-institution cohort of spine clinic patients with over 50 ICD-coded spine pathologies was analyzed. From initial clinic visits, we collected radiology reports, clinic notes, structured clinical variables, and surgery recommendation status within one year. Separate unimodal models were developed for each data modality: radiology impressions, clinic notes, and structured clinical variables. Outputs from component models were subsequently integrated using logistic regression to create late-fusion models. We developed seven late-fusion models incorporating different NLP transformer backbones (e.g., BERT and GatorTRON). Performance was assessed using 5-fold cross-validation with area under the receiver operating characteristic curve (AUROC), sensitivity, and specificity with 95% confidence intervals. Results: Within one year of initial clinic visit, 35% of 972 patients were offered spine surgery. Late-fusion models exhibited varying performances in predicting spine surgical recommendation (AUROC range: 0.69-0.81). The GatorTRON late-fusion model was the best performer (AUROC 0.81; 95% CI 0.78-0.83). Furthermore, among the three component modalities, the radiology-only model provided the largest contribution to late-fusion model performance. Conclusions: Our investigation revealed that an integrated machine learning model can robustly predict spine surgical recommendation from multimodal data available at initial spine clinic visits.</t>
  </si>
  <si>
    <t>Lau, Sean; Flores, Alex; Ledbetter, Elizabeth; Nitturi, Vijay; Hamre, Thomas; Morgan, Tristan; O'Donnell, Thomas; Balaji, Shragvi; Ozden, Nedim; Gopinath, Shankar</t>
  </si>
  <si>
    <t>Lau, S (corresponding author), Baylor Coll Med, 1 Baylor Plz, Houston, TX 77030 USA.</t>
  </si>
  <si>
    <t>sean.lau@bcm.edu</t>
  </si>
  <si>
    <t>[Lau, Sean; Ledbetter, Elizabeth; Nitturi, Vijay; Hamre, Thomas; Morgan, Tristan; O'Donnell, Thomas; Balaji, Shragvi; Ozden, Nedim] Baylor Coll Med, 1 Baylor Plz, Houston, TX 77030 USA; [Flores, Alex; Gopinath, Shankar] Baylor Coll Med, Dept Neurosurg, Houston, TX USA</t>
  </si>
  <si>
    <t>Baylor College of Medicine</t>
  </si>
  <si>
    <t>Multimodal machine learning for predicting spine surgery recommendation using radiology reports, clinical notes, and structured clinical data</t>
  </si>
  <si>
    <t>WORLD NEUROSURGERY-X</t>
  </si>
  <si>
    <t>Spine surgery; Machine learning; Natural language processing; Surgical candidacy; Radiology reports; Clinic triage</t>
  </si>
  <si>
    <t>CANDIDACY; TRENDS</t>
  </si>
  <si>
    <t>2590-1397</t>
  </si>
  <si>
    <t>WORLD NEUROSURG-X</t>
  </si>
  <si>
    <t>World Neurosurg.-X</t>
  </si>
  <si>
    <t>100616</t>
  </si>
  <si>
    <t>10.1016/j.wnsx.2026.100616</t>
  </si>
  <si>
    <t>http://dx.doi.org/10.1016/j.wnsx.2026.100616</t>
  </si>
  <si>
    <t>Clinical Neurology; Surgery</t>
  </si>
  <si>
    <t>Neurosciences &amp; Neurology; Surgery</t>
  </si>
  <si>
    <t>KU0QK</t>
  </si>
  <si>
    <t>WOS:001815604400001</t>
  </si>
  <si>
    <t>Li, SX; Xie, YY; Wang, GY; Zhang, LJ; Zhou, W</t>
  </si>
  <si>
    <t>Multimodal medical imaging plays a crucial role in the diagnosis and characterization of lesions. However, challenges remain in lesion characterization based on multimodal feature fusion. First, current fusion methods have not thoroughly studied the relative importance of characterization modals. In addition, multimodal feature fusion cannot provide the contribution of different modal information to inform critical decision-making. In this study, we propose an adaptive multimodal fusion method with an attention-guided deep supervision net for grading hepatocellular carcinoma (HCC). Specifically, our proposed framework comprises two modules: attention-based adaptive feature fusion and attention-guided deep supervision net. The former uses the attention mechanism at the feature fusion level to generate weights for adaptive feature concatenation and balances the importance of features among various modals. The latter uses the weight generated by the attention mechanism as the weight coefficient of each loss to balance the contribution of the corresponding modal to the total loss function. The experimental results of grading clinical HCC with contrast-enhanced MR demonstrated the effectiveness of the proposed method. A significant performance improvement was achieved compared with existing fusion methods. In addition, the weight coefficient of attention in multimodal fusion has demonstrated great significance in clinical interpretation.</t>
  </si>
  <si>
    <t>Li, Shangxuan; Xie, Yanyan; Wang, Guangyi; Zhang, Lijuan; Zhou, Wu</t>
  </si>
  <si>
    <t>Zhou, W (corresponding author), Guangzhou Univ Chinese Med, Sch Med Informat Engn, Guangzhou 510006, Peoples R China.</t>
  </si>
  <si>
    <t>wangguangyi@163.com; sx_li0802@163.com; yanyanxie1881@163.com; lj.zhang@siat.ac.cn; zhouwu@gzcucm.edu.cn</t>
  </si>
  <si>
    <t>National Natural Science Foundation of China [81771920]</t>
  </si>
  <si>
    <t>This work was supported by the National Natural Science Foundation of China under Grant 81771920.</t>
  </si>
  <si>
    <t>[Li, Shangxuan; Xie, Yanyan; Zhou, Wu] Guangzhou Univ Chinese Med, Sch Med Informat Engn, Guangzhou 510006, Peoples R China; [Wang, Guangyi] Guangdong Prov Peoples Hosp, Dept Radiol, Guangzhou 510080, Peoples R China; [Zhang, Lijuan] Chinese Acad Sci, Shenzhen Inst Adv Technol, Shenzhen 518055, Peoples R China</t>
  </si>
  <si>
    <t>Guangzhou University of Chinese Medicine; Guangdong Academy of Medical Sciences &amp; Guangdong General Hospital; Chinese Academy of Sciences; Shenzhen Institute of Advanced Technology, CAS</t>
  </si>
  <si>
    <t>Adaptive Multimodal Fusion With Attention Guided Deep Supervision Net for Grading Hepatocellular Carcinoma</t>
  </si>
  <si>
    <t>Tumors; Three-dimensional displays; Medical diagnostic imaging; Feature extraction; Surgery; Veins; Portals; Attention; deep supervision net; hepatocellular carcinoma; multimodal fusion</t>
  </si>
  <si>
    <t>CONVOLUTIONAL NEURAL-NETWORK; DIAGNOSIS; LIVER; CT</t>
  </si>
  <si>
    <t>Xie, Yanyan/AAL-9186-2021; Wang, Guangyi/MGW-2039-2025; Li, Shangxuan/OYD-4703-2025</t>
  </si>
  <si>
    <t>Zhou, Wu/0000-0002-5917-1723; Zhang, Lijuan/0000-0003-0814-4925</t>
  </si>
  <si>
    <t>AUG 2022</t>
  </si>
  <si>
    <t>4123</t>
  </si>
  <si>
    <t>4131</t>
  </si>
  <si>
    <t>10.1109/JBHI.2022.3161466</t>
  </si>
  <si>
    <t>http://dx.doi.org/10.1109/JBHI.2022.3161466</t>
  </si>
  <si>
    <t>3V7PB</t>
  </si>
  <si>
    <t>35344499</t>
  </si>
  <si>
    <t>WOS:000841851000051</t>
  </si>
  <si>
    <t>Veena, KM; Gupta, P; Avadhanam, R; Raj, RN; Bhandary, SV; Gurupur, V; Mayya, V</t>
  </si>
  <si>
    <t>Accurate and early identification of ocular diseases is essential to prevent vision impairment and enable timely medical intervention. In routine clinical practice, ophthalmologists rely on a structured diagnostic workflow that incorporates multiple imaging modalities to manually assess and diagnose ocular diseases. However, interpreting each modality requires significant clinical experience and can be time-consuming. These limitations can be effectively addressed through the application of AI (Artificial intelligence)-driven multimodal fusion techniques. In this study, we conducted an empirical investigation to assess the impact of different fusion strategies-including early, intermediate, and late fusion-on diagnostic performance, training requirements, and interpretability. The proposed methodology was evaluated using three publicly available datasets: FFA-Fundus (Fundus fluorescein angiography), GAMMA (Glaucoma Analysis and Multi-Modal Assessment), and OLIVES (Ophthalmic Labels to Investigate Visual Eye Semantics). Experimental results demonstrate that multimodal feature fusion improves disease detection performance. Although fused models typically required an increase in training parameters compared to single-modality models, they provided interpretability on par with that of individual single-modal networks. However, inference time increased by approximately 50% for multimodal architectures. These findings underscore the value of integrating diverse ophthalmic imaging modalities to enhance diagnostic accuracy in automated disease detection systems. At the same time, the results highlight that unimodal models containing highly discriminative features can also perform competitively, particularly when a single modality is sufficient for disease identification. Multimodal fusion provides the greatest benefit in scenarios where complementary information across modalities contributes distinct and non-redundant features. Furthermore, fusing all available modalities may not be optimal due to increased computational cost and reduced inference efficiency; thus, selective modality integration and lightweight fusion strategies are essential to balance accuracy, interpretability, and efficiency in clinical deployment.</t>
  </si>
  <si>
    <t>Veena, K. M.; Gupta, Pragya; Avadhanam, Ruthvik; Raj, Rashmi Naveen; Bhandary, Sulatha V.; Gurupur, Varadraj; Mayya, Veena</t>
  </si>
  <si>
    <t>Mayya, V (corresponding author), Manipal Acad Higher Educ, Manipal Inst Technol, Manipal 576104, Karnataka, India.</t>
  </si>
  <si>
    <t>veena.mayya@manipal.edu</t>
  </si>
  <si>
    <t>[Veena, K. M.; Gupta, Pragya; Avadhanam, Ruthvik; Raj, Rashmi Naveen; Mayya, Veena] Manipal Acad Higher Educ, Manipal Inst Technol, Manipal 576104, Karnataka, India; [Bhandary, Sulatha V.] Manipal Acad Higher Educ, Kasturba Med Coll, Dept Ophthalmol, Manipal 576104, Karnataka, India; [Gurupur, Varadraj] Univ Cent Florida, Ctr Decis Support Syst &amp; Informat, Sch Global Hlth Management &amp; Informat, Orlando, FL 32816 USA</t>
  </si>
  <si>
    <t>Manipal Academy of Higher Education (MAHE); Manipal Academy of Higher Education (MAHE); Kasturba Medical College, Manipal; State University System of Florida; University of Central Florida</t>
  </si>
  <si>
    <t>Comprehensive Analysis of Multimodal Fusion Techniques for Ocular Disease Detection</t>
  </si>
  <si>
    <t>AI</t>
  </si>
  <si>
    <t>diabetes-related complications; fundus fluorescein angiography; fundus; optical coherence tomography; multimodal classification; fusion techniques; clinical decision support systems</t>
  </si>
  <si>
    <t>Mayya, Veena/IZQ-0387-2023; Raj, Rashmi/AAP-6619-2020</t>
  </si>
  <si>
    <t>2673-2688</t>
  </si>
  <si>
    <t>AI-BASEL</t>
  </si>
  <si>
    <t>APR 1 2026</t>
  </si>
  <si>
    <t>126</t>
  </si>
  <si>
    <t>10.3390/ai7040126</t>
  </si>
  <si>
    <t>http://dx.doi.org/10.3390/ai7040126</t>
  </si>
  <si>
    <t>Computer Science, Artificial Intelligence; Computer Science, Interdisciplinary Applications</t>
  </si>
  <si>
    <t>HA2BA</t>
  </si>
  <si>
    <t>WOS:001749221900001</t>
  </si>
  <si>
    <t>Cahan, N; Klang, E; Marom, EM; Soffer, S; Barash, Y; Burshtein, E; Konen, E; Greenspan, H</t>
  </si>
  <si>
    <t>Pulmonary embolism (PE) is a common, life threatening cardiovascular emergency. Risk stratification is one of the core principles of acute PE management and determines the choice of diagnostic and therapeutic strategies. In routine clinical practice, clinicians rely on the patient's electronic health record (EHR) to provide a context for their medical imaging interpretation. Most deep learning models for radiology applications only consider pixel-value information without the clinical context. Only a few integrate both clinical and imaging data. In this work, we develop and compare multimodal fusion models that can utilize multimodal data by combining both volumetric pixel data and clinical patient data for automatic risk stratification of PE. Our best performing model is an intermediate fusion model that incorporates both bilinear attention and TabNet, and can be trained in an end-to-end manner. The results show that multimodality boosts performance by up to 14% with an area under the curve (AUC) of 0.96 for assessing PE severity, with a sensitivity of 90% and specificity of 94%, thus pointing to the value of using multimodal data to automatically assess PE severity.</t>
  </si>
  <si>
    <t>Cahan, Noa; Klang, Eyal; Marom, Edith M.; Soffer, Shelly; Barash, Yiftach; Burshtein, Evyatar; Konen, Eli; Greenspan, Hayit</t>
  </si>
  <si>
    <t>Cahan, N; Greenspan, H (corresponding author), Tel Aviv Univ, Dept Biomed Engn, Tel Aviv, Israel.; Greenspan, H (corresponding author), Icahn Sch Med Mt Sinai, Radiol Dept, Biomed Engn &amp; Imaging Inst, New York, NY 10029 USA.</t>
  </si>
  <si>
    <t>noa.cahan@gmail.com; hayit@eng.tau.ac.il</t>
  </si>
  <si>
    <t>Israel Science Foundation (ISF) [20/2629]</t>
  </si>
  <si>
    <t>Israel Science Foundation (ISF) (Israel Science Foundation)</t>
  </si>
  <si>
    <t>This study was funded by the Israel Science Foundation (ISF) under Grant number 20/2629.</t>
  </si>
  <si>
    <t>[Cahan, Noa; Burshtein, Evyatar; Greenspan, Hayit] Tel Aviv Univ, Dept Biomed Engn, Tel Aviv, Israel; [Klang, Eyal; Marom, Edith M.; Soffer, Shelly; Barash, Yiftach; Konen, Eli] Tel Aviv Univ, Dept Diagnost Imaging, Sheba Med Ctr, Ramat Gan, Israel; [Greenspan, Hayit] Icahn Sch Med Mt Sinai, Radiol Dept, Biomed Engn &amp; Imaging Inst, New York, NY 10029 USA</t>
  </si>
  <si>
    <t>Tel Aviv University; Tel Aviv University; Sackler Faculty of Medicine; Chaim Sheba Medical Center; Icahn School of Medicine at Mount Sinai</t>
  </si>
  <si>
    <t>Multimodal fusion models for pulmonary embolism mortality prediction</t>
  </si>
  <si>
    <t>Barash, Yiftach/MCK-5975-2025</t>
  </si>
  <si>
    <t>Greenspan, Hayit/0000-0001-6908-7552; Klang, Eyal/0000-0002-4567-3108</t>
  </si>
  <si>
    <t>63</t>
  </si>
  <si>
    <t>MAY 9 2023</t>
  </si>
  <si>
    <t>7544</t>
  </si>
  <si>
    <t>10.1038/s41598-023-34303-8</t>
  </si>
  <si>
    <t>http://dx.doi.org/10.1038/s41598-023-34303-8</t>
  </si>
  <si>
    <t>N6BE1</t>
  </si>
  <si>
    <t>37160926</t>
  </si>
  <si>
    <t>WOS:001037834400051</t>
  </si>
  <si>
    <t>Fan, W; Fei, JR; Han, JD; Lian, J; Ye, HT; Song, XZ; Lv, X; Yi, K; Li, M</t>
  </si>
  <si>
    <t>The analysis of medical time series, such as Electrocardiography (ECG) and Electroencephalography (EEG), is fundamental to clinical diagnostics and patient monitoring. Accurate and automated classification of these signals can facilitate early disease detection and personalized treatment, thereby improving patient outcomes. Although deep learning models are widely adopted, they mainly process signals as sequential numerical data. Such a single-modality approach often misses the holistic visual patterns easily recognized by clinicians from graphical charts and struggles to model the complex non-linear dynamics of physiological data. As a result, the rich diagnostic cues contained in visual representations remain largely untapped, limiting model performance. To address these limitations, we propose MedViA, a novel multimodal learning framework that empowers Medical time series classification by integrating both Vision Augmentation and numeric perception. Our core innovation is to augment the raw medical time series signals into the visual modality, enabling a dual-pathway architecture that computationally mimics the comprehensive reasoning of clinical experts. With the augmentation, MedViA then features two parallel perception branches: a Visual Perception Module, built upon a novel Multi-resolution Differential Vision Transformer, processes the augmented images to capture high-level structural patterns and diagnostically critical waveform morphologies. Concurrently, a Numeric Perception Module, which uses our proposed Temporal Kolmogorov Network to model fine-grained and non-linear dynamics directly from the raw time series. To synergistically integrate the insights from these dedicated pathways, we introduce a Medically-informed Hierarchical Multimodal Fusion strategy, which uses a late-fusion architecture and a hierarchical optimization objective to derive for the final classification. We have conducted extensive experiments on multiple public medical time series datasets, which demonstrate the superior performance of our method compared to state-of-the-art approaches.</t>
  </si>
  <si>
    <t>Fan, Wei; Fei, Jingru; Han, Jindong; Lian, Jie; Ye, Hangting; Song, Xiaozhuang; Lv, Xin; Yi, Kun; Li, Min</t>
  </si>
  <si>
    <t>Yi, K (corresponding author), State Informat Ctr, Beijing, Peoples R China.; Li, M (corresponding author), Cent South Univ, Sch Comp Sci, Changsha, Peoples R China.</t>
  </si>
  <si>
    <t>kunyi.cn@gmail.com</t>
  </si>
  <si>
    <t>National Natural Science Foundation of China [62402531, 62225209]; China Postdoctoral Science Foundation, China [GZC20251049, 2025T013HN]; Key Program of the Hunan Provincial Natural Science Foundation [2025JJ30025]; Project of Xiangjiang Laboratory [24XJJCYJ01003]</t>
  </si>
  <si>
    <t>National Natural Science Foundation of China (National Natural Science Foundation of China (NSFC)); China Postdoctoral Science Foundation, China (China Postdoctoral Science Foundation); Key Program of the Hunan Provincial Natural Science Foundation; Project of Xiangjiang Laboratory</t>
  </si>
  <si>
    <t>This work is partially supported by National Natural Science Foundation of China (No. 62402531, No. 62225209) , China Postdoctoral Science Foundation, China (No. GZC20251049, No. 2025T013HN) , the Key Program of the Hunan Provincial Natural Science Foundation (No. 2025JJ30025) , and the Project of Xiangjiang Laboratory (24XJJCYJ01003) .</t>
  </si>
  <si>
    <t>[Fan, Wei] Univ Auckland, Sch Comp Sci, Auckland, New Zealand; [Fei, Jingru] Beijing Inst Technol, Sch Comp Sci &amp; Technol, Beijing, Peoples R China; [Han, Jindong] Shandong Univ, Sch Artificial Intelligence, Jinan, Peoples R China; [Lian, Jie] Univ Oxford, Med Sci Div, Oxford, England; [Ye, Hangting] Jilin Univ, Sch Artificial Intelligence, Jilin, Peoples R China; [Song, Xiaozhuang] Chinese Univ Hong Kong, Sch Data Sci, Shenzhen, Peoples R China; [Lv, Xin; Yi, Kun] State Informat Ctr, Beijing, Peoples R China; [Li, Min] Cent South Univ, Sch Comp Sci, Changsha, Peoples R China</t>
  </si>
  <si>
    <t>University of Auckland; Beijing Institute of Technology; Shandong University; University of Oxford; Jilin University; The Chinese University of Hong Kong, Shenzhen; Central South University</t>
  </si>
  <si>
    <t>MedViA: Empowering medical time series classification with vision augmentation and multimodal fusion</t>
  </si>
  <si>
    <t>Medical time series; Multimodal learning; Vision augmentation; Time series classification; Healthcare informatics</t>
  </si>
  <si>
    <t>EEG</t>
  </si>
  <si>
    <t>Han, Jindong/KFA-8486-2024; Song, Xiaozhuang/ABC-2140-2021; Lian, Jie/HNB-3481-2023; LI, MIN/U-3131-2018</t>
  </si>
  <si>
    <t>Fan, Wei/0000-0001-7656-445X; Lian, Jie/0000-0003-2351-2570</t>
  </si>
  <si>
    <t>127</t>
  </si>
  <si>
    <t>103659</t>
  </si>
  <si>
    <t>10.1016/j.inffus.2025.103659</t>
  </si>
  <si>
    <t>http://dx.doi.org/10.1016/j.inffus.2025.103659</t>
  </si>
  <si>
    <t>8CR1A</t>
  </si>
  <si>
    <t>WOS:001585511300001</t>
  </si>
  <si>
    <t>Chen, CJ; Soltanieh, S; Rajapaksa, S; Khalvati, F; Yeh, EA</t>
  </si>
  <si>
    <t>Background and objectives Identifying multiple sclerosis (MS) in children early is critical, as early therapeutic intervention can improve outcomes. The anterior visual pathway has been demonstrated to be of central importance in diagnostic considerations for MS and has recently been identified as a fifth topography in the McDonald Diagnostic Criteria for MS. Optical coherence tomography (OCT) provides high-resolution retinal imaging and reflects the structural integrity of the retinal nerve fiber and ganglion cell inner plexiform layers. Whether multimodal deep learning models can use OCT alone to diagnose pediatric onset MS (POMS) is unknown.Methods We analyzed 3D OCT scans collected prospectively through the Neuroinflammatory Registry of the Hospital for Sick Children (REB#1000005356). Raw macular and optic nerve head images, and 52 automatically segmented features were included. We evaluated three classification approaches: (1) deep learning models (e.g., ResNet, DenseNet) for representation learning followed by classical ML classifiers, (2) ML models trained on OCT-derived features, and (3) multimodal models combining both via early and late fusion.Results Scans from individuals with POMS (onset 16.0 +/- 3.1 years, 51.0% female; 211 scans) and 29 children with non-inflammatory neurological conditions (13.1 +/- 4.0 years, 69.0% female, 52 scans) were included. The early fusion model achieved the highest performance (AUC: 0.90, weighted F1: 0.87, macro F1: 0.77, accuracy: 87%), outperforming both unimodal and late fusion models. The best unimodal feature-based model (SVC) yielded an AUC of 0.84, weighted F1 of 0.85, macro F1 of 0.73, and accuracy of 85%, while the best image-based model (ResNet101 with SVC) achieved an AUC of 0.79, weighted F1 of 0.84, macro F1 of 0.70, and accuracy of 87%. Late fusion underperformed, reaching 82% accuracy but failing in the minority class.Discussion Multimodal learning with early fusion significantly enhances diagnostic performance by combining spatial retinal information with clinically relevant structural features. This approach captures complementary patterns associated with MS pathology and shows promise as an AI-driven tool to support pediatric neuroinflammatory diagnosis.</t>
  </si>
  <si>
    <t>Chen, Chaojun; Soltanieh, Sahar; Rajapaksa, Sajith; Khalvati, Farzad; Yeh, E. Ann</t>
  </si>
  <si>
    <t>Yeh, EA (corresponding author), Hosp Sick Children, SickKids Res Inst, Program Neurosci &amp; Mental Hlth, Toronto, ON, Canada.; Yeh, EA (corresponding author), Univ Toronto, Hosp Sick Children, Dept Pediat, Div Neurol, Toronto, ON, Canada.</t>
  </si>
  <si>
    <t>ann.yeh@sickkids.ca</t>
  </si>
  <si>
    <t>Ontario Institute for Regenerative Medicine (OIRM), Stem Cell Network; SickKids Foundation</t>
  </si>
  <si>
    <t>The author(s) declared that financial support was received for this work and/or its publication. This work was supported by the Ontario Institute for Regenerative Medicine (OIRM), Stem Cell Network, the Garry Hurvitz Chair in Neurology, and the Chair in Medical Imaging and Artificial Intelligence, a joint Hospital-University Chair between the University of Toronto, The Hospital for Sick Children, and the SickKids Foundation.</t>
  </si>
  <si>
    <t>[Chen, Chaojun; Soltanieh, Sahar; Rajapaksa, Sajith; Khalvati, Farzad; Yeh, E. Ann] Hosp Sick Children, SickKids Res Inst, Program Neurosci &amp; Mental Hlth, Toronto, ON, Canada; [Khalvati, Farzad] Univ Toronto, Dept Med Imaging, Toronto, ON, Canada; [Yeh, E. Ann] Univ Toronto, Hosp Sick Children, Dept Pediat, Div Neurol, Toronto, ON, Canada</t>
  </si>
  <si>
    <t>Hospital for Sick Children (SickKids); University of Toronto; Hospital for Sick Children (SickKids); University of Toronto; Hospital for Sick Children (SickKids); University of Toronto; Hospital for Sick Children (SickKids)</t>
  </si>
  <si>
    <t>Multimodal machine learning for distinguishing pediatric multiple sclerosis from non-inflammatory conditions using optical coherence tomography</t>
  </si>
  <si>
    <t>FRONTIERS IN NEUROLOGY</t>
  </si>
  <si>
    <t>demyelinating disorders; multimodal machine learning; neuroimaging diagnostics; optical coherence tomography; pediatric multiple sclerosis</t>
  </si>
  <si>
    <t>AUTOMATED DETECTION; THICKNESS; NEURITIS; RISK</t>
  </si>
  <si>
    <t>1664-2295</t>
  </si>
  <si>
    <t>FRONT NEUROL</t>
  </si>
  <si>
    <t>Front. Neurol.</t>
  </si>
  <si>
    <t>APR 21 2026</t>
  </si>
  <si>
    <t>1791696</t>
  </si>
  <si>
    <t>10.3389/fneur.2026.1791696</t>
  </si>
  <si>
    <t>http://dx.doi.org/10.3389/fneur.2026.1791696</t>
  </si>
  <si>
    <t>HJ5BJ</t>
  </si>
  <si>
    <t>42093931</t>
  </si>
  <si>
    <t>WOS:001755531300001</t>
  </si>
  <si>
    <t>Leony, F; Lin, CJ</t>
  </si>
  <si>
    <t>Objective: In the attempt of early diagnosis of Alzheimer's Disease, varying forms of medical records of multiple modalities are gathered to seize the interaction of multiple factors. However, the heterogeneity of multimodal data brings a challenge. Hence, the role of artificial intelligence comes into play to provide the medical practitioner assistance in making diagnosis and prognosis. In order to be adopted as a clinical decision support system, interpretable or explainable model is important for healthcare professionals to trust the results. This study assessed various popular machine learning models under two multimodal fusion architectures to find the best combination in terms of both predictive performance and interpretability. Methods: Two architectures, early and late, also known as feature-and decision-level fusion were chosen for multinomial classification task. On top of the commonly used simple concatenation, this study employed weighted and hybrid weighted concatenation to fuse features within and across modalities under the two fusion structures. To test the efficacy of each model pipeline, the assessment was done according to their distinct foundations on which the models were built and each of their advantages was recognized. Classification metrics were unified and visualized into a pentagon to compare the overall performance of each pipeline. In addition, interpretability analysis was provided to quantify the importance of each modality and feature recognized by each model. Results: The potential characteristics of each type of pipelines in terms of prediction accuracy and ability to capture the relevant markers of each cognitive state were uncovered. In this particular healthcare application, the tree-based and linear models were the top 2 choices. Coupled with early and late fusion structure with weighted concatenation, reaching the balanced accuracy of 0.920 and 0.912, consecutively. The top 5 most important features revealed belong to Cognitive Test Scores and Neuropsychological Battery of Test modalities. Conclusion: This work contributes as medical applications of artificial intelligence evaluation to aid practitioners in understanding the capability of different fusion architectures with different classifiers in getting to know the use of machine learning in clinical setting. With accurate classification, early detection of Mild Cognitive Impairment and Alzheimer's Disease can be achieved.</t>
  </si>
  <si>
    <t>Leony, Florence; Lin, Chen-ju</t>
  </si>
  <si>
    <t>Lin, CJ (corresponding author), Yuan Ze Univ, Dept Ind Engn &amp; Management, Taoyuan 320, Taiwan.</t>
  </si>
  <si>
    <t>chenju.lin@saturn.yzu.edu.tw</t>
  </si>
  <si>
    <t>Roche Ltd and its affiliated company Genentech, Inc.; Fujirebio; IXICO Ltd.; Janssen Alzheimer Immunotherapy Research &amp; Development, LLC.; Johnson &amp; Johnson Pharmaceutical Research &amp; Development LLC.; Merck Co., Inc.; Meso Scale Diagnostics; NeuroRx Research; Novartis Pharmaceuticals Corporation; Pfizer Inc.; Piramal Imaging; Takeda Pharmaceutical Company; Canadian Institutes of Health Research; ADNI clinical sites in Canada; Foundation for the National Institutes of Health; Northern California Institute for Research and Education; Laboratory for Neuro Imaging at the University of Southern California</t>
  </si>
  <si>
    <t>Roche Ltd and its affiliated company Genentech, Inc.; Fujirebio; IXICO Ltd.; Janssen Alzheimer Immunotherapy Research &amp; Development, LLC.; Johnson &amp; Johnson Pharmaceutical Research &amp; Development LLC. (Johnson &amp; Johnson, Johnson &amp; Johnson USA); Merck Co., Inc. (Merck &amp; Company); Meso Scale Diagnostics; NeuroRx Research; Novartis Pharmaceuticals Corporation (Novartis); Pfizer Inc. (Pfizer); Piramal Imaging; Takeda Pharmaceutical Company (Takeda Pharmaceutical Company Ltd); Canadian Institutes of Health Research (Canadian Institutes of Health Research (CIHR)); ADNI clinical sites in Canada; Foundation for the National Institutes of Health; Northern California Institute for Research and Education; Laboratory for Neuro Imaging at the University of Southern California</t>
  </si>
  <si>
    <t>Roche Ltd and its affiliated company Genentech, Inc.; Fujirebio; GE Healthcare; IXICO Ltd.; Janssen Alzheimer Immunotherapy Research &amp; Development, LLC.; Johnson &amp; Johnson Pharmaceutical Research &amp; Development LLC.; Lumosity; Lundbeck; Merck &amp; Co., Inc.; Meso Scale Diagnostics, LLC.; NeuroRx Research; Neurotrack Technologies; Novartis Pharmaceuticals Corporation; Pfizer Inc.; Piramal Imaging; Servier; Takeda Pharmaceutical Company; and Transition Therapeutics. The Canadian Institutes of Health Research is providing funds to support ADNI clinical sites in Canada. Private sector contributions are facilitated by the Foundation for the National Institutes of Health ( www.fnih.org) . The grantee organization is the Northern California Institute for Research and Education, and the study is coordinated by the Alzheimer's Therapeutic Research Institute at the University of Southern California. ADNI data are disseminated by the Laboratory for Neuro Imaging at the University of Southern California.r Roche Ltd and its affiliated company Genentech, Inc.; Fujirebio; GE Healthcare; IXICO Ltd.; Janssen Alzheimer Immunotherapy Research &amp; Development, LLC.; Johnson &amp; Johnson Pharmaceutical Research &amp; Development LLC.; Lumosity; Lundbeck; Merck &amp; Co., Inc.; Meso Scale Diagnostics, LLC.; NeuroRx Research; Neurotrack Technologies; Novartis Pharmaceuticals Corporation; Pfizer Inc.; Piramal Imaging; Servier; Takeda Pharmaceutical Company; and Transition Therapeutics. The Canadian Institutes of Health Research is providing funds to support ADNI clinical sites in Canada. Private sector contributions are facilitated by the Foundation for the National Institutes of Health ( www.fnih.org) . The grantee organization is the Northern California Institute for Research and Education, and the study is coordinated by the Alzheimer's Therapeutic Research Institute at the University of Southern California. ADNI data are disseminated by the Laboratory for Neuro Imaging at the University of Southern California.</t>
  </si>
  <si>
    <t>[Leony, Florence; Lin, Chen-ju] Yuan Ze Univ, Dept Ind Engn &amp; Management, Taoyuan 320, Taiwan; [Leony, Florence] Univ Kristen Maranatha, Dept Ind Engn, Bandung 40164, Indonesia</t>
  </si>
  <si>
    <t>Yuan Ze University; Universitas Kristen Maranatha</t>
  </si>
  <si>
    <t>Alzheimers Dis Neuroimaging Initiative</t>
  </si>
  <si>
    <t>Multimodal fusion architectures for Alzheimer's disease diagnosis: An experimental study</t>
  </si>
  <si>
    <t>Multimodal fusion; Electronic health record; Artificial intelligence; Interpretable; Clinical decision support system</t>
  </si>
  <si>
    <t>EXTREME LEARNING-MACHINE; IMPLEMENTATION; PROGRESSION; REGRESSION</t>
  </si>
  <si>
    <t>Leony, Florence/OZL-7632-2025</t>
  </si>
  <si>
    <t>Lin, Chen-ju/0000-0003-3423-4625; Leony, Florence/0000-0002-2878-2556</t>
  </si>
  <si>
    <t>166</t>
  </si>
  <si>
    <t>104834</t>
  </si>
  <si>
    <t>10.1016/j.jbi.2025.104834</t>
  </si>
  <si>
    <t>http://dx.doi.org/10.1016/j.jbi.2025.104834</t>
  </si>
  <si>
    <t>3UJ6Y</t>
  </si>
  <si>
    <t>40339968</t>
  </si>
  <si>
    <t>WOS:001509235100001</t>
  </si>
  <si>
    <t>Jabbar, A; Huang, JJ; Jabbar, MK; Ali, A</t>
  </si>
  <si>
    <t>Background/Objectives: Early and accurate detection of glaucoma is vital for preventing irreversible vision loss, yet traditional diagnostic approaches relying solely on unimodal retinal imaging are limited by data sparsity and constrained context. Furthermore, real-world clinical data are often fragmented across institutions under strict privacy regulations, posing significant challenges for centralized machine learning methods. Methods: To address these barriers, this study proposes a novel Quality Aware Vertical Federated Learning (QAVFL) framework for decentralized multimodal glaucoma detection. The proposed system dynamically integrates clinical text, retinal fundus images, and biomedical signal data through modality-specific encoders, followed by a Fusion Attention Module (FAM) that adaptively weighs the reliability and contribution of each modality. Unlike conventional early fusion or horizontal federated learning methods, QAVFL operates in vertically partitioned environments and employs secure aggregation mechanisms incorporating homomorphic encryption and differential privacy to preserve patient confidentiality. Results: Extensive experiments conducted under heterogeneous non-IID settings demonstrate that QAVFL achieves an accuracy of 98.6%, a recall of 98.6%, an F1-score of 97.0%, and an AUC of 0.992, outperforming unimodal and early fusion baselines with statistically significant improvements (p &lt; 0.01). Conclusions: The findings validate the effectiveness of dynamic multimodal fusion under privacy-preserving decentralized learning and highlight the scalability and clinical applicability of QAVFL for robust glaucoma screening across fragmented healthcare environments.</t>
  </si>
  <si>
    <t>Jabbar, Ayesha; Huang, Jianjun; Jabbar, Muhammad Kashif; Ali, Asad</t>
  </si>
  <si>
    <t>Huang, JJ (corresponding author), Shenzhen Univ, Coll Elect &amp; Informat Engn, Shenzhen 518060, Peoples R China.; Huang, JJ (corresponding author), Shenzhen Univ, Guangdong Prov Key Lab Intelligent Informat Proc, Shenzhen 518060, Peoples R China.</t>
  </si>
  <si>
    <t>aliasad2023@email.szu.edu.cn; ayeshajabbar2023@email.szu.edu.cn; muhammadkashifjabbar@email.szu.edu.cn; huangjin@szu.edu.cn</t>
  </si>
  <si>
    <t>Shenzhen Science and Technology Program; Guangdong Provincial Key Laboratory [2023B1212060076]</t>
  </si>
  <si>
    <t>Shenzhen Science and Technology Program; Guangdong Provincial Key Laboratory</t>
  </si>
  <si>
    <t>This work was supported in part by the Shenzhen Science and Technology Program (JCYJ20220818100004008) and by the Guangdong Provincial Key Laboratory (Grant 2023B1212060076).</t>
  </si>
  <si>
    <t>[Jabbar, Ayesha; Huang, Jianjun; Jabbar, Muhammad Kashif; Ali, Asad] Shenzhen Univ, Coll Elect &amp; Informat Engn, Shenzhen 518060, Peoples R China; [Jabbar, Ayesha; Huang, Jianjun; Jabbar, Muhammad Kashif; Ali, Asad] Shenzhen Univ, Guangdong Prov Key Lab Intelligent Informat Proc, Shenzhen 518060, Peoples R China</t>
  </si>
  <si>
    <t>Shenzhen University; Shenzhen University</t>
  </si>
  <si>
    <t>Adaptive Multimodal Fusion in Vertical Federated Learning for Decentralized Glaucoma Screening</t>
  </si>
  <si>
    <t>vertical; federated learning; multimodal fusion; glaucoma detection; privacy-preserving healthcare AI; attention-based neural networks</t>
  </si>
  <si>
    <t>DIABETIC-RETINOPATHY DETECTION</t>
  </si>
  <si>
    <t>Jabbar, Muhammad Kashif/AGZ-5144-2022; Jianjun, Huang/AAB-3051-2019</t>
  </si>
  <si>
    <t>Jabbar, Muhammad Kashif/0000-0001-8963-1201; Jianjun, Huang/0000-0001-7040-3591</t>
  </si>
  <si>
    <t>SEP 14 2025</t>
  </si>
  <si>
    <t>990</t>
  </si>
  <si>
    <t>10.3390/brainsci15090990</t>
  </si>
  <si>
    <t>http://dx.doi.org/10.3390/brainsci15090990</t>
  </si>
  <si>
    <t>7WV8N</t>
  </si>
  <si>
    <t>41008349</t>
  </si>
  <si>
    <t>WOS:001581555900001</t>
  </si>
  <si>
    <t>Miao, SD; Sun, MZ; Zhang, BB; Jiang, YY; Xuan, QF; Wang, GP; Wang, MX; Jiang, YX; Wang, QJ; Liu, ZY; Ding, XM; Wang, RT</t>
  </si>
  <si>
    <t>ObjectivesThis study proposes a multimodal deep learning (DL) approach to investigate the impact of tumors and visceral fat on occult peritoneal metastasis in colorectal cancer (CRC) patients.MethodsWe developed a DL model named Multi-scale Feature Fusion Network (MSFF-Net) based on ResNet18, which extracted features of tumors and visceral fat from the longest diameter tumor section and the third lumbar vertebra level (L3) in preoperative CT scans of CRC patients. Logistic regression analysis was applied to patients' clinical data that integrated with DL features. A random forest (RF) classifier was established to evaluate the MSFF-Net's performance on internal and external test sets and compare it with radiologists' performance.ResultsThe model incorporating fat features outperformed the single tumor modality in the internal test set. Combining clinical information with DL provided the best diagnostic performance for predicting peritoneal metastasis in CRC patients. The AUCs were 0.941 (95% CI: [0.891, 0.986], p = 0.03) for the internal test set and 0.911 (95% CI: [0.857, 0.971], p = 0.013) for the external test set. CRC patients with peritoneal metastasis had a higher visceral adipose tissue index (VATI) compared to those without. Maximum tumor diameter and VATI were identified as independent prognostic factors for peritoneal metastasis. Grad-CAM decision regions corresponded with the independent prognostic factors identified by logistic regression analysis.ConclusionThe study confirms the network features of tumors and visceral fat significantly enhance predictive performance for peritoneal metastasis in CRC. Visceral fat is a meaningful imaging biomarker for peritoneal metastasis's early detection in CRC patients.Key PointsQuestionCurrent research on predicting colorectal cancer with peritoneal metastasis mainly focuses on single-modality analysis, while studies based on multimodal imaging information are relatively scarce.FindingsThe Multi-scale Feature Fusion Network, constructed based on ResNet18, can utilize CT images of tumors and visceral fat to detect occult peritoneal metastasis in colorectal cancer.Clinical relevanceThis study identified independent prognostic factors for colorectal cancer peritoneal metastasis and combines them with tumor and visceral fat network features, aiding early diagnosis and accurate prognostic assessment.Key PointsQuestionCurrent research on predicting colorectal cancer with peritoneal metastasis mainly focuses on single-modality analysis, while studies based on multimodal imaging information are relatively scarce.FindingsThe Multi-scale Feature Fusion Network, constructed based on ResNet18, can utilize CT images of tumors and visceral fat to detect occult peritoneal metastasis in colorectal cancer.Clinical relevanceThis study identified independent prognostic factors for colorectal cancer peritoneal metastasis and combines them with tumor and visceral fat network features, aiding early diagnosis and accurate prognostic assessment.Key PointsQuestionCurrent research on predicting colorectal cancer with peritoneal metastasis mainly focuses on single-modality analysis, while studies based on multimodal imaging information are relatively scarce.FindingsThe Multi-scale Feature Fusion Network, constructed based on ResNet18, can utilize CT images of tumors and visceral fat to detect occult peritoneal metastasis in colorectal cancer.Clinical relevanceThis study identified independent prognostic factors for colorectal cancer peritoneal metastasis and combines them with tumor and visceral fat network features, aiding early diagnosis and accurate prognostic assessment.</t>
  </si>
  <si>
    <t>Miao, Shidi; Sun, Mengzhuo; Zhang, Beibei; Jiang, Yuyang; Xuan, Qifan; Wang, Guopeng; Wang, Mingxuan; Jiang, Yuxin; Wang, Qiujun; Liu, Zengyao; Ding, Xuemei; Wang, Ruitao</t>
  </si>
  <si>
    <t>Wang, RT (corresponding author), Harbin Med Univ, Canc Hosp, Dept Internal Med, Harbin, Peoples R China.</t>
  </si>
  <si>
    <t>ruitaowang@126.com</t>
  </si>
  <si>
    <t>National Cancer Center Climb Plan; Department of Chinese and Bilingual Studies at the Hong Kong Polytechnic University</t>
  </si>
  <si>
    <t>Thank you to Tianqi Ju from the Department of Chinese and Bilingual Studies at the Hong Kong Polytechnic University and Jianan Liu from the School of Translation and Interpreting at Guangxi University for Nationalities for the refinement of this manuscript.</t>
  </si>
  <si>
    <t>[Miao, Shidi; Sun, Mengzhuo; Jiang, Yuyang; Xuan, Qifan; Wang, Guopeng; Wang, Mingxuan; Jiang, Yuxin] Harbin Univ Sci &amp; Technol, Sch Comp Sci &amp; Technol, Harbin, Peoples R China; [Zhang, Beibei; Wang, Ruitao] Harbin Med Univ, Canc Hosp, Dept Internal Med, Harbin, Peoples R China; [Wang, Qiujun] Harbin Med Univ, Affiliated Hosp 2, Dept Gen Practice, Harbin, Peoples R China; [Liu, Zengyao] Harbin Med Univ, Affiliated Hosp 1, Dept Intervent Med, Harbin, Peoples R China; [Ding, Xuemei] Ulster Univ, Sch Comp Engn &amp; Intelligent Syst, Coleraine, North Ireland</t>
  </si>
  <si>
    <t>Harbin University of Science &amp; Technology; Harbin Medical University; Harbin Medical University; Harbin Medical University; Ulster University</t>
  </si>
  <si>
    <t>Multimodal deep learning: tumor and visceral fat impact on colorectal cancer occult peritoneal metastasis</t>
  </si>
  <si>
    <t>EUROPEAN RADIOLOGY</t>
  </si>
  <si>
    <t>Colorectal cancer; Peritoneum; Neoplasm metastasis; Deep learning; Visceral fat</t>
  </si>
  <si>
    <t>COLON-CANCER; ASSOCIATION; SURVIVAL</t>
  </si>
  <si>
    <t>0938-7994</t>
  </si>
  <si>
    <t>1432-1084</t>
  </si>
  <si>
    <t>EUR RADIOL</t>
  </si>
  <si>
    <t>Eur. Radiol.</t>
  </si>
  <si>
    <t>4522</t>
  </si>
  <si>
    <t>4532</t>
  </si>
  <si>
    <t>10.1007/s00330-025-11450-2</t>
  </si>
  <si>
    <t>http://dx.doi.org/10.1007/s00330-025-11450-2</t>
  </si>
  <si>
    <t>4NY8G</t>
  </si>
  <si>
    <t>39961863</t>
  </si>
  <si>
    <t>WOS:001423008600001</t>
  </si>
  <si>
    <t>Green Published</t>
  </si>
  <si>
    <t>Grover, N; Chharia, A; Upadhyay, R; Longo, L</t>
  </si>
  <si>
    <t>Schizophrenia (SCZ) is a serious mental condition that causes hallucinations, delusions, and disordered thinking. Traditionally, SCZ diagnosis involves the subject's interview by a skilled psychiatrist. The process needs time and is bound to human errors and bias. Recently, brain connectivity indices have been used in a few pattern recognition methods to discriminate neuro-psychiatric patients from healthy subjects. The study presents $\textit {Schizo-Net}$ , a novel, highly accurate, and reliable SCZ diagnosis model based on a late multimodal fusion of estimated brain connectivity indices from EEG activity. First, the raw EEG activity is pre-processed exhaustively to remove unwanted artifacts. Next, six brain connectivity indices are estimated from the windowed EEG activity, and six different deep learning architectures (with varying neurons and hidden layers) are trained. The present study is the $\textit {first}$ which considers a large number of brain connectivity indices, especially for SCZ. A detailed study was also performed that identifies SCZ-related changes occurring in brain connectivity, and the vital significance of BCI is drawn in this regard to identify the biomarkers of the disease. $\textit {Schizo-Net}$ surpasses current models and achieves 99.84% accuracy. An optimum deep learning architecture selection is also performed for improved classification. The study also establishes that Late fusion technique outperforms single architecture-based prediction in diagnosing SCZ.</t>
  </si>
  <si>
    <t>Grover, Nitin; Chharia, Aviral; Upadhyay, Rahul; Longo, Luca</t>
  </si>
  <si>
    <t>Longo, L (corresponding author), Technol Univ Dublin, Appl Intelligence Res Ctr, Sch Comp Sci, Artificial Intelligence &amp; Cognit Load Res Lab, Dublin 07, Ireland.</t>
  </si>
  <si>
    <t>luca.longo@tudublin.ie</t>
  </si>
  <si>
    <t>Artificial Intelligence and Cognitive Load Research Laboratory, Applied Intelligence Research Centre, Technological University Dublin, Ireland; Thapar Institute of Engineering and Technology</t>
  </si>
  <si>
    <t>This work was supported in part by the Artificial Intelligence and Cognitive Load Research Laboratory, Applied Intelligence Research Centre, Technological University Dublin, Ireland; and in part by the Thapar Institute of Engineering and Technology Seed Money Grant for the Project "Analysis of Electroencephalogram Signals for implementation of P300-based Brain Computer Interface".</t>
  </si>
  <si>
    <t>[Grover, Nitin; Upadhyay, Rahul] Thapar Inst Engn &amp; Technol, Dept Elect &amp; Commun Engn, Patiala 147004, Punjab, India; [Chharia, Aviral] Thapar Inst Engn &amp; Technol, Dept Mech Engn, Patiala 147004, Punjab, India; [Longo, Luca] Technol Univ Dublin, Appl Intelligence Res Ctr, Sch Comp Sci, Artificial Intelligence &amp; Cognit Load Res Lab, Dublin 07, Ireland</t>
  </si>
  <si>
    <t>Thapar Institute of Engineering &amp; Technology; Thapar Institute of Engineering &amp; Technology</t>
  </si>
  <si>
    <t>Schizo-Net: A novel Schizophrenia Diagnosis Framework Using Late Fusion Multimodal Deep Learning on Electroencephalogram-Based Brain Connectivity Indices</t>
  </si>
  <si>
    <t>Schizophrenia; deep learning; brain connectivity features; feature fusion; classification</t>
  </si>
  <si>
    <t>EEG SIGNAL CLASSIFICATION; FUNCTIONAL CONNECTIVITY; AUTOMATIC DETECTION; SYNCHRONIZATION; INFORMATION; COHERENCE; SELECTION; FEATURES; TOOLBOX; NETWORK</t>
  </si>
  <si>
    <t>Chharia, Aviral/MGW-0152-2025; Longo, Luca/C-2099-2019</t>
  </si>
  <si>
    <t>Chharia, Aviral/0000-0003-4662-9747; Longo, Luca/0000-0002-2718-5426; Grover, Nitin/0000-0003-4519-7372; Upadhyay, Rahul/0000-0003-0476-4529</t>
  </si>
  <si>
    <t>78</t>
  </si>
  <si>
    <t>464</t>
  </si>
  <si>
    <t>473</t>
  </si>
  <si>
    <t>10.1109/TNSRE.2023.3237375</t>
  </si>
  <si>
    <t>http://dx.doi.org/10.1109/TNSRE.2023.3237375</t>
  </si>
  <si>
    <t>D1OO6</t>
  </si>
  <si>
    <t>37022027</t>
  </si>
  <si>
    <t>WOS:000966486200001</t>
  </si>
  <si>
    <t>Roest, C; Yakar, D; Sitar, DIR; Bosma, JS; Rouw, DB; Fransen, SJ; Huisman, H; Kwee, TC</t>
  </si>
  <si>
    <t>Objectives: Deep learning (DL) studies for the detection of clinically significant prostate cancer (csPCa) on magnetic resonance imaging (MRI) often overlook potentially relevant clinical parameters such as prostate-specific antigen, prostate volume, and age. This study explored the integration of clinical parameters and MRI-based DL to enhance diagnostic accuracy for csPCa on MRI. Materials and Methods: We retrospectively analyzed 932 biparametric prostate MRI examinations performed for suspected csPCa (ISUP &gt;= 2) at 2 institutions. Each MRI scan was automatically analyzed by a previously developed DL model to detect and segment csPCa lesions. Three sets of features were extracted: DL lesion suspicion levels, clinical parameters (prostate-specific antigen, prostate volume, age), and MRI-based lesion volumes for all DL-detected lesions. Six multimodal artificial intelligence (AI) classifiers were trained for each combination of feature sets, employing both early (feature-level) and late (decision-level) information fusion methods. The diagnostic performance of each model was tested internally on 20% of center 1 data and externally on center 2 data (n = 529). Receiver operating characteristic comparisons determined the optimal feature combination and information fusion method and assessed the benefit of multimodal versus unimodal analysis. The optimal model performance was compared with a radiologist using PI-RADS. Results: Internally, the multimodal AI integrating DL suspicion levels with clinical features via early fusion achieved the highest performance. Externally, it surpassed baselines using clinical parameters (0.77 vs 0.67 area under the curve [AUC], P &lt; 0.001) and DL suspicion levels alone (AUC: 0.77 vs 0.70, P = 0.006). Early fusion outperformed late fusion in external data (0.77 vs 0.73 AUC, P = 0.005). No significant performance gaps were observed between multimodal AI and radiologist assessments (internal: 0.87 vs 0.88 AUC; external: 0.77 vs 0.75 AUC, both P &gt; 0.05). Conclusions: Multimodal AI (combining DL suspicion levels and clinical parameters) outperforms clinical and MRI-only AI for csPCa detection. Early information fusion enhanced AI robustness in our multicenter setting. Incorporating lesion volumes did not enhance diagnostic efficacy.</t>
  </si>
  <si>
    <t>Roest, Christian; Yakar, Derya; Sitar, Dorjan Ivan Rener; Bosma, Joeran S.; Rouw, Dennis B.; Fransen, Stefan Johannes; Huisman, Henkjan; Kwee, Thomas C.</t>
  </si>
  <si>
    <t>Roest, C (corresponding author), Univ Med Ctr Groningen, Med Imaging Ctr, Dept Radiol, Hanzepl 1, NL-9713 GZ Groningen, Netherlands.</t>
  </si>
  <si>
    <t>d.b.rouw@mzh.nl; d.yakar@umcg.nl; d.i.rener.sitar@umcg.nl; t.c.kwee@umcg.nl; joeran.bosma@radboudumc.nl; henkjan.huisman@radboudumc.nl; c.roest@umcg.nl; s.j.fransen@umcg.nl</t>
  </si>
  <si>
    <t>[Roest, Christian; Yakar, Derya; Sitar, Dorjan Ivan Rener; Fransen, Stefan Johannes; Kwee, Thomas C.] Univ Med Ctr Groningen, Med Imaging Ctr, Dept Radiol, Hanzepl 1, NL-9713 GZ Groningen, Netherlands; [Yakar, Derya] Netherlands Canc Ctr Antoni van Leeuwenhoek, Dept Radiol, Amsterdam, Netherlands; [Bosma, Joeran S.; Huisman, Henkjan] Radboud Univ Nijmegen Med Ctr, Dept Radiol, Nijmegen, Netherlands; [Rouw, Dennis B.] Martini Ziekenhuis Groningen, Dept Radiol, Groningen, Netherlands</t>
  </si>
  <si>
    <t>University of Groningen; Radboud University Nijmegen; Martini Hospital</t>
  </si>
  <si>
    <t>Multimodal AI Combining Clinical and Imaging Inputs Improves Prostate Cancer Detection</t>
  </si>
  <si>
    <t>INVESTIGATIVE RADIOLOGY</t>
  </si>
  <si>
    <t>artificial intelligence; magnetic resonance imaging; prostate cancer</t>
  </si>
  <si>
    <t>INTERNATIONAL SOCIETY</t>
  </si>
  <si>
    <t>Fransen, Stefan J/JHU-2962-2023; Roest, Christian/PRQ-7877-2026; Yakar, Derya/AER-2388-2022; Bosma, Joeran S/KHW-0489-2024; Huisman, Henkjan/A-6775-2012</t>
  </si>
  <si>
    <t>Fransen, Stefan J/0000-0002-5454-5052; Roest, Christian/0000-0002-3575-4465; Yakar, Derya/0000-0002-4920-9441; Bosma, Joeran S/0000-0002-6315-124X; Huisman, Henkjan/0000-0001-6753-3221</t>
  </si>
  <si>
    <t>0020-9996</t>
  </si>
  <si>
    <t>1536-0210</t>
  </si>
  <si>
    <t>INVEST RADIOL</t>
  </si>
  <si>
    <t>Invest. Radiol.</t>
  </si>
  <si>
    <t>DEC 2024</t>
  </si>
  <si>
    <t>854</t>
  </si>
  <si>
    <t>860</t>
  </si>
  <si>
    <t>10.1097/RLI.0000000000001102</t>
  </si>
  <si>
    <t>http://dx.doi.org/10.1097/RLI.0000000000001102</t>
  </si>
  <si>
    <t>L5F2L</t>
  </si>
  <si>
    <t>39074400</t>
  </si>
  <si>
    <t>WOS:001350965200001</t>
  </si>
  <si>
    <t>Yuan, JJ; Zhao, JF; Wang, RF; Zhao, LM; Wu, FJ; Kang, Q</t>
  </si>
  <si>
    <t>Pediatric intestinal obstruction poses a critical surgical emergency, with unique risks of rapid progression to ischemia, perforation, or sepsis due to immature physiology and limited reserves. In spite of this, advances in computer-aided pediatric intestinal obstruction are stalled by the absence of datasets linking multi-view radiographs with clinical indices. For this reason, multimodal deep models are lacking in this task. It leaves clinicians to rely on single-view networks or heuristics, which often miss subtle transition zones and non-imaging cues. To narrow this gap, we create the first multimodal dataset and first introduce a Multi-View Multimodal Fusion Network for pediatric intestinal obstruction recognition. The network comprises four components: (1) Tri-View Medical Image Feature Fusion module for efficient cross-view feature fusion; (2) Medical Generator, which transforms clinical text into tensor representations semantically aligned with image features; (3) StarDenseNet, a dedicated feature extraction network capturing key diagnostic information; (4) A novel classification head based on hypergraph convolutional network for the sake of modelling higher-order semantic relation via hypergraph structures. Moreover, the dataset created jointly by our team and Children's Hospital of Chongqing Medical University from rare cases within five years plays an assessment role. The proposed method achieves an accuracy of 91.4%, outperforming the strongest rival by 1.2% while using only 3.19M parameters-the lightest model ever reported for this task. Along with this, accuracy of proposed method is as well 3-4% higher than other last multimodal frameworks. Beyond these, sensitivity analysis verifies robustness to imaging and clinical variations. visualisation analysis pinpoints separability and discriminative of features. These confirm the model's diagnostic rationale. Our Code is available at https://github.com/yjjswu/PIOMMF/tree/master.</t>
  </si>
  <si>
    <t>Yuan, Jianjun; Zhao, Jingfeng; Wang, Ruofan; Zhao, Luoming; Wu, Fujun; Kang, Quan</t>
  </si>
  <si>
    <t>Yuan, JJ (corresponding author), Southwest Univ, Coll Artificial Intelligence, Chongqing 400715, Peoples R China.; Kang, Q (corresponding author), Chongqing Med Univ, Childrens Hosp, Dept Gen Surg &amp; Trauma Surg, Chongqing 400015, Peoples R China.; Kang, Q (corresponding author), Natl Clin Res Ctr Children &amp; Adolescents Hlth &amp; Di, Minist Educ Key Lab Child Dev &amp; Disorders, Chongqing 400015, Peoples R China.; Kang, Q (corresponding author), Chongqing Engn Res Ctr Stem Cell Therapy, Chongqing 400015, Peoples R China.</t>
  </si>
  <si>
    <t>jianjuny@sina.com; kq_cqmu@163.com</t>
  </si>
  <si>
    <t>[Yuan, Jianjun; Zhao, Jingfeng; Wang, Ruofan; Zhao, Luoming; Wu, Fujun] Southwest Univ, Coll Artificial Intelligence, Chongqing 400715, Peoples R China; [Kang, Quan] Chongqing Med Univ, Childrens Hosp, Dept Gen Surg &amp; Trauma Surg, Chongqing 400015, Peoples R China; [Kang, Quan] Natl Clin Res Ctr Children &amp; Adolescents Hlth &amp; Di, Minist Educ Key Lab Child Dev &amp; Disorders, Chongqing 400015, Peoples R China; [Kang, Quan] Chongqing Engn Res Ctr Stem Cell Therapy, Chongqing 400015, Peoples R China</t>
  </si>
  <si>
    <t>Southwest University - China; Chongqing Medical University</t>
  </si>
  <si>
    <t>MMFN : A novel multi-view multimodal fusion network for pediatric intestinal obstruction recognition</t>
  </si>
  <si>
    <t>Pediatric intestinal obstruction recognition; Deep multimodal fusion; Cross-view feature fusion; Hypergraph convolutional network</t>
  </si>
  <si>
    <t>BOWEL OBSTRUCTION</t>
  </si>
  <si>
    <t>132</t>
  </si>
  <si>
    <t>104223</t>
  </si>
  <si>
    <t>10.1016/j.inffus.2026.104223</t>
  </si>
  <si>
    <t>http://dx.doi.org/10.1016/j.inffus.2026.104223</t>
  </si>
  <si>
    <t>EA3WY</t>
  </si>
  <si>
    <t>WOS:001696371800001</t>
  </si>
  <si>
    <t>Xue, C; Cao, YC; Mao, JF; Lin, Q; Zhao, ZY; Bai, Y; Liu, CH; Huang, XD</t>
  </si>
  <si>
    <t>Background. Accurate segmentation of lung tumors in PET/CT images is essential for clinical diagnosis and radiotherapy planning. However, the low resolution of PET images, indistinct tumor boundaries, and significant size variability pose challenges to existing methods, particularly in effective multimodal fusion and precise contour delineation. Objective. This study aims to develop a boundary-aware multimodal (BAM) fusion segmentation network to improve the accuracy and robustness of lung tumor segmentation. Methods. We propose a BAM fusion network (BAM-UNet). The network adopts a triple-branch architecture to extract and fuse complementary PET and CT features. BAM-UNet consists of: (1) a multi-scale aggregation module to accommodate tumor scale variability through multi-receptive-field feature aggregation; (2) a multimodal feature fusion module that integrates metabolic and anatomical information using dual attention mechanism; (3) a boundary-guided fusion module that combines explicit semantic guidance with feature refinement to enhance the delineation of ambiguous tumor boundaries; and (4) an adaptive keypoint map generation method based on the genetic algorithm, which provides geometric structural supervision to optimize boundary prediction. Results. experimental evaluations on both our self-collected dataset and the public AutoPET dataset demonstrate that BAM-UNet achieved average dice similarity coefficient scores of 86.73% and 82.80%, respectively. Moreover, the proposed method exhibits superior boundary consistency, as evidenced by improved 95th percentile hausdorff distance (HD95). Conclusions. By leveraging multi-scale learning, effective cross-modal fusion, and boundary-aware supervision, BAM-UNet significantly improves segmentation accuracy and boundary fidelity, demonstrating competitive performance against state-of-the-art lung tumor segmentation methods.</t>
  </si>
  <si>
    <t>Xue, Chen; Cao, Yongchun; Mao, JunFeng; Lin, Qiang; Zhao, Ziyang; Bai, Yang; Liu, Caihong; Huang, Xiaodi</t>
  </si>
  <si>
    <t>Cao, YC (corresponding author), Northwest Minzu Univ, Sch Math &amp; Comp Sci, Lanzhou, Peoples R China.; Cao, YC (corresponding author), Northwest Minzu Univ, Gansu Prov Engn Res Ctr Multimodal Artificial Inte, Lanzhou, Peoples R China.</t>
  </si>
  <si>
    <t>cych33908@xbmu.edu.cn</t>
  </si>
  <si>
    <t>National Natural Science Foundation of China [62362058]; Key R&amp;D Program of Gansu Province [24YFGA048]; Key Talents Program of Gansu Province [2023RCXM56]; Fundamental Research Funds for the Central Universities [31920260097, 31920260137, 31920260001-105, 31920260055, 31920250034]</t>
  </si>
  <si>
    <t>National Natural Science Foundation of China (National Natural Science Foundation of China (NSFC)); Key R&amp;D Program of Gansu Province; Key Talents Program of Gansu Province; Fundamental Research Funds for the Central Universities (Fundamental Research Funds for the Central Universities)</t>
  </si>
  <si>
    <t>This work was supported in part by the National Natural Science Foundation of China (Grant No. 62362058), the Key R&amp;D Program of Gansu Province (Grant No. 24YFGA048), the Key Talents Program of Gansu Province (Grant No. 2023RCXM56), the Fundamental Research Funds for the Central Universities (Grant Nos. 31920260097, 31920260137, 31920260001-105, 31920260055, and 31920250034).</t>
  </si>
  <si>
    <t>[Xue, Chen; Cao, Yongchun; Lin, Qiang; Zhao, Ziyang; Bai, Yang; Liu, Caihong] Northwest Minzu Univ, Sch Math &amp; Comp Sci, Lanzhou, Peoples R China; [Xue, Chen; Cao, Yongchun; Lin, Qiang; Zhao, Ziyang; Bai, Yang; Liu, Caihong] Northwest Minzu Univ, Gansu Prov Engn Res Ctr Multimodal Artificial Inte, Lanzhou, Peoples R China; [Mao, JunFeng] Chinese PeopleS Liberat Army, 940th Hosp Joint Logist Support Force, Dept Nucl Med, Lanzhou, Peoples R China; [Huang, Xiaodi] Charles Sturt Univ, Sch Comp Math &amp; Engn, Albury, Australia</t>
  </si>
  <si>
    <t>Northwest Minzu University; Northwest Minzu University; Charles Sturt University</t>
  </si>
  <si>
    <t>BAM-UNet: boundary-aware multimodal fusion for accurate lung tumor segmentation in PET/CT</t>
  </si>
  <si>
    <t>PHYSICA SCRIPTA</t>
  </si>
  <si>
    <t>PET/CT; lung tumor segmentation; multimodal fusion; boundary awareness; deep supervision</t>
  </si>
  <si>
    <t>IMAGES</t>
  </si>
  <si>
    <t>Huang, Xiaodi/E-9204-2012</t>
  </si>
  <si>
    <t>0031-8949</t>
  </si>
  <si>
    <t>1402-4896</t>
  </si>
  <si>
    <t>PHYS SCRIPTA</t>
  </si>
  <si>
    <t>Phys. Scr.</t>
  </si>
  <si>
    <t>JUN 12 2026</t>
  </si>
  <si>
    <t>101</t>
  </si>
  <si>
    <t>235002</t>
  </si>
  <si>
    <t>10.1088/1402-4896/ae777a</t>
  </si>
  <si>
    <t>http://dx.doi.org/10.1088/1402-4896/ae777a</t>
  </si>
  <si>
    <t>Physics, Multidisciplinary</t>
  </si>
  <si>
    <t>Physics</t>
  </si>
  <si>
    <t>JL7YW</t>
  </si>
  <si>
    <t>WOS:001792361700001</t>
  </si>
  <si>
    <t>Cao, YQ; Jin, XA; Zhao, YN; Zhang, GZ; Ge, WT; Zhou, JB; Liu, YP; Huang, PJ; Zhang, GX; Han, YH</t>
  </si>
  <si>
    <t>Background: Autoimmune gastritis (AIG), a chronic inflammatory disease associated with various comorbidities and complications, is often subject to missed or delayed diagnoses. Aims: The objective of this study was to develop an artificial intelligence (AI) system to assist in the diagnosis of AIG by integrating multimodal information, including endoscopic images, biopsy pathological reports, and laboratory test results. Methods: Multimodal data were collected from 590 patients diagnosed with AIG, H. pylori positive, and H. pylori negative chronic atrophic gastritis at three medical centers. A multimodal AI system was developed to diagnose AIG and other types of chronic gastritis. The performance of the AI system was evaluated using both internal and external datasets. Six endoscopists were invited to perform three-category classification for comparison. The SHapley Additive exPlanations (SHAP) framework and EigenCAM were used to improve the interpretability of the AI system. Results: The proposed multimodal AI system achieved a sensitivity of 0.931, specificity of 0.963, and accuracy of 0.954, significantly outperforming unimodal models (all P &lt; 0.001) and the best-performing invited expert endoscopist under controlled conditions. SHAP analysis indicated that the three modalities provided complementary and synergistic information. Conclusion: This multimodal AI system has the potential to enable practical AI-assisted diagnosis of AIG with exceptional accuracy.</t>
  </si>
  <si>
    <t>Cao, Yuqi; Jin, Xinao; Zhao, Yining; Zhang, Gangzhi; Ge, Weiting; Zhou, Jianbo; Liu, Yongpan; Huang, Pingjie; Zhang, Guangxin; Han, Yuehua</t>
  </si>
  <si>
    <t>Zhang, GX (corresponding author), Coll control Sci &amp; Engn, 38 Zheda Rd, Hangzhou, Zhejiang, Peoples R China.; Han, YH (corresponding author), Zhejiang Univ, Affiliated Hosp 2, Sch Med, 88 Jiefang Rd, Hangzhou, Zhejiang, Peoples R China.</t>
  </si>
  <si>
    <t>gxzhang@zju.edu.cn; hanyaohua@zju.edu.cn</t>
  </si>
  <si>
    <t>[Cao, Yuqi; Jin, Xinao; Zhao, Yining; Huang, Pingjie; Zhang, Guangxin] Zhejiang Univ, Coll Control Sci &amp; Engn, State Key Lab Ind Control Technol, Hangzhou 310027, Peoples R China; [Cao, Yuqi] Guilin Univ Aerosp Technol, Guangxi Key Lab Special Engn Equipment &amp; Control, Guilin 541004, Peoples R China; [Zhang, Gangzhi; Han, Yuehua] Zhejiang Univ, Affiliated Hosp 2, Dept Gastroenterol, Sch Med, Hangzhou 310000, Peoples R China; [Ge, Weiting] Zhejiang Univ, Affiliated Hosp 2, Ctr Basic &amp; Translat Res,China Natl Minist Educ, Key Lab Canc &amp; Intervent,Sch Med, Hangzhou 310000, Peoples R China; [Ge, Weiting] Minist Educ, Ctr Med Res &amp; Innovat Digest Syst Tumors, Hangzhou 310000, Peoples R China; [Zhou, Jianbo] Ningbo Univ, Affiliated Yangming Hosp, Ningbo 315400, Peoples R China; [Liu, Yongpan] Zhejiang Chinese Med Univ, Affiliated Hosp 2, Hangzhou 310005, Peoples R China</t>
  </si>
  <si>
    <t>Zhejiang University; Guilin University of Aerospace Technology; Zhejiang University; Zhejiang University; Ningbo University; Zhejiang Chinese Medical University</t>
  </si>
  <si>
    <t>A multimodal artificial intelligence method for accurate diagnosis of autoimmune gastritis</t>
  </si>
  <si>
    <t>DIGESTIVE AND LIVER DISEASE</t>
  </si>
  <si>
    <t>Autoimmune gastritis identification; Deep learning; Multimodal feature fusion; Model interpretability</t>
  </si>
  <si>
    <t>101 Park Avenue, 24th Floor, NEW YORK, NY, UNITED STATES</t>
  </si>
  <si>
    <t>1590-8658</t>
  </si>
  <si>
    <t>1878-3562</t>
  </si>
  <si>
    <t>DIGEST LIVER DIS</t>
  </si>
  <si>
    <t>Dig. Liver Dis.</t>
  </si>
  <si>
    <t>58</t>
  </si>
  <si>
    <t>1156</t>
  </si>
  <si>
    <t>1164</t>
  </si>
  <si>
    <t>10.1016/j.dld.2026.07.005</t>
  </si>
  <si>
    <t>http://dx.doi.org/10.1016/j.dld.2026.07.005</t>
  </si>
  <si>
    <t>Gastroenterology &amp; Hepatology</t>
  </si>
  <si>
    <t>MU9SF</t>
  </si>
  <si>
    <t>42527225</t>
  </si>
  <si>
    <t>WOS:001851497600001</t>
  </si>
  <si>
    <t>Zhu, CY; Wang, JR; Zhang, LL; Liang, J; Su, QX; Li, BH</t>
  </si>
  <si>
    <t>Multimodal semantic segmentation with RGB and Thermal (RGB-T) inputs is critical for robust aerial robotic perception, yet existing methods face challenges in effectively adapting pretrained representations and balancing complementary cues under variable illumination. To overcome these challenges, we introduce segment anything guided multimodal fusion network (SAM-FuseNet), a novel RGB-T framework that leverages modality-specific encoders built on the segment anything model 2 (SAM2) vision transformer (ViT) backbone, enhanced with low-rank adaptation (LoRA) modules for efficient modality-specific fine-tuning without full model retraining. Cross-modal fusion is achieved via a pixel-wise spatial attention mechanism combined with channel recalibration, allowing adaptive weighting of contributions from each modality. A dual-pathway segmentation head further improves prediction quality: the first pathway progressively refines coarse-to-fine masks under SAM2 guidance, while the second pathway performs hierarchical feature fusion to capture long-range contextual information. Extensive experiments on the Caltech RGB-T and PST900 benchmarks demonstrate the effectiveness of SAM-FuseNet, achieving improvements of up to 3.93% in mean intersection-over-union (mIoU) while reducing the trained model parameters by more than 50%. Qualitative results further demonstrate sharper boundaries, robustness under underexposed conditions, and resilience to modality degradation.</t>
  </si>
  <si>
    <t>Zhu, Chenyang; Wang, Jierui; Zhang, Lanlan; Liang, Jia; Su, Qianxiao; Li, Baihua</t>
  </si>
  <si>
    <t>Zhu, CY (corresponding author), Changzhou Univ, Sch Comp Sci &amp; Artificial Intelligence, Changzhou 213000, Peoples R China.</t>
  </si>
  <si>
    <t>zcy@cczu.edu.cn</t>
  </si>
  <si>
    <t>China National Petroleum Corporation (CNPC) Innovation Fund [2024DQ02-0501]; Royal Society [IECNSFC233444]; Intelligent Manufacturing Longcheng Laboratory [CJ20254004]; Postgraduate Research and Practice Innovation Project of Jiangsu Province [KYCX253385]; Youth Science and Technology Talent Promotion Project of Jiangsu Province [JSTJ-2025-137]</t>
  </si>
  <si>
    <t>China National Petroleum Corporation (CNPC) Innovation Fund; Royal Society (Royal Society UK); Intelligent Manufacturing Longcheng Laboratory; Postgraduate Research and Practice Innovation Project of Jiangsu Province; Youth Science and Technology Talent Promotion Project of Jiangsu Province</t>
  </si>
  <si>
    <t>This work was supported in partby the China National Petroleum Corporation (CNPC) Innovation Fund under Grant 2024DQ02-0501, in part by the Royal Society under Grant IECNSFC233444, in part by the Intelligent Manufacturing Longcheng Laboratory under Grant CJ20254004, in part by the Postgraduate Research and Practice Innovation Project of Jiangsu Province under Grant KYCX253385,and in part by the Youth Science and Technology Talent Promotion Project of Jiangsu Province under Grant JSTJ-2025-137.</t>
  </si>
  <si>
    <t>[Zhu, Chenyang; Wang, Jierui; Zhang, Lanlan] Changzhou Univ, Sch Comp Sci &amp; Artificial Intelligence, Changzhou 213000, Peoples R China; [Liang, Jia; Su, Qianxiao] Res Inst Petr Explorat &amp; Dev, Beijing 100083, Peoples R China; [Li, Baihua] Loughborough Univ, Dept Comp Sci, Loughborough LE11 3TU, England</t>
  </si>
  <si>
    <t>Changzhou University; Loughborough University</t>
  </si>
  <si>
    <t>SAM-FuseNet: Segment Anything Guided Multimodal Fusion for RGBThermal Aerial Robotic Perception</t>
  </si>
  <si>
    <t>IEEE TRANSACTIONS ON GEOSCIENCE AND REMOTE SENSING</t>
  </si>
  <si>
    <t>Semantic segmentation; Adaptation models; Transformers; Robustness; Sensors; Image segmentation; Decoding; Robot sensing systems; Benchmark testing; Accuracy; Aerial robotics; multimodal semantic segmentation; RGB-thermal (RGB-T); segment anything model (SAM)</t>
  </si>
  <si>
    <t>41</t>
  </si>
  <si>
    <t>0196-2892</t>
  </si>
  <si>
    <t>1558-0644</t>
  </si>
  <si>
    <t>IEEE T GEOSCI REMOTE</t>
  </si>
  <si>
    <t>IEEE Trans. Geosci. Remote Sensing</t>
  </si>
  <si>
    <t>64</t>
  </si>
  <si>
    <t>5000212</t>
  </si>
  <si>
    <t>10.1109/TGRS.2025.3648127</t>
  </si>
  <si>
    <t>http://dx.doi.org/10.1109/TGRS.2025.3648127</t>
  </si>
  <si>
    <t>Geochemistry &amp; Geophysics; Engineering, Electrical &amp; Electronic; Remote Sensing; Imaging Science &amp; Photographic Technology</t>
  </si>
  <si>
    <t>Geochemistry &amp; Geophysics; Engineering; Remote Sensing; Imaging Science &amp; Photographic Technology</t>
  </si>
  <si>
    <t>AS4ZY</t>
  </si>
  <si>
    <t>WOS:001655702700007</t>
  </si>
  <si>
    <t>Zhang, H; Guo, XW; Gu, L; Lei, ZY; Omura, M; Gao, SC</t>
  </si>
  <si>
    <t>This study leverages multimodal deep learning to predict the efficacy of salvage chemoradiotherapy for esophageal squamous cell carcinoma. The target patients are those with regional lymph node recurrence after curative resection. Predicting efficacy is challenging due to limited data and the reliance on manual feature selection. Integrating multimodal data and optimising its utilisation can significantly support treatment prediction. However, there is little research on fully integrating multimodal data. To address this, we conduct a retrospective study and design a multimodal architecture to process patient data, including images, text, and tabular features. The model employs attention mechanisms and Fourier transform paths for seamless feature fusion. Our comparative analysis shows significant performance improvements with multimodal data, achieving an average precision, recall, and F1-score of 91.96%, 91.18%, and 90.86%, with best scores of 97.20%, 97.10%, and 97.00%.</t>
  </si>
  <si>
    <t>Zhang, Han; Guo, Xinwei; Gu, Liang; Lei, Zhenyu; Omura, Masaaki; Gao, Shangce</t>
  </si>
  <si>
    <t>Gao, SC (corresponding author), Univ Toyama, Fac Engn, Toyama, Japan.</t>
  </si>
  <si>
    <t>26820563@qq.com; momura@eng.u-toyama.ac.jp; gaosc@eng.u-toyama.ac.jp; guoxinwei66688@163.com; zhanghancora@126.com; leizg@eng.u-toyama.ac.jp</t>
  </si>
  <si>
    <t>Japan Society for the Promotion of Science (JSPS) KAKENHI [JP23K24899]; Japan Science and Technology Agency (JST) [JPMJSP2145]; Special Scientific Research Project for Doctor of Taixing People's Hospital [trybs2021004]; Philosophy and Social Science Research of Jiangsu Higher Education Institutions of China [2024SJYB1719]</t>
  </si>
  <si>
    <t>Japan Society for the Promotion of Science (JSPS) KAKENHI (Ministry of Education, Culture, Sports, Science and Technology, Japan (MEXT), Japan Society for the Promotion of Science, Grants-in-Aid for Scientific Research (KAKENHI)); Japan Science and Technology Agency (JST) (Japan Science &amp; Technology Agency (JST)); Special Scientific Research Project for Doctor of Taixing People's Hospital; Philosophy and Social Science Research of Jiangsu Higher Education Institutions of China</t>
  </si>
  <si>
    <t>This research was partially supported by the Japan Society for the Promotion of Science (JSPS) KAKENHI under Grant JP23K24899, Japan Science and Technology Agency (JST) Support for Pioneering Research Initiated by the Next Generation (SPRING) under Grant JPMJSP2145, Special Scientific Research Project for Doctor of Taixing People's Hospital (trybs2021004), and Philosophy and Social Science Research of Jiangsu Higher Education Institutions of China (2024SJYB1719).</t>
  </si>
  <si>
    <t>[Zhang, Han; Lei, Zhenyu; Omura, Masaaki; Gao, Shangce] Univ Toyama, Fac Engn, Toyama, Japan; [Zhang, Han] Nanjing Normal Univ, Taizhou Coll, Taizhou, Peoples R China; [Guo, Xinwei] Yangzhou Univ, Affiliated Taixing Peoples Hosp, Dept Radiat Oncol, Taixing, Peoples R China</t>
  </si>
  <si>
    <t>University of Toyama; Nanjing Normal University; Yangzhou University</t>
  </si>
  <si>
    <t>𝒟afVBM: multimodal deep learning for predicting efficacy of salvage chemoradiotherapy</t>
  </si>
  <si>
    <t>INTERNATIONAL JOURNAL OF BIO-INSPIRED COMPUTATION</t>
  </si>
  <si>
    <t>multimodal model; feature fusion; efficacy prediction</t>
  </si>
  <si>
    <t>guo, 郭信伟/HRB-2008-2023; GAO, Shangce/I-3422-2012; Lei, Zhenyu/AAW-4905-2021; Omura, Masaaki/ABE-9601-2021</t>
  </si>
  <si>
    <t>INDERSCIENCE ENTERPRISES LTD</t>
  </si>
  <si>
    <t>GENEVA</t>
  </si>
  <si>
    <t>WORLD TRADE CENTER BLDG, 29 ROUTE DE PRE-BOIS, CASE POSTALE 856, CH-1215 GENEVA, SWITZERLAND</t>
  </si>
  <si>
    <t>1758-0366</t>
  </si>
  <si>
    <t>1758-0374</t>
  </si>
  <si>
    <t>INT J BIO-INSPIR COM</t>
  </si>
  <si>
    <t>Int. J. Bio-Inspired Comput..</t>
  </si>
  <si>
    <t>181</t>
  </si>
  <si>
    <t>192</t>
  </si>
  <si>
    <t>10.1504/IJBIC.2025.149561</t>
  </si>
  <si>
    <t>http://dx.doi.org/10.1504/IJBIC.2025.149561</t>
  </si>
  <si>
    <t>9OM7T</t>
  </si>
  <si>
    <t>WOS:001611250500001</t>
  </si>
  <si>
    <t>Tang, L; Shen, CC</t>
  </si>
  <si>
    <t>Introduction Artificial Intelligence (AI) has transformed medical diagnostics, offering enhanced precision and efficiency in detecting cardiovascular risks. However, traditional diagnostic approaches for cardiovascular risk assessment in autistic patients remain limited due to the complexity of medical data, inter-individual variability, and the challenges of integrating multi-modal clinical information. Conventional methods, relying heavily on manually extracted features and rule-based analysis, often fail to capture subtle cardiovascular abnormalities, leading to suboptimal clinical outcomes.Methods To address these limitations, we propose an AI-driven object detection framework that leverages advanced deep learning techniques for automated, accurate cardiovascular risk assessment in autistic patients. Our approach integrates multi-modal medical data, including imaging and electronic health records, through a novel feature fusion mechanism, enhancing diagnostic precision. Furthermore, an uncertainty quantification module is embedded to improve model interpretability and reliability, addressing concerns regarding AI-based medical decision-making.Results Experimental evaluations demonstrate that our method significantly outperforms traditional diagnostic techniques in sensitivity and specificity, making it a robust tool for clinical applications.Discussion The proposed framework represents a significant step towards personalized and data-driven cardiovascular care for autistic patients, aligning with the need for tailored diagnostic solutions in this specialized medical domain.</t>
  </si>
  <si>
    <t>Tang, Ling; Shen, Chengchao</t>
  </si>
  <si>
    <t>Tang, L (corresponding author), East China Univ Polit Sci &amp; Law, Shanghai, Peoples R China.</t>
  </si>
  <si>
    <t>bradeyeduwar@hotmail.com</t>
  </si>
  <si>
    <t>The author(s) declare that no financial support was received for the research and/or publication of this article.</t>
  </si>
  <si>
    <t>[Tang, Ling] East China Univ Polit Sci &amp; Law, Shanghai, Peoples R China; [Shen, Chengchao] Sun Yat Sen Univ, Canc Ctr, Dept Pathol, Guangzhou, Guangdong, Peoples R China</t>
  </si>
  <si>
    <t>East China University Political Science &amp; Law; Sun Yat Sen University</t>
  </si>
  <si>
    <t>Multimodal AI-driven object detection with uncertainty quantification for cardiovascular risk assessment in autistic patients</t>
  </si>
  <si>
    <t>FRONTIERS IN CARDIOVASCULAR MEDICINE</t>
  </si>
  <si>
    <t>AI-driven diagnostics; cardiovascular risk assessment; object detection; multi-modal data fusion; uncertainty quantification</t>
  </si>
  <si>
    <t>2297-055X</t>
  </si>
  <si>
    <t>FRONT CARDIOVASC MED</t>
  </si>
  <si>
    <t>Front. Cardiovasc. Med.</t>
  </si>
  <si>
    <t>AUG 6 2025</t>
  </si>
  <si>
    <t>1606159</t>
  </si>
  <si>
    <t>10.3389/fcvm.2025.1606159</t>
  </si>
  <si>
    <t>http://dx.doi.org/10.3389/fcvm.2025.1606159</t>
  </si>
  <si>
    <t>Cardiac &amp; Cardiovascular Systems</t>
  </si>
  <si>
    <t>Cardiovascular System &amp; Cardiology</t>
  </si>
  <si>
    <t>6GZ4K</t>
  </si>
  <si>
    <t>40842474</t>
  </si>
  <si>
    <t>WOS:001553133900001</t>
  </si>
  <si>
    <t>Lee, TW; Teisseyre, P; Lee, JS</t>
  </si>
  <si>
    <t>An enormous ripple effect can occur in financial data mining if it accurately predicts stock prices. However, predicting stock prices using only stock price data is difficult because of the random nature of stock price data. This paper attempts to fuse data to solve the stock price prediction problem. The following data affecting the stock price are added to the proposed method as an additional modality: macroeconomic indicators and the months and day of the week. The multimodal early fusion method is used, which learns the intermodality correlation of features. The proposed model in this paper outperformed the comparison models and achieved statistically significant results. Specifically, 27 out of 50 stocks achieved higher classification accuracy than the comparative model. In addition, the in-depth analysis indicates that the early fusion strategy achieved better classification accuracy in 30 of 50 datasets than the late fusion strategy for stock price prediction.</t>
  </si>
  <si>
    <t>Lee, Tae-Won; Teisseyre, Pawel; Lee, Jaesung</t>
  </si>
  <si>
    <t>Lee, JS (corresponding author), Chung Ang Univ, Dept Artificial Intelligence, Seoul 06974, South Korea.; Lee, JS (corresponding author), Chung Ang Univ, AI ML Innovat Res Ctr, Seoul 06974, South Korea.</t>
  </si>
  <si>
    <t>curseor@cau.ac.kr</t>
  </si>
  <si>
    <t>Institute of Information &amp; communications Technology Planning &amp; Evaluation (IITP) - Korea government(MSIT) [2021-0-01341]</t>
  </si>
  <si>
    <t>Institute of Information &amp; communications Technology Planning &amp; Evaluation (IITP) - Korea government(MSIT) (Institute for Information &amp; Communication Technology Planning &amp; Evaluation (IITP), Republic of Korea)</t>
  </si>
  <si>
    <t>This work was supported by Institute of Information &amp; communications Technology Planning &amp; Evaluation (IITP) grant funded by the Korea government(MSIT) (2021-0-01341,Artificial Intelligence Graduate School Program(Chung-Ang University)).</t>
  </si>
  <si>
    <t>[Lee, Tae-Won; Lee, Jaesung] Chung Ang Univ, Dept Artificial Intelligence, Seoul 06974, South Korea; [Teisseyre, Pawel] Polish Acad Sci, Inst Comp Sci, PL-00901 Warsaw, Poland; [Teisseyre, Pawel] Warsaw Univ Technol, Fac Math &amp; Informat Sci, PL-00661 Warsaw, Poland; [Lee, Jaesung] Chung Ang Univ, AI ML Innovat Res Ctr, Seoul 06974, South Korea</t>
  </si>
  <si>
    <t>Chung Ang University; Polish Academy of Sciences; Institute of Computer Science of the Polish Academy of Sciences; Warsaw University of Technology; Chung Ang University</t>
  </si>
  <si>
    <t>Effective Exploitation of Macroeconomic Indicators for Stock Direction Classification Using the Multimodal Fusion Transformer</t>
  </si>
  <si>
    <t>Hidden Markov models; Transformers; Predictive models; Macroeconomics; Correlation; Stock markets; Feature extraction; Stock price prediction; multimodal learning; information fusion; macroeconomic data; technical indicator</t>
  </si>
  <si>
    <t>MARKET PREDICTION</t>
  </si>
  <si>
    <t>50</t>
  </si>
  <si>
    <t>10275</t>
  </si>
  <si>
    <t>10287</t>
  </si>
  <si>
    <t>10.1109/ACCESS.2023.3240422</t>
  </si>
  <si>
    <t>http://dx.doi.org/10.1109/ACCESS.2023.3240422</t>
  </si>
  <si>
    <t>8R4UN</t>
  </si>
  <si>
    <t>WOS:000927891500001</t>
  </si>
  <si>
    <t>Xu, X; Wu, XW; Zhang, HW; Ma, K</t>
  </si>
  <si>
    <t>Automatic medical image report generation requires both accurate visual recognition and professional medical language expression. However, existing approaches often suffer from insufficient image-text semantic alignment or a lack of domain-specific language modeling. To address these limitations, we propose SGIC, a multimodal image captioning model that integrates Swin Transformer, ClinicalBERT, and a gated decoder. The model leverages the hierarchical shifted-window attention mechanism of Swin Transformer to extract fine-grained visual representations, incorporates ClinicalBERT for medical semantic modeling, and employs a gating mechanism to dynamically regulate the fusion of visual and linguistic information, thereby achieving more effective cross-modal alignment and more medically accurate text generation. Experiments on the ROCO dataset demonstrate the effectiveness of SGIC, showing significant improvements over several competitive baselines in BLEU-4, ROUGE-L, METEOR, and CIDEr, with BLEU-4 reaching 0.242 and ROUGE-L 0.401. The results demonstrate that SGIC not only improves automatic medical image captioning performance and shows potential in generating more coherent and medically relevant descriptions, but also validates the potential of Swin Transformer for medical image captioning, offering new insights into cross-modal fusion and the development of medically oriented automated reporting systems.</t>
  </si>
  <si>
    <t>Xu, Xiang; Wu, Xiuwen; Zhang, Hongwei; Ma, Kai</t>
  </si>
  <si>
    <t>Ma, K (corresponding author), Xuzhou Med Univ, Sch Med Informat &amp; Engn, Xuzhou, Jiangsu, Peoples R China.</t>
  </si>
  <si>
    <t>cumtbmakai@126.com</t>
  </si>
  <si>
    <t>Xuzhou Municipal Science and Technology Bureau under the Xuzhou Science and Technology Program [KC21308]</t>
  </si>
  <si>
    <t>Xuzhou Municipal Science and Technology Bureau under the Xuzhou Science and Technology Program</t>
  </si>
  <si>
    <t>Funding This research was supported by the Xuzhou Municipal Science and Technology Bureau under the Xuzhou Science and Technology Program (Grant No. KC21308) .</t>
  </si>
  <si>
    <t>[Xu, Xiang; Wu, Xiuwen; Zhang, Hongwei; Ma, Kai] Xuzhou Med Univ, Sch Med Informat &amp; Engn, Xuzhou, Jiangsu, Peoples R China</t>
  </si>
  <si>
    <t>Xuzhou Medical University</t>
  </si>
  <si>
    <t>Medical image captioning with Swin Transformer and ClinicalBERT via gated multimodal fusion</t>
  </si>
  <si>
    <t>APPLIED SOFT COMPUTING</t>
  </si>
  <si>
    <t>Medical Image Report Generation; Multimodal Learning; Swin Transformer; ClinicalBERT; Gating Mechanism</t>
  </si>
  <si>
    <t>1568-4946</t>
  </si>
  <si>
    <t>1872-9681</t>
  </si>
  <si>
    <t>APPL SOFT COMPUT</t>
  </si>
  <si>
    <t>Appl. Soft. Comput.</t>
  </si>
  <si>
    <t>C</t>
  </si>
  <si>
    <t>115731</t>
  </si>
  <si>
    <t>10.1016/j.asoc.2026.115731</t>
  </si>
  <si>
    <t>http://dx.doi.org/10.1016/j.asoc.2026.115731</t>
  </si>
  <si>
    <t>JX8QW</t>
  </si>
  <si>
    <t>WOS:001800550600001</t>
  </si>
  <si>
    <t>Yin, SL; Wang, QM; Wang, LG; Ivanovic, M; Li, H</t>
  </si>
  <si>
    <t>Object detection is an important computer vision task, which is developed from image classification task. The difference is that it is no longer only to classify a single type of object in an image, but to complete the classification and positioning of multiple objects that may exist in an image at the same time. Classification refers to assigning category labels to the object, and positioning refers to determining the vertex coordinates of the peripheral rectangular box of the object. Therefore, object detection is more challenging and has broader application prospects, such as automatic driving, face recognition, pedestrian detection, medical detection etc,. Object detection can also be used as the research basis for more complex computer vision task such as image segmentation, image description, object tracking and action recognition. In traditional object detection, the feature utilization rate is low and it is easy to be affected by other environmental factors. Hence, this paper proposes a multimodal deep learning-based feature fusion for object detection in remote sensing images. In the new model, cascade RCNN is the backbone network. Parallel cascade RCNN network is utilized for feature fusion to enhance feature expression ability. In order to solve the problem of different segmentation shapes and sizes, the central part of the network adopts multi-coefficient cascaded hollow convolution to obtain multi-receptive field features without using pooling mode and preserving image information. Meanwhile, an improved self- attention combined receptive field strategy is used to obtain both low-level features with marginal details and high-level features with global semantics. Finally, we conduct experiments on DOTA set including ablation experiments and comparison experiments. The experimental results show that the mean Average Precision (mAP) and other indexes have been greatly improved, and its performance is better than the state-of-the-art detection algorithms. It has a good application prospect in the remote sensing image object detection task.</t>
  </si>
  <si>
    <t>Yin, Shoulin; Wang, Qunming; Wang, Liguo; Ivanovic, Mirjana; Li, Hang</t>
  </si>
  <si>
    <t>Wang, LG (corresponding author), Dalian Minzu Univ, Coll Informat &amp; Commun Engn, Dalian 116600, Peoples R China.</t>
  </si>
  <si>
    <t>wangliguo@hrbeu.edu.cn; yslin@synu.edu.cn; mira@dmi.uns.ac.rs; lihang@synu.edu.cn</t>
  </si>
  <si>
    <t>Liaoning Province science and technology plan joint project</t>
  </si>
  <si>
    <t>Acknowledgments. This work was supported by the Liaoning Province science and technology plan joint project. Project name "Research on key technologies of object recognition and interpre-tation in high resolution remote sensing images under complex scenes".</t>
  </si>
  <si>
    <t>[Yin, Shoulin] Harbin Engn Univ, Coll Informat &amp; Commun Engn, Harbin 150001, Peoples R China; [Wang, Qunming] Tongji Univ, Coll Surveying &amp; Geoinformat, Shanghai, Peoples R China; [Wang, Liguo] Dalian Minzu Univ, Coll Informat &amp; Commun Engn, Dalian 116600, Peoples R China; [Ivanovic, Mirjana] Univ Novi Sad, Fac Sci, Novi Sad, Serbia; [Li, Hang] Shenyang Normal Univ, Software Coll, Shenyang 110034, Peoples R China</t>
  </si>
  <si>
    <t>Harbin Engineering University; Tongji University; Dalian Minzu University; University of Novi Sad; Shenyang Normal University</t>
  </si>
  <si>
    <t>Multimodal Deep Learning-based Feature Fusion for Object Detection in Remote Sensing Images</t>
  </si>
  <si>
    <t>COMPUTER SCIENCE AND INFORMATION SYSTEMS</t>
  </si>
  <si>
    <t>Object detection; remote sensing image; multimodal deep learning; feature fusion</t>
  </si>
  <si>
    <t>TRACKING; VIDEO</t>
  </si>
  <si>
    <t>Ivanovic, Mirjana/AAE-7711-2020; Yin, Shoulin/AAQ-6430-2021</t>
  </si>
  <si>
    <t>Ivanovic, Mirjana/0000-0003-1946-0384</t>
  </si>
  <si>
    <t>COMSIS CONSORTIUM</t>
  </si>
  <si>
    <t>NOVI SAD</t>
  </si>
  <si>
    <t>UNIV NOVI SAD, FAC TECH SCI, TRG DOSITEJA OBRADOVICA 6, NOVI SAD, 21000, SERBIA</t>
  </si>
  <si>
    <t>1820-0214</t>
  </si>
  <si>
    <t>2406-1018</t>
  </si>
  <si>
    <t>COMPUT SCI INF SYST</t>
  </si>
  <si>
    <t>Comput. Sci. Inf. Syst.</t>
  </si>
  <si>
    <t>327</t>
  </si>
  <si>
    <t>344</t>
  </si>
  <si>
    <t>10.2298/CSIS241110011Y</t>
  </si>
  <si>
    <t>http://dx.doi.org/10.2298/CSIS241110011Y</t>
  </si>
  <si>
    <t>Computer Science, Information Systems; Computer Science, Software Engineering</t>
  </si>
  <si>
    <t>Y0T1E</t>
  </si>
  <si>
    <t>WOS:001429349700016</t>
  </si>
  <si>
    <t>Wang, HY; Chen, E; Pan, LQ; Wu, XF; Zhang, SY; Lin, L; Sun, Y; Lu, LJ; Ouyang, W</t>
  </si>
  <si>
    <t>Background Patients with differentiated thyroid cancer (DTC) treated with radioactive iodine (RAI) remain at risk of adverse outcomes. Early prediction of RAI efficacy is critical for optimizing clinical management. Purpose To develop a model integrating Single Photon Emission Computed Tomography (SPECT) radiomic features and clinical variables for predicting the therapeutic efficacy of 131I treatment in patients with DTC. Materials and Method The SPECT images and clinical data from 311 patients were included in this study. A total of 1,688 radiomic features were extracted from SPECT images. We investigated the diagnostic performance of 30 cross-combined models. Radiomic features were then combined with clinical parameters using early-fusion and late-fusion strategies. To further enhance predictive performance, an input sequence reflecting the selected features and the prediction task was designed and fed into a selected Large Language Model (LLM), which was fine-tuned using low-rank adaptation to optimize fused feature representations. Model performance was evaluated using accuracy (Acc), sensitivity (Sens), positive predictive value (PPV), F1-score, and the area under the curve (AUC). Results The Relief-F + random forest radiomic model achieved the highest AUC (0.69). Multimodal models combining radiomics with clinical features outperformed clinical-only models, demonstrating the added predictive value of radiomics. The final LLM-enhanced multimodal model achieved the best performance, with an AUC of 0.85 and notable improvements in sensitivity and F1-score. Conclusions The proposed multimodal framework provides accurate early prediction of RAI therapeutic response in DTC and holds promise for improving individualized treatment planning and follow-up strategies.</t>
  </si>
  <si>
    <t>Wang, Hangyu; Chen, Erhao; Pan, Liqin; Wu, Xiaofeng; Zhang, Songyi; Lin, Li; Sun, Ying; Lu, Lijun; Ouyang, Wei</t>
  </si>
  <si>
    <t>Sun, Y; Lu, LJ (corresponding author), Southern Med Univ, Sch Biomed Engn, 1023 Shatai Rd, Guangzhou 510515, Peoples R China.; Sun, Y; Lu, LJ (corresponding author), Southern Med Univ, Sch Biomed Engn, 1023 Shatai Rd, Guangzhou 510515, Peoples R China.; Sun, Y; Lu, LJ (corresponding author), Southern Med Univ, Guangdong Prov Key Lab Med Image Proc, 1023 Shatai Rd, Guangzhou 510515, Peoples R China.; Sun, Y; Lu, LJ (corresponding author), Southern Med Univ, Guangdong Prov Engn Lab Med Imaging &amp; Diagnost Tec, 1023 Shatai Rd, Guangzhou 510515, Peoples R China.; Ouyang, W (corresponding author), Southern Med Univ, Zhujiang Hosp, Guangzhou 510220, Peoples R China.; Lin, L; Sun, Y (corresponding author), Sun Yat Sen Univ, Guangdong Prov Clin Res Ctr Canc, State Key Lab Oncol South China,Canc Ctr, Guangdong Key Lab Nasopharyngeal Carcinoma Diag &amp;, Guangzhou 510060, Peoples R China.; Lin, L; Sun, Y (corresponding author), Sun Yat Sen Univ, Canc Ctr, Dept Radiat Oncol, Guangzhou, Peoples R China.; Ouyang, W (corresponding author), Southern Med Univ, Zhujiang Hosp, Dept Nucl Med, Guangzhou, Peoples R China.</t>
  </si>
  <si>
    <t>linli@sysucc.org.cn; sunying@sysucc.org.cn; oyw1963@sina.com; ljlubme@gmail.com</t>
  </si>
  <si>
    <t>Natural Science Foundation of Guangdong Province [20251515011778]</t>
  </si>
  <si>
    <t>Natural Science Foundation of Guangdong Province (National Natural Science Foundation of Guangdong Province)</t>
  </si>
  <si>
    <t>This research was funded by the Guangdong Provincial Natural Science Foundation - General Program (20251515011778).</t>
  </si>
  <si>
    <t>[Wang, Hangyu; Wu, Xiaofeng; Zhang, Songyi; Sun, Ying; Lu, Lijun] Southern Med Univ, Sch Biomed Engn, 1023 Shatai Rd, Guangzhou 510515, Peoples R China; [Wang, Hangyu; Wu, Xiaofeng; Zhang, Songyi; Sun, Ying; Lu, Lijun] Southern Med Univ, Sch Biomed Engn, 1023 Shatai Rd, Guangzhou 510515, Peoples R China; [Wang, Hangyu; Wu, Xiaofeng; Zhang, Songyi; Sun, Ying; Lu, Lijun] Southern Med Univ, Guangdong Prov Key Lab Med Image Proc, 1023 Shatai Rd, Guangzhou 510515, Peoples R China; [Wang, Hangyu; Wu, Xiaofeng; Zhang, Songyi; Sun, Ying; Lu, Lijun] Southern Med Univ, Guangdong Prov Engn Lab Med Imaging &amp; Diagnost Tec, 1023 Shatai Rd, Guangzhou 510515, Peoples R China; [Zhang, Songyi] Shenzhen Peoples Hosp, 1017 Dongmen North Rd, Shenzhen 518020, Guangdong, Peoples R China; [Chen, Erhao; Pan, Liqin; Ouyang, Wei] Southern Med Univ, Zhujiang Hosp, Guangzhou 510220, Peoples R China; [Lin, Li; Sun, Ying] Sun Yat Sen Univ, Guangdong Prov Clin Res Ctr Canc, State Key Lab Oncol South China,Canc Ctr, Guangdong Key Lab Nasopharyngeal Carcinoma Diag &amp;, Guangzhou 510060, Peoples R China; [Lin, Li; Sun, Ying] Sun Yat Sen Univ, Canc Ctr, Dept Radiat Oncol, Guangzhou, Peoples R China; [Ouyang, Wei] Southern Med Univ, Zhujiang Hosp, Dept Nucl Med, Guangzhou, Peoples R China</t>
  </si>
  <si>
    <t>Southern Medical University - China; Southern Medical University - China; Southern Medical University - China; Southern Medical University - China; Jinan University; Southern Medical University - China; Sun Yat Sen University; State Key Lab Oncology South China; Sun Yat Sen University; Southern Medical University - China</t>
  </si>
  <si>
    <t>LLM-Enhanced Multimodal Fusion of SPECT Radiomics and Clinical Data for Predicting 131I Therapeutic Response in Differentiated Thyroid Cancer</t>
  </si>
  <si>
    <t>MOLECULAR IMAGING AND BIOLOGY</t>
  </si>
  <si>
    <t>Single Photon Emission Computed Tomography images; I treatment; Differentiated thyroid Cancer: Radiomics; Large Language Model</t>
  </si>
  <si>
    <t>ASSOCIATION MANAGEMENT GUIDELINES; I-131 SPECT/CT; PROGNOSTIC VALUE; ADULT PATIENTS; THYROGLOBULIN; PARAMETERS; ABLATION; REMNANT; SYSTEM</t>
  </si>
  <si>
    <t>1536-1632</t>
  </si>
  <si>
    <t>1860-2002</t>
  </si>
  <si>
    <t>MOL IMAGING BIOL</t>
  </si>
  <si>
    <t>Mol. Imaging. Biol.</t>
  </si>
  <si>
    <t>10.1007/s11307-026-02114-8</t>
  </si>
  <si>
    <t>http://dx.doi.org/10.1007/s11307-026-02114-8</t>
  </si>
  <si>
    <t>KT7UW</t>
  </si>
  <si>
    <t>42420643</t>
  </si>
  <si>
    <t>WOS:001815412200001</t>
  </si>
  <si>
    <t>Zhang, LY; Zhang, S; Zhang, X; Zhao, YF</t>
  </si>
  <si>
    <t>In recent years, artificial intelligence (AI) has increasingly utilized speech and video signals for emotion recognition, facial recognition, and depression detection, playing a crucial role in mental health assessment. However, the AI-driven research on detecting depression severity remains limited, and the existing models are often too large for lightweight deployment, restricting their real-time monitoring capabilities, especially in resource-constrained environments. To address these challenges, this study proposes a lightweight and accurate multimodal method for detecting depression severity, aiming to provide effective support for smart healthcare systems. Specifically, we design a multimodal detection network based on speech and video signals, enhancing the recognition of depression severity by optimizing the cross-modal fusion strategy. The model leverages Long Short-Term Memory (LSTM) networks to capture long-term dependencies in speech and visual sequences, effectively extracting dynamic features associated with depression. Considering the behavioral differences of respondents when interacting with human versus robotic interviewers, we train two separate sub-models and fuse their outputs using a Mixture of Experts (MOE) framework capable of modeling uncertainty, thereby suppressing the influence of low-confidence experts. In terms of the loss function, the traditional Mean Squared Error (MSE) is replaced with Negative Log-Likelihood (NLL) to better model prediction uncertainty and enhance robustness. The experimental results show that the improved AI model achieves an accuracy of 83.86% in depression severity recognition. The model's floating-point operations per second (FLOPs) reached 0.468 GFLOPs, with a parameter size of only 0.52 MB, demonstrating its compact size and strong performance. These findings underscore the importance of emotion and facial recognition in AI applications for mental health, offering a promising solution for real-time depression monitoring in resource-limited environments.</t>
  </si>
  <si>
    <t>Zhang, Liyuan; Zhang, Shuai; Zhang, Xv; Zhao, Yafeng</t>
  </si>
  <si>
    <t>Zhao, YF (corresponding author), Northeast Forestry Univ, Coll Comp &amp; Control Engn, Harbin 150040, Peoples R China.</t>
  </si>
  <si>
    <t>2022112540@nefu.edu.cn; liyuanzhangvip@nefu.edu.cn; zyf@nefu.edu.cn; daxu@nefu.edu.cn</t>
  </si>
  <si>
    <t>College Students' Innovative Entrepreneurial Training Plan Program</t>
  </si>
  <si>
    <t>This work was supported by the College Students' Innovative Entrepreneurial Training Plan Program (Project No. 202410225039).</t>
  </si>
  <si>
    <t>[Zhang, Liyuan; Zhang, Shuai; Zhang, Xv; Zhao, Yafeng] Northeast Forestry Univ, Coll Comp &amp; Control Engn, Harbin 150040, Peoples R China</t>
  </si>
  <si>
    <t>Northeast Forestry University - China</t>
  </si>
  <si>
    <t>A Multimodal Artificial Intelligence Model for Depression Severity Detection Based on Audio and Video Signals</t>
  </si>
  <si>
    <t>facial expression recognition; depression detection; lightweight; deep learning; long short-term memory network; real-time monitoring</t>
  </si>
  <si>
    <t>zhang, shuai/0000-0002-2141-5796</t>
  </si>
  <si>
    <t>APR 4 2025</t>
  </si>
  <si>
    <t>1464</t>
  </si>
  <si>
    <t>10.3390/electronics14071464</t>
  </si>
  <si>
    <t>http://dx.doi.org/10.3390/electronics14071464</t>
  </si>
  <si>
    <t>1IK3Z</t>
  </si>
  <si>
    <t>WOS:001465765400001</t>
  </si>
  <si>
    <t>Zhang, SZ; Shao, PF; Zhong, HD; Wu, YH; Du, CJ</t>
  </si>
  <si>
    <t>Accurate biomass estimation is crucial for evaluating production capacity and resource efficiency in shrimp aquaculture. Traditional monitoring and measurement approaches typically rely on single-modality data, such as sonar, water quality sensors, or images. However, these data sources are often susceptible to environmental disturbances and fail to capture the complexity of aquatic ecosystems, resulting in unstable estimation accuracy. This study proposes a novel multimodal deep learning approach to improve biomass estimation. It leverages the complementary information provided by video surveillance and water quality sensor data to address the challenge of sensitivity to environmental noise in unimodal prediction. To tackle the challenges of fusing these heterogeneous modalities, we introduce a Contrastive Learning and Attention-based Cross-modal Fusion (CACF) model. The model employs a contrastive learning framework for cross-modal alignment and utilizes a self-attention mechanism to dynamically weight features, ensuring robust data fusion. Comprehensive experiments conducted on a real-world shrimp biomass dataset demonstrate that CACF significantly outperforms state-ofthe-art models, improving both the accuracy and reliability of biomass estimation. This work highlights the potential of multimodal data integration in aquaculture and lays the foundation for the future development of real-time estimation systems and intelligent feeding technologies to optimize shrimp farming practices.</t>
  </si>
  <si>
    <t>Zhang, Shaozhong; Shao, Pengfei; Zhong, Haidong; Wu, Yaohui; Du, Chenjie</t>
  </si>
  <si>
    <t>Zhang, SZ (corresponding author), Zhejiang Wanli Univ, Coll Informat &amp; Intelligence Engn, Ningbo 315100, Peoples R China.</t>
  </si>
  <si>
    <t>dlut_z88@163.com</t>
  </si>
  <si>
    <t>Public Science and Technology Research Project of Ningbo Grant [2023S147]; Natural Science Foundation of Zhejiang Province [LY23G020007]</t>
  </si>
  <si>
    <t>Public Science and Technology Research Project of Ningbo Grant; Natural Science Foundation of Zhejiang Province (Natural Science Foundation of Zhejiang Province)</t>
  </si>
  <si>
    <t>This work was supported in part by the Public Science and Technology Research Project of Ningbo Grant 2023S147 and the Exploration Project of Natural Science Foundation of Zhejiang Province Grant LY23G020007.</t>
  </si>
  <si>
    <t>[Zhang, Shaozhong; Shao, Pengfei; Wu, Yaohui] Zhejiang Wanli Univ, Coll Informat &amp; Intelligence Engn, Ningbo 315100, Peoples R China; [Zhong, Haidong] Ningbo Univ Technol, Sch Econ &amp; Management, Ningbo 315211, Peoples R China; [Du, Chenjie] Zhejiang Wanli Univ, Coll Big Data &amp; Software Engn, Ningbo 315100, Peoples R China</t>
  </si>
  <si>
    <t>Zhejiang Wanli University; Ningbo University of Technology; Zhejiang Wanli University</t>
  </si>
  <si>
    <t>Biomass estimation in shrimp aquaculture using multimodal deep learning approaches</t>
  </si>
  <si>
    <t>ECOLOGICAL INFORMATICS</t>
  </si>
  <si>
    <t>Shrimp biomass estimation; Multimodal fusion; Image processing; Water quality sensor data</t>
  </si>
  <si>
    <t>Zhang, Shaozhong/0000-0002-4345-4171</t>
  </si>
  <si>
    <t>1574-9541</t>
  </si>
  <si>
    <t>1878-0512</t>
  </si>
  <si>
    <t>ECOL INFORM</t>
  </si>
  <si>
    <t>Ecol. Inform.</t>
  </si>
  <si>
    <t>103531</t>
  </si>
  <si>
    <t>10.1016/j.ecoinf.2025.103531</t>
  </si>
  <si>
    <t>http://dx.doi.org/10.1016/j.ecoinf.2025.103531</t>
  </si>
  <si>
    <t>Ecology</t>
  </si>
  <si>
    <t>Environmental Sciences &amp; Ecology</t>
  </si>
  <si>
    <t>L3556</t>
  </si>
  <si>
    <t>WOS:001629479300001</t>
  </si>
  <si>
    <t>Li, Z; Xu, RQ; Shen, YF; Cao, JN; Wang, B; Zhang, Y; Li, SK</t>
  </si>
  <si>
    <t>The outbreak of coronavirus disease 2019 (COVID-19) has caused massive infections and large death tolls worldwide. Despite many studies on the clinical characteristics and the treatment plans of COVID-19, they rarely conduct in-depth prognostic research on leveraging consecutive rounds of multimodal clinical examination and laboratory test data to facilitate clinical decision-making for the treatment of COVID-19. To address this issue, we propose a multistage multimodal deep learning (MMDL) model to (1) first assess the patient's current condition (i.e., the mild and severe symptoms), then (2) give early warnings to patients with mild symptoms who are at high risk to develop severe illness. In MMDL, we build a sequential stage-wise learning architecture whose design philosophy embodies the model's predicted outcome and does not only depend on the current situation but also the history. Concretely, we meticulously combine the latest round of multimodal clinical data and the decayed past information to make assessments and predictions. In each round (stage), we design a two-layer multimodal feature extractor to extract the latent feature representation across different modalities of clinical data, including patient demographics, clinical manifestation, and 11 modalities of laboratory test results. We conduct experiments on a clinical dataset consisting of 216 COVID-19 patients that have passed the ethical review of the medical ethics committee. Experimental results validate our assumption that sequential stage-wise learning outperforms single-stage learning, but history long ago has little influence on the learning outcome. Also, comparison tests show the advantage of multimodal learning. MMDL with multimodal inputs can beat any reduced model with single-modal inputs only. In addition, we have deployed the prototype of MMDL in a hospital for clinical comparison tests and to assist doctors in clinical diagnosis.</t>
  </si>
  <si>
    <t>Li, Zhuo; Xu, Ruiqing; Shen, Yifei; Cao, Jiannong; Wang, Ben; Zhang, Ying; Li, Shikang</t>
  </si>
  <si>
    <t>Science Citation Index Expanded (SCI-EXPANDED); Social Science Citation Index (SSCI)</t>
  </si>
  <si>
    <t>Li, Z (corresponding author), Chongqing Univ Posts &amp; Telecommun, Sch Comp Sci &amp; Technol, Chongqing, Peoples R China.; Li, Z; Shen, YF (corresponding author), Hong Kong Polytech Univ, Dept Comp, Hong Kong, Peoples R China.</t>
  </si>
  <si>
    <t>sam.yifei.shen@gmail.com; lizhuo@cqupt.edu.cn</t>
  </si>
  <si>
    <t>Scientific Research Sharing Foundation of the Chongqing University of Posts and Telecommunications [E012A2022026]; Chongqing Key Special Program for Technology Innovation and Application Development [cstc2020jscx-fyzxX0023]</t>
  </si>
  <si>
    <t>Scientific Research Sharing Foundation of the Chongqing University of Posts and Telecommunications; Chongqing Key Special Program for Technology Innovation and Application Development</t>
  </si>
  <si>
    <t>This research is supported by the Ph.D., Scientific Research Sharing Foundation of the Chongqing University of Posts and Telecommunications (Project No. E012A2022026) and the Chongqing Key Special Program for Technology Innovation and Application Development (Project No. cstc2020jscx-fyzxX0023).</t>
  </si>
  <si>
    <t>[Li, Zhuo] Chongqing Univ Posts &amp; Telecommun, Sch Comp Sci &amp; Technol, Chongqing, Peoples R China; [Li, Zhuo; Shen, Yifei; Cao, Jiannong] Hong Kong Polytech Univ, Dept Comp, Hong Kong, Peoples R China; [Xu, Ruiqing] Univ Sheffield, Dept Comp Sci, Sheffield, England; [Wang, Ben] Baoding 2 Cent Hosp, Baoding, Peoples R China; [Zhang, Ying; Li, Shikang] Chongqing Publ Hlth Med Ctr, Chongqing, Peoples R China</t>
  </si>
  <si>
    <t>Chongqing University of Posts &amp; Telecommunications; Hong Kong Polytechnic University; University of Sheffield</t>
  </si>
  <si>
    <t>A multistage multimodal deep learning model for disease severity assessment and early warnings of high-risk patients of COVID-19</t>
  </si>
  <si>
    <t>FRONTIERS IN PUBLIC HEALTH</t>
  </si>
  <si>
    <t>COVID-19; disease severity assessment; disease progression prediction; sequential stage-wise learning; multimodal feature fusion</t>
  </si>
  <si>
    <t>CLINICAL CHARACTERISTICS</t>
  </si>
  <si>
    <t>Shen, yifei/0009-0001-1413-0055</t>
  </si>
  <si>
    <t>2296-2565</t>
  </si>
  <si>
    <t>FRONT PUBLIC HEALTH</t>
  </si>
  <si>
    <t>Front. Public Health</t>
  </si>
  <si>
    <t>NOV 22 2022</t>
  </si>
  <si>
    <t>982289</t>
  </si>
  <si>
    <t>10.3389/fpubh.2022.982289</t>
  </si>
  <si>
    <t>http://dx.doi.org/10.3389/fpubh.2022.982289</t>
  </si>
  <si>
    <t>Public, Environmental &amp; Occupational Health</t>
  </si>
  <si>
    <t>6T9CA</t>
  </si>
  <si>
    <t>36483265</t>
  </si>
  <si>
    <t>WOS:000893969800001</t>
  </si>
  <si>
    <t>Gan, YL; Liu, WX; Xu, GW; Yan, CR; Zou, GB</t>
  </si>
  <si>
    <t>Drug combination therapy has gradually become a promising treatment strategy for complex or co-existing diseases. As drug-drug interactions (DDIs) may cause unexpected adverse drug reactions, DDI prediction is an important task in pharmacology and clinical applications. Recently, researchers have proposed several deep learning methods to predict DDIs. However, these methods mainly exploit the chemical or biological features of drugs, which is insufficient and limits the performances of DDI prediction. Here, we propose a new deep multimodal feature fusion framework for DDI prediction, DMFDDI, which fuses drug molecular graph, DDI network and the biochemical similarity features of drugs to predict DDIs. To fully extract drug molecular structure, we introduce an attention-gated graph neural network for capturing the global features of the molecular graph and the local features of each atom. A sparse graph convolution network is introduced to learn the topological structure information of the DDI network. In the multimodal feature fusion module, an attention mechanism is used to efficiently fuse different features. To validate the performance of DMFDDI, we compare it with 10 state-of-the-art methods. The comparison results demonstrate that DMFDDI achieves better performance in DDI prediction. Our method DMFDDI is implemented in Python using the Pytorch machine-learning library, and it is freely available at https://github.com/DHUDEBLab/DMFDDI.git.</t>
  </si>
  <si>
    <t>Gan, Yanglan; Liu, Wenxiao; Xu, Guangwei; Yan, Cairong; Zou, Guobing</t>
  </si>
  <si>
    <t>Zou, GB (corresponding author), Shanghai Univ, Sch Comp Engn &amp; Sci, 99 Shangda Rd, Shanghai 200444, Peoples R China.</t>
  </si>
  <si>
    <t>gbzou@shu.edu.cn</t>
  </si>
  <si>
    <t>National Natural Science Foundation of China [62172088]; Shanghai Natural Science Foundation [21ZR1400400]</t>
  </si>
  <si>
    <t>National Natural Science Foundation of China (National Natural Science Foundation of China (NSFC)); Shanghai Natural Science Foundation (Natural Science Foundation of Shanghai)</t>
  </si>
  <si>
    <t>This work were sponsored in part by the National Natural Science Foundation of China (62172088) and Shanghai Natural Science Foundation (21ZR1400400).</t>
  </si>
  <si>
    <t>[Gan, Yanglan; Liu, Wenxiao; Xu, Guangwei; Yan, Cairong; Zou, Guobing] Donghua Univ, Sch Comp Sci &amp; Technol, Shanghai, Peoples R China</t>
  </si>
  <si>
    <t>Donghua University</t>
  </si>
  <si>
    <t>DMFDDI: deep multimodal fusion for drug-drug interaction prediction</t>
  </si>
  <si>
    <t>BRIEFINGS IN BIOINFORMATICS</t>
  </si>
  <si>
    <t>drug-drug interaction; multimodal feature fusion; graphical neural network; attention mechanism</t>
  </si>
  <si>
    <t>OXFORD UNIV PRESS</t>
  </si>
  <si>
    <t>GREAT CLARENDON ST, OXFORD OX2 6DP, ENGLAND</t>
  </si>
  <si>
    <t>1467-5463</t>
  </si>
  <si>
    <t>1477-4054</t>
  </si>
  <si>
    <t>BRIEF BIOINFORM</t>
  </si>
  <si>
    <t>Brief. Bioinform.</t>
  </si>
  <si>
    <t>SEP 22 2023</t>
  </si>
  <si>
    <t>bbad397</t>
  </si>
  <si>
    <t>10.1093/bib/bbad397</t>
  </si>
  <si>
    <t>http://dx.doi.org/10.1093/bib/bbad397</t>
  </si>
  <si>
    <t>Biochemical Research Methods; Mathematical &amp; Computational Biology</t>
  </si>
  <si>
    <t>Biochemistry &amp; Molecular Biology; Mathematical &amp; Computational Biology</t>
  </si>
  <si>
    <t>EB2C5</t>
  </si>
  <si>
    <t>37930025</t>
  </si>
  <si>
    <t>WOS:001136371500063</t>
  </si>
  <si>
    <t>Wang, Y; Cao, L; Deng, H</t>
  </si>
  <si>
    <t>The fusion of high-resolution remote sensing imagery (HRRSI) with digital surface models (DSM) provides complementary spectral and height information, significantly enhancing the potential for accurate semantic segmentation. However, effectively reconciling the inherent domain disparities between these modalities and mitigating noise from defective data sources remain challenging. While prevailing encoder-decoder networks facilitate cross-modal fusion, their performance often degrades in complex scenes due to limited robustness to intermodal discrepancies and noise. To address these challenges, we propose MFTriNet, a novel multimodal fusion triple-flow network that jointly considers modality-specific characteristics and cross-modal interactions. MFTriNet decomposes the segmentation task into two modality-specific flows and one modality-complementary flow. The two modality-specific flows, sharing identical encoder-decoder architectures, independently process HRRSI and DSM data to generate preliminary segmentation predictions and preserve unique modal characteristics. In the modality-complementary flow, each encoding layer incorporates a dedicated modality-induced feature modulator designed for feature alignment and discrepancy suppression, utilizing a strategy of correction followed by fusion, and each decoding layer integrates a modality-aware dynamic aggregation module for dynamic and gated attention-based fusion. The final prediction is generated by a learnable weighted fusion of outputs from all three flows. Extensive experiments on the ISPRS Vaihingen and Potsdam benchmarks demonstrate that MFTriNet achieves state-of-the-art performance, with mean intersection over union/overall accuracy values of 84.21%/92.05% and 86.78%/91.78%, respectively. Furthermore, evaluations on the more challenging MMHunan dataset verify the effectiveness and generalization capability of MFTriNet in complex scenes.</t>
  </si>
  <si>
    <t>Wang, Yan; Cao, Li; Deng, He</t>
  </si>
  <si>
    <t>Cao, L (corresponding author), Wuhan Polytech Univ, Sch Elect &amp; Elect Engn, Wuhan 430023, Peoples R China.</t>
  </si>
  <si>
    <t>w2268388154@163.com; denghe@wust.edu.cn; 12591@whpu.edu.cn</t>
  </si>
  <si>
    <t>National Natural Science Foundation of China [62401417]</t>
  </si>
  <si>
    <t>This work was supported by the National Natural Science Foundation of China under Grant 62401417.</t>
  </si>
  <si>
    <t>[Wang, Yan; Cao, Li] Wuhan Polytech Univ, Sch Elect &amp; Elect Engn, Wuhan 430023, Peoples R China; [Deng, He] Wuhan Univ Sci &amp; Technol, Sch Comp Sci &amp; Technol, Wuhan 430081, Peoples R China</t>
  </si>
  <si>
    <t>Wuhan Polytechnic University; Wuhan University of Science &amp; Technology</t>
  </si>
  <si>
    <t>MFTriNet: A Multimodal Fusion Triple-Flow Network for Remote Sensing Image Semantic Segmentation</t>
  </si>
  <si>
    <t>IEEE JOURNAL OF SELECTED TOPICS IN APPLIED EARTH OBSERVATIONS AND REMOTE SENSING</t>
  </si>
  <si>
    <t>Earth Observing System; Sentinel-2; Feeds; Antennas; Radio broadcasting; Frequency modulation; Filtering; Filters; Circuits and systems; Circuits; Multimodal feature fusion; remote sensing; semantic segmentation</t>
  </si>
  <si>
    <t>1939-1404</t>
  </si>
  <si>
    <t>2151-1535</t>
  </si>
  <si>
    <t>IEEE J-STARS</t>
  </si>
  <si>
    <t>IEEE J. Sel. Top. Appl. Earth Observ. Remote Sens.</t>
  </si>
  <si>
    <t>12570</t>
  </si>
  <si>
    <t>12586</t>
  </si>
  <si>
    <t>10.1109/JSTARS.2026.3680135</t>
  </si>
  <si>
    <t>http://dx.doi.org/10.1109/JSTARS.2026.3680135</t>
  </si>
  <si>
    <t>Engineering, Electrical &amp; Electronic; Geography, Physical; Remote Sensing; Imaging Science &amp; Photographic Technology</t>
  </si>
  <si>
    <t>Engineering; Physical Geography; Remote Sensing; Imaging Science &amp; Photographic Technology</t>
  </si>
  <si>
    <t>GW8CR</t>
  </si>
  <si>
    <t>WOS:001746920600025</t>
  </si>
  <si>
    <t>Yin, YP; Wang, H; Liu, S; Sun, JL; Jing, PG; Liu, Y</t>
  </si>
  <si>
    <t>Alzheimer's disease (AD) is a degenerative neurological disease that occurs in the elderly with typical symptoms of decline in cognition, manifested by eye movement behaviors. The key to AD treatment requires early detection of cognitive impairment, which relies on frequent medical screening. This article proposes an Internet of Things (IoT) architecture constructed with eye-tracker (ET) nodes and cloud-based diagnosis enabled by machine learning (ML), which can provide convenient screening of oculomotor abnormalities and automatic identification of early-stage AD. The bespoke ET nodes collect 3-D oculomotor responses from diverse stereo video stimulation trials and transmit data into a dedicated multimodal ML (MMML) algorithm in the cloud. The algorithm incorporates multimodal features extracted from diverse oculomotor types to enhance the classification accuracy and optimized data dimension reduction in feature fusion to improve the classifier's performance. From evaluation, the proposed method can distinguish AD patients from the control group with 86% accuracy (ACC), 78% true positive rate (TPR), and 90% positive predictive value (PPV). The results confirm the effectiveness of our MMML algorithm in AD diagnosis with the fusion of multimodal oculomotor features and prove the feasibility of our IoT-powered eye-tracking solution for AD screening.</t>
  </si>
  <si>
    <t>Yin, Yunpeng; Wang, Han; Liu, Shuai; Sun, Jinglin; Jing, Peiguang; Liu, Yu</t>
  </si>
  <si>
    <t>Liu, Y (corresponding author), Tianjin Univ, Sch Microelect, Tianjin 300072, Peoples R China.</t>
  </si>
  <si>
    <t>liuyu@tju.edu.cn</t>
  </si>
  <si>
    <t>National Natural Science Foundation of China [61771338]</t>
  </si>
  <si>
    <t>This work was supported in part by the National Natural Science Foundation of China under Grant 61771338.</t>
  </si>
  <si>
    <t>[Yin, Yunpeng; Wang, Han; Sun, Jinglin; Liu, Yu] Tianjin Univ, Sch Microelect, Tianjin 300072, Peoples R China; [Liu, Shuai] Tianjin Huanhu Hosp, Tianjin Dementia Inst, Dept Neurol, Tianjin Key Lab Cerebrovasc &amp; Neurodegenerat Dis, Tianjin 300300, Peoples R China; [Jing, Peiguang] Tianjin Univ, Sch Elect &amp; Informat Engn, Tianjin 300072, Peoples R China; [Liu, Yu] Tianjin Univ, Zhejiang Int Inst Innovat Design &amp; Intelligent Mfg, Shaoxing 312077, Zhejiang, Peoples R China</t>
  </si>
  <si>
    <t>Tianjin University; Tianjin University; Tianjin University</t>
  </si>
  <si>
    <t>Internet of Things for Diagnosis of Alzheimer's Disease: A Multimodal Machine Learning Approach Based on Eye Movement Features</t>
  </si>
  <si>
    <t>IEEE INTERNET OF THINGS JOURNAL</t>
  </si>
  <si>
    <t>Alzheimer's disease (AD); eye tracking; feature fusion; Internet of Things (IoT); multimodal machine learning (MMML); oculomotor behavior</t>
  </si>
  <si>
    <t>FRONTOTEMPORAL LOBAR DEGENERATION; MILD COGNITIVE IMPAIRMENT; TERM-MEMORY BINDING; TRACKING; DEMENTIA; DEFICITS; STAGE</t>
  </si>
  <si>
    <t>Wang, Han/GZA-5040-2022; Liu, Yu/AAC-8646-2019</t>
  </si>
  <si>
    <t>Wang, Han/0000-0002-6938-9574; Jing, Peiguang/0000-0003-2648-7358; Yin, Yunpeng/0000-0002-8532-0278; Liu, Yu/0000-0002-5949-6587</t>
  </si>
  <si>
    <t>2327-4662</t>
  </si>
  <si>
    <t>IEEE INTERNET THINGS</t>
  </si>
  <si>
    <t>IEEE Internet Things J.</t>
  </si>
  <si>
    <t>JUL 1 2023</t>
  </si>
  <si>
    <t>11476</t>
  </si>
  <si>
    <t>11485</t>
  </si>
  <si>
    <t>10.1109/JIOT.2023.3245067</t>
  </si>
  <si>
    <t>http://dx.doi.org/10.1109/JIOT.2023.3245067</t>
  </si>
  <si>
    <t>K8MO6</t>
  </si>
  <si>
    <t>WOS:001018925700025</t>
  </si>
  <si>
    <t>Wang, WP; Yang, G; Liu, YL; Wei, LC; Xu, XY; Zhang, CL; Pan, ZH; Liang, YG; Yang, B; Qiu, J; Zhang, FQ; Hou, XR; Hu, K; Liang, XK</t>
  </si>
  <si>
    <t>For patients with locally advanced cervical cancer (LACC), precise survival prediction models could guide personalized treatment. We developed and validated CerviPro, a deep learning-based multimodal prognostic model, to predict disease-free survival (DFS) in 1018 patients with LACC receiving definitive radiotherapy. The model integrates pre- and post-treatment CT imaging, handcrafted radiomic features, and clinical variables. CerviPro demonstrated robust predictive performance in the internal validation cohort (C-index 0.81), and external validation cohorts (C-index 0.70&amp;0.66), significantly stratifying patients into distinct high- and low-risk DFS groups. Multimodal feature fusion consistently outperformed models based on single feature categories (clinical data, imaging, or radiomics alone), highlighting the synergistic value of integrating diverse data sources. By integrating multimodal data to predict DFS and recurrence risk, CerviPro provides a clinically valuable prognostic tool for LACC, offering the potential to guide personalized treatment strategies.</t>
  </si>
  <si>
    <t>Wang, Weiping; Yang, Guang; Liu, Yulin; Wei, Lichun; Xu, Xiaoying; Zhang, Chulong; Pan, Zhaohong; Liang, Yongguang; Yang, Bo; Qiu, Jie; Zhang, Fuquan; Hou, Xiaorong; Hu, Ke; Liang, Xiaokun</t>
  </si>
  <si>
    <t>Hou, XR; Hu, K (corresponding author), Chinese Acad Med Sci &amp; Peking Union Med Coll, Peking Union Med Coll Hosp, Dept Radiat Oncol, Beijing, Peoples R China.; Liang, XK (corresponding author), Chinese Acad Sci, Shenzhen Inst Adv Technol, Shenzhen, Guangdong, Peoples R China.</t>
  </si>
  <si>
    <t>huke8000@126.com; hxr_pumch@163.com; xk.liang@siat.ac.cn</t>
  </si>
  <si>
    <t>National High-Level Hospital Clinical Research Funding; National Key R&amp;D Program of China, Ministry of Science and Technology of the People's Republic of China [2023YFC2411504, 2023YFC2411502, 2022YFC2402305]; Peking Union Medical College Hospital Talent Cultivation Program</t>
  </si>
  <si>
    <t>National High-Level Hospital Clinical Research Funding; National Key R&amp;D Program of China, Ministry of Science and Technology of the People's Republic of China; Peking Union Medical College Hospital Talent Cultivation Program</t>
  </si>
  <si>
    <t>This work is supported by National Key R&amp;D Program of China, Ministry of Science and Technology of the People's Republic of China (2023YFC2411504, 2023YFC2411502, 2022YFC2402305), the National High-Level Hospital Clinical Research Funding (2022-PUMCH-B-127, 2022-PUMCH-B-116) and Peking Union Medical College Hospital Talent Cultivation Program (Category C) No.UBJ04712.</t>
  </si>
  <si>
    <t>[Wang, Weiping; Liu, Yulin; Liang, Yongguang; Yang, Bo; Qiu, Jie; Zhang, Fuquan; Hou, Xiaorong; Hu, Ke] Chinese Acad Med Sci &amp; Peking Union Med Coll, Peking Union Med Coll Hosp, Dept Radiat Oncol, Beijing, Peoples R China; [Yang, Guang; Zhang, Chulong; Pan, Zhaohong; Liang, Xiaokun] Chinese Acad Sci, Shenzhen Inst Adv Technol, Shenzhen, Guangdong, Peoples R China; [Wei, Lichun] Air Force Mil Med Univ, Xijing Hosp, Dept Radiat Oncol, Xian, Peoples R China; [Xu, Xiaoying] Dalian Med Univ, Dept Radiat Oncol, Affiliated Hosp 2, Dalian, Peoples R China</t>
  </si>
  <si>
    <t>Chinese Academy of Medical Sciences - Peking Union Medical College; Peking Union Medical College; Peking Union Medical College Hospital; Chinese Academy of Sciences; Shenzhen Institute of Advanced Technology, CAS; Air Force Medical University; Dalian Medical University</t>
  </si>
  <si>
    <t>Multimodal deep learning model for prognostic prediction in cervical cancer receiving definitive radiotherapy: a multi-center study</t>
  </si>
  <si>
    <t>Liang, Xiaokun/AAU-2366-2020; Zhang, Chulong/KIJ-9629-2024; 许, 筱颖/ACG-9319-2022; Liang, Yongguang/POU-3442-2026</t>
  </si>
  <si>
    <t>Zhang, Chulong/0009-0007-1149-1860</t>
  </si>
  <si>
    <t>AUG 4 2025</t>
  </si>
  <si>
    <t>503</t>
  </si>
  <si>
    <t>10.1038/s41746-025-01903-9</t>
  </si>
  <si>
    <t>http://dx.doi.org/10.1038/s41746-025-01903-9</t>
  </si>
  <si>
    <t>5UG6T</t>
  </si>
  <si>
    <t>40760164</t>
  </si>
  <si>
    <t>WOS:001544479500003</t>
  </si>
  <si>
    <t>Wang, JX; Li, JE; Wang, R; Zhou, XQ</t>
  </si>
  <si>
    <t>This study presents a novel multimodal deep learning model designed to improve early detection and diagnosis of chronic cardiac conditions such as Severe Left Ventricular Hypertrophy (SLVH) and Dilated Left Ventricle (DLV). Leveraging nearly 70,000 medical records from Columbia University Irving Medical Center, the model integrates early-stage CXR structured data and chest X-ray imagery, employing SMOTE to correct data imbalances. The model utilizes the pre-trained EfficientNetB3 for image feature extraction, enhanced with SE-Block and CBAM attention mechanisms, while Transformer Encoder layers enrich the structured data representation. Notably, it incorporates Variational Autoencoders (VAEs) to encode both types of data into a cohesive low-dimensional latent space, facilitating an innovative multimodal fusion for cardiac disease risk classification. Ablation studies validate the essential role of each component, with VAE-driven feature fusion significantly boosting accuracy and stability (increasing by 5.43% for SLVH and 14.13% for DLV datasets). The model outperforms existing advanced multimodal frameworks, showing a marked improvement in accuracy, recall, precision, and F1 scores. Specifically, it surpasses the leading CLIP model by 1.56% and 0.68% in accuracy for 90-270 day SLVH and DLV datasets, respectively. High AUC values across various disease stages highlight the model's robustness, demonstrating consistently superior performance in disease progression prediction. These results underscore the potential of integrating multimodal data with advanced deep learning techniques to significantly enhance the diagnostic capabilities of medical tools, paving the way for better early cardiac disease interventions and patient outcomes.</t>
  </si>
  <si>
    <t>Wang, Junxin; Li, Juanen; Wang, Rui; Zhou, Xinqi</t>
  </si>
  <si>
    <t>Wang, JX (corresponding author), Beijing Normal Univ, Fac Arts &amp; Sci, Beijing 100875, Peoples R China.</t>
  </si>
  <si>
    <t>202111079160@mail.bnu.edu.cn</t>
  </si>
  <si>
    <t>[Wang, Junxin; Li, Juanen; Wang, Rui; Zhou, Xinqi] Beijing Normal Univ, Fac Arts &amp; Sci, Beijing 100875, Peoples R China</t>
  </si>
  <si>
    <t>Beijing Normal University</t>
  </si>
  <si>
    <t>VAE-Driven Multimodal Fusion for Early Cardiac Disease Detection</t>
  </si>
  <si>
    <t>Diseases; Deep learning; Data models; Accuracy; Cardiac disease; Medical diagnostic imaging; X-ray imaging; Multisensory integration; Encoding; Multimodal deep learning; early cardiac disease detection; SMOTE; EfficientNetB3; Transformer encoder; variational autoencoders embedding; medical diagnostics</t>
  </si>
  <si>
    <t>PREDICTION; SMOTE</t>
  </si>
  <si>
    <t>Wang, Junxin/0009-0009-6542-4561; Li, Juanen/0009-0008-6791-6466</t>
  </si>
  <si>
    <t>90535</t>
  </si>
  <si>
    <t>90551</t>
  </si>
  <si>
    <t>10.1109/ACCESS.2024.3420444</t>
  </si>
  <si>
    <t>http://dx.doi.org/10.1109/ACCESS.2024.3420444</t>
  </si>
  <si>
    <t>XR3R0</t>
  </si>
  <si>
    <t>WOS:001263371500001</t>
  </si>
  <si>
    <t>Tonekaboni, S; Friedman, SF; Zhang, XY; Maddah, M; Uhler, C</t>
  </si>
  <si>
    <t>Modern medicine increasingly relies on multimodal data, ranging from clinical notes to imaging and genomics, to guide diagnosis and treatment. However, integrating these heterogeneous data sources in a principled and interpretable manner remains a major challenge. We present MODES (Multi-mOdal Disentangled Embedding Space), a representation fusion framework that explicitly separates shared and modality-specific factors of variation, offering a structured latent space for multimodal information that improves both prediction and interpretability. By leveraging pre-trained unimodal foundation models, MODES mitigates the dependency on extensive paired datasets, crucial in data-scarce clinical settings. We introduce a masking strategy that optimizes representation dimensionality by eliminating low-information dimensions, to achieve compact, information-rich representations. Our framework demonstrates superior performance in predicting diagnoses and phenotypes compared to unimodal and conventional fusion models. MODES also enables robust diagnostic inference in missing data scenarios, offering an opportunity toward interpretable and efficient multimodal diagnostics in personalized healthcare.</t>
  </si>
  <si>
    <t>Tonekaboni, Sana; Friedman, Sam Freesun; Zhang, Xinyi; Maddah, Mahnaz; Uhler, Caroline</t>
  </si>
  <si>
    <t>Tonekaboni, S; Uhler, C (corresponding author), Broad Inst MIT &amp; Harvard, Eric &amp; Wendy Schmidt Ctr, Cambridge, MA 02139 USA.; Tonekaboni, S (corresponding author), Broad Inst MIT &amp; Harvard, Data Sci Platform, Cambridge, MA 02142 USA.; Uhler, C (corresponding author), MIT, Lab Informat &amp; Decis Syst, Cambridge, MA 02142 USA.</t>
  </si>
  <si>
    <t>cuhler@mit.edu; stonekab@broadinstitute.org</t>
  </si>
  <si>
    <t>U.S. Department of Energy [DE-SC0023187]; Simons Foundation [Simons Investigator Award]; NCCIH/NIH [1DP2AT012345]; Eric and Wendy Schmidt Center, Broad Institute; Office of Naval Research [N00014-22-1-2116 and N00014-24-1-2687]; U.S. Department of Energy (DOE) [DE-SC0023187] Funding Source: U.S. Department of Energy (DOE)</t>
  </si>
  <si>
    <t>U.S. Department of Energy (United States Department of Energy (DOE)); Simons Foundation (Simons Foundation); NCCIH/NIH; Eric and Wendy Schmidt Center, Broad Institute; Office of Naval Research (United States Department of Defense, United States Navy, Office of Naval Research); U.S. Department of Energy (DOE) (United States Department of Energy (DOE))</t>
  </si>
  <si>
    <t>S.T. and X.Z. were supported by Fellowships from the Eric and Wendy Schmidt Center at the Broad institute of MIT and Harvard, C.U. was partially supported by NCCIH/NIH (1DP2AT012345), ONR (N00014-22-1-2116 and N00014-24-1-2687), the United States Department of Energy (DE-SC0023187), the Eric and Wendy Schmidt Center at the Broad Institute, and a Simons Investigator Award. M.M. was partially supported by grants from the National Institutes of Health (3OT2OD035404-01S3, 1R01NS134597, and 1UG3HG014379-01) and from the American Heart Association (961045). S.F. was partially supported by grants from the NIH 3OT2OD035404-01S3 and 1UG3HG014379-01. We thank Dr. Elvira Forte for editing the manuscript.</t>
  </si>
  <si>
    <t>[Tonekaboni, Sana; Friedman, Sam Freesun; Zhang, Xinyi; Uhler, Caroline] Broad Inst MIT &amp; Harvard, Eric &amp; Wendy Schmidt Ctr, Cambridge, MA 02139 USA; [Tonekaboni, Sana; Friedman, Sam Freesun; Maddah, Mahnaz] Broad Inst MIT &amp; Harvard, Data Sci Platform, Cambridge, MA 02142 USA; [Zhang, Xinyi; Uhler, Caroline] MIT, Lab Informat &amp; Decis Syst, Cambridge, MA 02142 USA</t>
  </si>
  <si>
    <t>Harvard University; Broad Institute; Massachusetts Institute of Technology (MIT); Broad Institute; Harvard University; Broad Institute; Massachusetts Institute of Technology (MIT); Broad Institute; Massachusetts Institute of Technology (MIT)</t>
  </si>
  <si>
    <t>A Representation Fusion Framework for Decoupling Diagnostic Information in Multimodal Learning</t>
  </si>
  <si>
    <t>Zhang, Xinyi/AAJ-4858-2021</t>
  </si>
  <si>
    <t>Zhang, Xinyi/0000-0003-4996-4698</t>
  </si>
  <si>
    <t>DEC 17 2025</t>
  </si>
  <si>
    <t>765</t>
  </si>
  <si>
    <t>10.1038/s41746-025-02144-6</t>
  </si>
  <si>
    <t>http://dx.doi.org/10.1038/s41746-025-02144-6</t>
  </si>
  <si>
    <t>X9294</t>
  </si>
  <si>
    <t>41408105</t>
  </si>
  <si>
    <t>WOS:001641099400002</t>
  </si>
  <si>
    <t>Arrowsmith, J; Susnjak, T; Jang-Jaccard, J</t>
  </si>
  <si>
    <t>This study investigates the integration of diverse data modalities within deep learning ensembles for Android malware classification. Android applications can be represented as binary images and function call graphs, each offering complementary perspectives on the executable. We synthesise these modalities by combining predictions from convolutional and graph neural networks with a multilayer perceptron. Empirical results demonstrate that multimodal models outperform their unimodal counterparts while remaining highly efficient. For instance, integrating a plain CNN with 83.1% accuracy and a GCN with 80.6% accuracy boosts overall accuracy to 88.3%. DenseNet-GIN achieves 90.6% accuracy, with no further improvement obtained by expanding this ensemble to four models. Based on our findings, we advocate for the flexible development of modalities to capture distinct aspects of applications and for the design of algorithms that effectively integrate this information.</t>
  </si>
  <si>
    <t>Arrowsmith, James; Susnjak, Teo; Jang-Jaccard, Julian</t>
  </si>
  <si>
    <t>Arrowsmith, J (corresponding author), Massey Univ, Sch Math &amp; Computat Sci, Auckland 0632, New Zealand.</t>
  </si>
  <si>
    <t>julian.jang-jaccard@ar.admin.ch; james.arrowsmith.1@uni.massey.ac.nz; t.susnjak@massey.ac.nz</t>
  </si>
  <si>
    <t>Cyber Security Research Programme, Artificial Intelligence for Automating Response to Threats from the Ministry of Business, Innovation, and Employment (MBIE) of New Zealand as a part of the Catalyst Strategy Funds; Cyber Security Research Programme, Artificial Intelligence for Automating Response; Ministry of Business, Innovation, and Employment (MBIE) of New Zealand [MAUX1912]; Catalyst Strategy Funds</t>
  </si>
  <si>
    <t>Cyber Security Research Programme, Artificial Intelligence for Automating Response to Threats from the Ministry of Business, Innovation, and Employment (MBIE) of New Zealand as a part of the Catalyst Strategy Funds (New Zealand Ministry of Business, Innovation and Employment (MBIE)); Cyber Security Research Programme, Artificial Intelligence for Automating Response; Ministry of Business, Innovation, and Employment (MBIE) of New Zealand (New Zealand Ministry of Business, Innovation and Employment (MBIE)); Catalyst Strategy Funds</t>
  </si>
  <si>
    <t>This work was supported by the Cyber Security Research Programme, Artificial Intelligence for Automating Response to Threats from the Ministry of Business, Innovation, and Employment (MBIE) of New Zealand as a part of the Catalyst Strategy Funds under the Grant Number MAUX1912.</t>
  </si>
  <si>
    <t>[Arrowsmith, James; Susnjak, Teo; Jang-Jaccard, Julian] Massey Univ, Sch Math &amp; Computat Sci, Auckland 0632, New Zealand</t>
  </si>
  <si>
    <t>Massey University</t>
  </si>
  <si>
    <t>Multimodal Deep Learning for Android Malware Classification</t>
  </si>
  <si>
    <t>MACHINE LEARNING AND KNOWLEDGE EXTRACTION</t>
  </si>
  <si>
    <t>multimodal deep learning for Android malware detection; enhanced malware analysis; graph neural networks; function call graphs (FCG); efficient multimodal late fusion; CNN GNN Ensemble; bytecode image analysis; Android APK analysis; data fusion</t>
  </si>
  <si>
    <t>Jang-Jaccard, Julian/C-5366-2011</t>
  </si>
  <si>
    <t>Jang-Jaccard, Julian/0000-0002-1002-057X; Susnjak, Teo/0000-0001-9416-1435; Arrowsmith, James/0009-0005-9857-0873</t>
  </si>
  <si>
    <t>2504-4990</t>
  </si>
  <si>
    <t>MACH LEARN KNOW EXTR</t>
  </si>
  <si>
    <t>Mach. Learn. Knowl. Extr.</t>
  </si>
  <si>
    <t>FEB 28 2025</t>
  </si>
  <si>
    <t>10.3390/make7010023</t>
  </si>
  <si>
    <t>http://dx.doi.org/10.3390/make7010023</t>
  </si>
  <si>
    <t>Computer Science, Artificial Intelligence; Computer Science, Interdisciplinary Applications; Engineering, Electrical &amp; Electronic</t>
  </si>
  <si>
    <t>0PG5Z</t>
  </si>
  <si>
    <t>WOS:001452766400001</t>
  </si>
  <si>
    <t>Kim, S</t>
  </si>
  <si>
    <t>Background: Chemotherapy-induced peripheral neuropathy (CIPN) is a common and debilitating adverse effect of cancer treatment that substantially impairs patients' quality of life and may lead to dose reduction or treatment discontinuation. Traditional prediction models based on single-modal data have shown limited accuracy in clinical settings. Aim: This study aimed to develop and evaluate a deep learning-based predictive model for CIPN by integrating multimodal data, including clinical, genomic, biosignal, wearable device, and imaging information. Methods: A retrospective and prospective cohort of cancer patients receiving chemotherapy between 2020 and 2025 was analyzed using data collected from multicenter electronic health records (EHRs) and public databases. An intermediate fusion framework was implemented using a Transformer-based architecture, which was compared with LSTM, CNN, and XGBoost models. SHAP (Shapley additive explanations) and Grad-CAM were used to improve model interpretability, while performance was assessed using AUC-ROC (area under the receiver operating characteristic curve), accuracy, sensitivity, specificity, and F1-score. Results: The Transformer-based model achieved the highest performance (AUC = 0.93; accuracy = 88.5%; sensitivity = 85.3%; specificity = 90.1%), outperforming conventional models. SHAP analysis identified chemotherapy dosage, nerve magnetic resonance imaging abnormalities, electrocardiogram changes, CYP2C8 mutations, and diabetes as the most influential predictors. Patients with a high predicted risk of CIPN also demonstrated significantly lower overall survival, indicating a broader systemic impact of CIPN beyond neurological symptoms. Conclusions: This study provides evidence that deep learning models incorporating multimodal data significantly enhance CIPN prediction and have the potential for clinical implementation. The use of explainable artificial intelligence techniques further supports their integration into precision oncology. Future research should focus on multicenter validation, real-time EHR integration, and the development of neuroprotective strategies for high-risk patients.</t>
  </si>
  <si>
    <t>Kim, Sanghee</t>
  </si>
  <si>
    <t>Kim, S (corresponding author), Keimyung Univ, Coll Nursing, Daegu, South Korea.</t>
  </si>
  <si>
    <t>shkim07@gw.kmu.ac.kr</t>
  </si>
  <si>
    <t>[Kim, Sanghee] Keimyung Univ, Coll Nursing, Daegu, South Korea</t>
  </si>
  <si>
    <t>Keimyung University</t>
  </si>
  <si>
    <t>Predicting Chemotherapy-Induced Peripheral Neuropathy Using Transformer-Based Multimodal Deep Learning</t>
  </si>
  <si>
    <t>Kim, Sanghee/LBH-7017-2024</t>
  </si>
  <si>
    <t>AUG 5 2025</t>
  </si>
  <si>
    <t>0795</t>
  </si>
  <si>
    <t>10.34133/research.0795</t>
  </si>
  <si>
    <t>http://dx.doi.org/10.34133/research.0795</t>
  </si>
  <si>
    <t>5TO1Y</t>
  </si>
  <si>
    <t>40765998</t>
  </si>
  <si>
    <t>WOS:001543996600001</t>
  </si>
  <si>
    <t>Xia, CC; Zuo, MJ; Lin, Z; Deng, LB; Rao, YL; Chen, WX; Chen, JQ; Yao, WR; Hu, M</t>
  </si>
  <si>
    <t>Rationale and Objectives: To develop and validate a multimodal deep learning (DL) model based on computed tomography (CT) images and clinical knowledge to predict lymph node metastasis (LNM) in early lung adenocarcinoma. Materials and Methods: A total of 724 pathologically confirmed early invasive lung adenocarcinoma patients were retrospectively included from two centers. Clinical and CT semantic features of the patients were collected, and 3D radiomics features were extracted from nonenhanced CT images. We proposed a multimodal feature fusion DL network based on the InceptionResNetV2 architecture, which can effectively extract and integrate image and clinical knowledge to predict LNM. Results: A total of 524 lung adenocarcinoma patients from Center 1 were randomly divided into training (n=418) and internal validation (n=106) sets in a 4:1 ratio, while 200 lung adenocarcinoma patients from Center 2 served as the independent test set. Among the 16 collected clinical and imaging features, 8 were selected: gender, serum carcinoembryonic antigen, cytokeratin 19 fragment antigen 21-1, neuron-specific enolase, tumor size, location, density, and centrality. From the 1595 extracted radiomics features, six key features were identified. The CS-RS-DL fusion model achieved the highest area under the receiver operating characteristic curve in both the internal validation set (0.877) and the independent test set (0.906) compared to other models. The Delong test results for the independent test set indicated that the CS-RS-DL model significantly outperformed the clinical model (0.844), radiomics model (0.850), CS-RS model (0.872), single DL model (0.848), and the CS-DL model (0.875) (all P &lt; 0.05). Additionally, the CS-RS-DL model exhibited the highest sensitivity (0.941) and average precision (0.642). Conclusion: The knowledge derived from clinical, radiomics, and DL is complementary in predicting LNM in lung adenocarcinoma. The integration of clinical and radiomics scores through DL can significantly improve the accuracy of lymph node status assessment.</t>
  </si>
  <si>
    <t>Xia, Chengcheng; Zuo, Minjing; Lin, Ze; Deng, Libin; Rao, Yulian; Chen, Wenxiang; Chen, Jinqin; Yao, Weirong; Hu, Min</t>
  </si>
  <si>
    <t>Hu, M (corresponding author), Nanchang Univ, Jiangxi Med Coll, Sch Publ Hlth, Nanchang 330006, Peoples R China.; Hu, M (corresponding author), Nanchang Univ, Jiangxi Prov Key Lab Dis Prevent &amp; Publ Hlth, Nanchang 330006, Peoples R China.</t>
  </si>
  <si>
    <t>humin@ncu.edu.cn</t>
  </si>
  <si>
    <t>Wu Jieping Medical Foundation [320.6750.2020-10-108]</t>
  </si>
  <si>
    <t>Wu Jieping Medical Foundation</t>
  </si>
  <si>
    <t>This work was supported by the Wu Jieping Medical Foundation (No. 320.6750.2020-10-108) .</t>
  </si>
  <si>
    <t>[Xia, Chengcheng; Deng, Libin; Chen, Wenxiang; Hu, Min] Nanchang Univ, Jiangxi Med Coll, Sch Publ Hlth, Nanchang 330006, Peoples R China; [Xia, Chengcheng; Deng, Libin; Chen, Wenxiang; Hu, Min] Nanchang Univ, Jiangxi Prov Key Lab Dis Prevent &amp; Publ Hlth, Nanchang 330006, Peoples R China; [Zuo, Minjing] Nanchang Univ, Affiliated Hosp 2, Jiangxi Med Coll, Dept Radiol, Nanchang 330006, Peoples R China; [Zuo, Minjing] Intelligent Med Imaging Jiangxi Key Lab, Nanchang 330006, Peoples R China; [Lin, Ze] Hubei Prov Hosp Tradit Chinese Med, Dept Radiol, Wuhan 430022, Peoples R China; [Lin, Ze] Hubei Univ Chinese Med, Affiliated Hosp, Wuhan 430022, Peoples R China; [Rao, Yulian] Wanli Dist Ctr Dis Control &amp; Prevent Nanchang, Nanchang 330004, Peoples R China; [Yao, Weirong] Jiangxi Prov Peoples Hosp, Affiliated Hosp 1, Nanchang Med Coll, Dept Oncol, Nanchang, Peoples R China; [Chen, Jinqin] Nanchang Univ, Jiangxi Med Coll, Nanchang, Peoples R China</t>
  </si>
  <si>
    <t>Nanchang University; Nanchang University; Nanchang University; Hubei University of Chinese Medicine; Nanchang Medical College; Nanchang University</t>
  </si>
  <si>
    <t>Multimodal Deep Learning Fusing Clinical and Radiomics Scores for Prediction of Early-Stage Lung Adenocarcinoma Lymph Node Metastasis</t>
  </si>
  <si>
    <t>ACADEMIC RADIOLOGY</t>
  </si>
  <si>
    <t>Deep learning; Radiomics; Feature fusion; Lung adenocarcinoma; Lymph node metastasis</t>
  </si>
  <si>
    <t>CANCER; TRENDS</t>
  </si>
  <si>
    <t>1076-6332</t>
  </si>
  <si>
    <t>1878-4046</t>
  </si>
  <si>
    <t>ACAD RADIOL</t>
  </si>
  <si>
    <t>Acad. Radiol.</t>
  </si>
  <si>
    <t>2977</t>
  </si>
  <si>
    <t>2989</t>
  </si>
  <si>
    <t>10.1016/j.acra.2024.12.018</t>
  </si>
  <si>
    <t>http://dx.doi.org/10.1016/j.acra.2024.12.018</t>
  </si>
  <si>
    <t>1ZP2Z</t>
  </si>
  <si>
    <t>39730249</t>
  </si>
  <si>
    <t>WOS:001477411000001</t>
  </si>
  <si>
    <t>Zhou, SS; Zhao, WC; Wan, ZL; Qiu, HK; Huang, XB; Sun, ZY</t>
  </si>
  <si>
    <t>Polyurethanes (PUs) are ubiquitous in our daily life, while facing fundamental challenges in designing materials with targeted mechanical properties due to their inherent structural complexity. To address this, we developed an extensible high-throughput screening framework that combines machine learning, multimodal feature engineering, and feature fusion strategy to enable the mechanical property prediction of PU materials. Specifically, an effective 3D-Weighted-Matrix encoding method was proposed to represent polyurethane monomers, indicating better performance than conventional molecular descriptors (23% improvement in feature discriminability). Synthesis process parameters were also digitized through logic-based encoding and fused with structural features (including chemical structure representations via 3D-Weighted-Matrix and molecular descriptors as well as synthesis process information) via an early fusion architecture, yielding a multimodal deep learning model capable of concurrent prediction of Young's modulus, tensile strength, and elongation at break with mean coefficient of determination () values exceeding 0.86. With this model, we then performed combinatorial screening of more than 150 million molecular and process combinations, identifying optimal candidates that promote various mechanical performance metrics. This work enhances our comprehension of the intrinsic structure - property correlations in PU and introduces a powerful computational framework for the accelerated development of high - performance polyurethane materials.</t>
  </si>
  <si>
    <t>Zhou, Shushuai; Zhao, Wanchen; Wan, Zilong; Qiu, Haoke; Huang, Xianbo; Sun, Zhao-Yan</t>
  </si>
  <si>
    <t>Sun, ZY (corresponding author), Chinese Acad Sci, Changchun Inst Appl Chem, State Key Lab Polymer Sci &amp; Technol, Changchun, Peoples R China.; Sun, ZY (corresponding author), Univ Sci &amp; Technol China, Sch Appl Chem &amp; Engn, Hefei, Peoples R China.; Huang, XB (corresponding author), Kingfa Sci &amp; Technol Co LTD, Natl Certified Enterprise Technol Ctr, Guangzhou 510000, Peoples R China.; Sun, ZY (corresponding author), Yili Normal Univ, Coll Phys Sci &amp; Technol, Xinjiang Lab Phase Transit &amp; Microstruct Condensed, Yining, Peoples R China.</t>
  </si>
  <si>
    <t>zysun@ciac.ac.cn; huangxianbo@Kingfa.com.cn</t>
  </si>
  <si>
    <t>The authors acknowledge the support from the National Key R&amp;D Program of China (No. 2022YFB3707303), and the National Natural Science Foundation of China (No. 52293471). The authors are also grateful to the Network and Computing Center in Changchun Institute of Applied Chemistry for the hardware support.</t>
  </si>
  <si>
    <t>[Zhou, Shushuai; Zhao, Wanchen; Wan, Zilong; Qiu, Haoke; Sun, Zhao-Yan] Chinese Acad Sci, Changchun Inst Appl Chem, State Key Lab Polymer Sci &amp; Technol, Changchun, Peoples R China; [Zhou, Shushuai; Zhao, Wanchen; Wan, Zilong; Qiu, Haoke; Sun, Zhao-Yan] Univ Sci &amp; Technol China, Sch Appl Chem &amp; Engn, Hefei, Peoples R China; [Huang, Xianbo] Kingfa Sci &amp; Technol Co LTD, Natl Certified Enterprise Technol Ctr, Guangzhou 510000, Peoples R China; [Sun, Zhao-Yan] Yili Normal Univ, Coll Phys Sci &amp; Technol, Xinjiang Lab Phase Transit &amp; Microstruct Condensed, Yining, Peoples R China</t>
  </si>
  <si>
    <t>Chinese Academy of Sciences; Changchun Institute of Applied Chemistry, CAS; Chinese Academy of Sciences; University of Science &amp; Technology of China, CAS; Kingfa Sci. &amp; Tech.; Yili Normal University</t>
  </si>
  <si>
    <t>Multimodal Machine Learning with 3D-Weighted-Matrix Encoding for High-Throughput Design of High-Performance Polyurethanes</t>
  </si>
  <si>
    <t>MACROMOLECULAR RAPID COMMUNICATIONS</t>
  </si>
  <si>
    <t>high-throughput computational screening; machine learning; multimodal; polyurethane elastomers; property prediction; structure-property relationship</t>
  </si>
  <si>
    <t>ARTIFICIAL-INTELLIGENCE; SOFT; DIISOCYANATE</t>
  </si>
  <si>
    <t>Sun, Zhao-Yan/AEF-2948-2022; Qiu, Haoke/HJH-9986-2023; 孙, 昭艳/AEF-2948-2022</t>
  </si>
  <si>
    <t>孙, 昭艳/0000-0002-6357-3039</t>
  </si>
  <si>
    <t>1022-1336</t>
  </si>
  <si>
    <t>1521-3927</t>
  </si>
  <si>
    <t>MACROMOL RAPID COMM</t>
  </si>
  <si>
    <t>Macromol. Rapid Commun.</t>
  </si>
  <si>
    <t>SI</t>
  </si>
  <si>
    <t>10.1002/marc.202500471</t>
  </si>
  <si>
    <t>http://dx.doi.org/10.1002/marc.202500471</t>
  </si>
  <si>
    <t>Polymer Science</t>
  </si>
  <si>
    <t>KF1WP</t>
  </si>
  <si>
    <t>41014522</t>
  </si>
  <si>
    <t>WOS:001581907200001</t>
  </si>
  <si>
    <t>Raza, WH; Wen, Y; Shah, AB; Shen, YD; Martinez-Lemus, J; Schiess, MC; Ellmore, TM; Hu, RJ; Fu, X</t>
  </si>
  <si>
    <t>Early diagnosis of neurological disorders (NDs) benefits from multiple complementary signals, including anatomical MRI, diffusion imaging, functional activation, and clinical or serum biomarkers. These modalities capture distinct aspects of neurodegeneration and have motivated recent multimodal learning approaches. However, most existing methods combine modalities only at the feature or decision level through late fusion, meaning that modalities are processed independently and never influence one another during feature extraction. As a result, subtle cross-modality patterns that are highly informative in prodromal stages remain underutilized. To address this limitation, we propose NeuroMoE++, a hierarchical end-to-end framework that enables explicit interaction across modalities while preserving their individual structure. After obtaining unimodal and cross-modality predictions, a subject-driven adaptive integration produces patient-specific decisions. This combination allows the model to capture complementary structure, leverage fused evidence when beneficial, and remain interpretable from a clinical standpoint. Experiments on real clinical datasets demonstrate that NeuroMoE++ substantially outperforms unimodal and late-fusion baselines, achieving 84.94% accuracy. These results highlight the value of explicit cross-modality reasoning for practical neurological diagnosis.</t>
  </si>
  <si>
    <t>Raza, Wajih Hassan; Wen, Yu; Shah, Aamir Bader; Shen, Yidan; Martinez-Lemus, Juan; Schiess, Mya Caryn; Ellmore, Timothy Michael; Hu, Renjie; Fu, Xin</t>
  </si>
  <si>
    <t>Fu, X (corresponding author), Univ Houston, Dept Elect &amp; Comp Engn, Houston, TX 77004 USA.</t>
  </si>
  <si>
    <t>xfu8@central.uh.edu</t>
  </si>
  <si>
    <t>National Science Foundation [CCF-2504152, CNS-2130688, CNS-2107057]</t>
  </si>
  <si>
    <t>National Science Foundation</t>
  </si>
  <si>
    <t>This work was supported by the National Science Foundation under Grant CCF-2504152, Grant CNS-2130688, and Grant CNS-2107057.</t>
  </si>
  <si>
    <t>[Raza, Wajih Hassan; Shah, Aamir Bader; Shen, Yidan] Univ Houston, Dept Elect &amp; Comp Engn, Houston, TX USA; [Wen, Yu] SUNY Stony Brook, Dept Elect &amp; Comp Engn, Stony Brook, NY USA; [Martinez-Lemus, Juan] Univ Texas Hlth Sci Ctr Houston, Movement Disorders &amp; Neurodegenerat Dis Div, Houston, TX USA; [Schiess, Mya Caryn] Univ Texas Hlth Sci Ctr Houston, Dept Neurol, McGovern Med Sch, Houston, TX USA; [Ellmore, Timothy Michael] CUNY, Dept Psychol, New York, NY USA; [Hu, Renjie] Univ Houston, Dept Informat Sci Technol, Houston, TX USA; [Fu, Xin] Univ Houston, Dept Elect &amp; Comp Engn, Houston, TX 77004 USA</t>
  </si>
  <si>
    <t>University of Houston System; University of Houston; State University of New York (SUNY) System; Stony Brook University; University of Texas System; University of Texas Health Science Center Houston; University of Texas System; University of Texas Health Science Center Houston; City University of New York (CUNY) System; University of Houston System; University of Houston; University of Houston System; University of Houston</t>
  </si>
  <si>
    <t>NeuroMoE plus plus : Patient-Adaptive Multi-Level Multimodal Fusion With Mixture-of-Experts for Neurological Disorder Classification</t>
  </si>
  <si>
    <t>IEEE TRANSACTIONS ON BIOMEDICAL ENGINEERING</t>
  </si>
  <si>
    <t>Magnetic resonance imaging (MRI); mixture-of-experts; multi-modal machine learning; neurological disorders</t>
  </si>
  <si>
    <t>0018-9294</t>
  </si>
  <si>
    <t>1558-2531</t>
  </si>
  <si>
    <t>IEEE T BIO-MED ENG</t>
  </si>
  <si>
    <t>IEEE Trans. Biomed. Eng.</t>
  </si>
  <si>
    <t>73</t>
  </si>
  <si>
    <t>2784</t>
  </si>
  <si>
    <t>2794</t>
  </si>
  <si>
    <t>10.1109/TBME.2026.3691657</t>
  </si>
  <si>
    <t>http://dx.doi.org/10.1109/TBME.2026.3691657</t>
  </si>
  <si>
    <t>MQ8BP</t>
  </si>
  <si>
    <t>42127062</t>
  </si>
  <si>
    <t>WOS:001848669500004</t>
  </si>
  <si>
    <t>Bai, ZL; Osman, M; Brendel, M; Tangen, CM; Flaig, TW; Thompson, IM; Plets, M; Lucia, MS; Theodorescu, D; Gustafson, D; Daneshmand, S; Meeks, JJ; Choi, W; Dinney, CPN; Elemento, O; Lerner, SP; Mcconkey, DJ; Faltas, BM; Wang, F</t>
  </si>
  <si>
    <t>Building accurate prediction models and identifying predictive biomarkers for treatment response in Muscle-Invasive Bladder Cancer (MIBC) are essential for improving patient survival but remain challenging due to tumor heterogeneity, despite numerous related studies. To address this unmet need, we developed an interpretable Graph-based Multimodal Late Fusion (GMLF) deep learning framework. Integrating histopathology and cell type data from standard H&amp;E images with gene expression profiles derived from RNA sequencing from the SWOG S1314-COXEN clinical trial (ClinicalTrials.gov NCT02177695 2014-06-25), GMLF uncovered new histopathological, cellular, and molecular determinants of response to neoadjuvant chemotherapy. Specifically, we identified key gene signatures that drive the predictive power of our model, including alterations in TP63, CCL5, and DCN. Our discovery can optimize treatment strategies for patients with MIBC, e.g., improving clinical outcomes, avoiding unnecessary treatment, and ultimately, bladder preservation. Additionally, our approach could be used to uncover predictors for other cancers.</t>
  </si>
  <si>
    <t>Bai, Zilong; Osman, Mohamed; Brendel, Matthew; Tangen, Catherine M.; Flaig, Thomas W.; Thompson, Ian M.; Plets, Melissa; Scott Lucia, M.; Theodorescu, Dan; Gustafson, Daniel; Daneshmand, Siamak; Meeks, Joshua J.; Choi, Woonyoung; Dinney, Colin P. N.; Elemento, Olivier; Lerner, Seth P.; Mcconkey, David J.; Faltas, Bishoy M.; Wang, Fei</t>
  </si>
  <si>
    <t>Faltas, BM; Wang, F (corresponding author), Weill Cornell Med, New York, NY 10065 USA.</t>
  </si>
  <si>
    <t>few2001@med.cornell.edu; bmf9003@med.cornell.edu</t>
  </si>
  <si>
    <t>NIH/NCI grants [U10CA180888, U10CA180819]; National Institutes of Health (NIH) / National Cancer Institute (NCI) [1750326]; National Science Foundation</t>
  </si>
  <si>
    <t>NIH/NCI grants; National Institutes of Health (NIH) / National Cancer Institute (NCI) (United States Department of Health &amp; Human Services, National Institutes of Health (NIH) - USA, NIH National Cancer Institute (NCI)); National Science Foundation (National Science Foundation (NSF))</t>
  </si>
  <si>
    <t>This work is supported by the National Institutes of Health (NIH) / National Cancer Institute (NCI) under Award Nos. U10CA180888 and U10CA180819. It is also supported by the National Science Foundation under Award No. 1750326.</t>
  </si>
  <si>
    <t>[Bai, Zilong; Osman, Mohamed; Brendel, Matthew; Elemento, Olivier; Faltas, Bishoy M.; Wang, Fei] Weill Cornell Med, New York, NY 10065 USA; [Tangen, Catherine M.; Plets, Melissa] SWOG Stat &amp; Data Management Ctr, Seattle, WA USA; [Flaig, Thomas W.; Scott Lucia, M.; Gustafson, Daniel] Univ Colorado, Comprehens Canc Ctr, Aurora, CO USA; [Thompson, Ian M.] Childrens Hosp San Antonio, San Antonio, TX USA; [Theodorescu, Dan] Cedars Sinai Canc, Los Angeles, CA USA; [Daneshmand, Siamak] USC Norris Comprehens Canc Ctr, USC Inst Urol, Los Angeles, CA USA; [Meeks, Joshua J.] Northwestern Univ, Chicago, IL USA; [Choi, Woonyoung; Mcconkey, David J.] Johns Hopkins Univ, Baltimore, MD USA; [Dinney, Colin P. N.] MD Anderson Canc Ctr, Houston, TX USA; [Lerner, Seth P.] Baylor Coll Med, Houston, TX USA</t>
  </si>
  <si>
    <t>Cornell University; Weill Cornell Medicine; Southwest Oncology Group; University of Colorado System; University of Colorado Anschutz; University of Southern California; University Southern California Hospital; Northwestern University; Johns Hopkins University; University of Texas System; UTMD Anderson Cancer Center; Baylor College of Medicine</t>
  </si>
  <si>
    <t>Predicting response to neoadjuvant chemotherapy in muscle-invasive bladder cancer via interpretable multimodal deep learning</t>
  </si>
  <si>
    <t>CISPLATIN-BASED CHEMOTHERAPY; DNA-REPAIR; UROTHELIAL CARCINOMA; RADICAL CYSTECTOMY; CELL CARCINOMA; RESISTANCE; HETEROGENEITY; SENSITIVITY; PROGRESSION; EXPRESSION</t>
  </si>
  <si>
    <t>Faltas, Bishoy/J-5739-2019; Osman, Mohamed/AAY-2930-2021; Elemento, Olivier/ADL-3192-2022; Daneshmand, Siamak/AAU-2357-2020; Wang, Fei/HRA-7319-2023</t>
  </si>
  <si>
    <t>Osman, Mohamed/0000-0002-7909-0621; Bai, Zilong/0000-0002-3891-8015</t>
  </si>
  <si>
    <t>MAR 22 2025</t>
  </si>
  <si>
    <t>174</t>
  </si>
  <si>
    <t>10.1038/s41746-025-01560-y</t>
  </si>
  <si>
    <t>http://dx.doi.org/10.1038/s41746-025-01560-y</t>
  </si>
  <si>
    <t>1MF3Z</t>
  </si>
  <si>
    <t>40121304</t>
  </si>
  <si>
    <t>WOS:001468348700001</t>
  </si>
  <si>
    <t>N</t>
  </si>
  <si>
    <t>Y</t>
  </si>
  <si>
    <t>Miao, JX; Liu, Q; Zhao, JN; Fan, SS; Wang, SW; Ye, F; Wu, S; Li, JZ; Zhang, HR; Zhang, M; Bu, H; Han, X; Teng, LH; Liu, YP</t>
  </si>
  <si>
    <t>Objective: Accurate detection of PIK3CA mutations is essential for guiding PI3K-targeted therapies in breast cancer, yet sequencing is not universally accessible, and single-modality prediction models have limited performance. This study developed a multimodal deep learning framework integrating whole-slide imaging (WSI) and structured clinical data to improve mutation prediction. Methods: A total of 1,047 patients from TCGA and 166 patients from 3 external centers were included. The histopathology model used a transformer-based pretrained encoder (H-optimus-0) and a clustering-constrained attention multiple instance learning (CLAM-SB MIL) classifier to generate WSI-level representations. The clinical model incorporated engineered clinical variables and an extreme gradient boosting (XGBoost) model. A decision-level late fusion strategy (Multimodal PIK3CA Model, MPM) combined probabilistic outputs from both branches. Performance was evaluated with the area under the curve (AUC) and secondary metrics. Interpretability was assessed via attention heatmaps and shapley additive explanations (SHAP) analysis. Results: MPM outperformed single-modality models. It achieved an AUC of 0.745 on TCGA and maintained stable performance across external cohorts (0.695, 0.690, and 0.680). SHAP analysis identified molecular subtype as the most influential clinical feature, whereas attention maps highlighted mutation-associated morphological regions. Conclusions: The developed multimodal framework effectively integrates complementary morphological and clinical information, and provides a robust and generalizable method for predicting PIK3CA mutation status. Strong multicenter adaptability and biological interpretability support its potential use as a clinical decision-support tool and an accessible alternative to molecular testing.</t>
  </si>
  <si>
    <t>Miao, Jiaxian; Liu, Qi; Zhao, Jianing; Fan, Shishun; Wang, Shenwen; Ye, Feng; Wu, Si; Li, Jinze; Zhang, Huirui; Zhang, Meng; Bu, Hong; Han, Xiao; Teng, Lianghong; Liu, Yueping</t>
  </si>
  <si>
    <t>Liu, YP (corresponding author), Hebei Med Univ, Hosp 4, Dept Pathol, Shijiazhuang 050011, Peoples R China.; Teng, LH (corresponding author), Capital Med Univ, Xuanwu Hosp, Dept Pathol, Beijing 100053, Peoples R China.; Han, X (corresponding author), Sichuan Univ, Coll Biomed Engn, Chengdu 610065, Peoples R China.</t>
  </si>
  <si>
    <t>annama@163.com; tenglianghong@xwhosp.org; xiao_han@scu.edu.cn</t>
  </si>
  <si>
    <t>Hebei Natural Science Foundation [H2024206504]; Medical Science Research Project of Hebei [20260484, 20260530]; Fundamental Research Funds for the Central Universities [20822041J4123]</t>
  </si>
  <si>
    <t>Hebei Natural Science Foundation (Natural Science Foundation of Hebei Province); Medical Science Research Project of Hebei; Fundamental Research Funds for the Central Universities (Fundamental Research Funds for the Central Universities)</t>
  </si>
  <si>
    <t>This study was financially supported by the Hebei Natural Science Foundation (Grant No. H2024206504) , the Medical Science Research Project of Hebei (Grant No. 20260484, 20260530) , and the Fundamental Research Funds for the Central Universities (Grant No. 20822041J4123) .</t>
  </si>
  <si>
    <t>[Miao, Jiaxian; Zhao, Jianing; Fan, Shishun; Wu, Si; Li, Jinze; Zhang, Huirui; Liu, Yueping] Hebei Med Univ, Hosp 4, Dept Pathol, Shijiazhuang 050011, Peoples R China; [Liu, Qi; Wang, Shenwen] Hebei GEO Univ, Sch Informat Engn, Shijiazhuang 052161, Peoples R China; [Ye, Feng; Bu, Hong] Sichuan Univ, West China Hosp, Lab Pathol, Chengdu 610041, Peoples R China; [Zhang, Meng; Teng, Lianghong] Capital Med Univ, Xuanwu Hosp, Dept Pathol, Beijing 100053, Peoples R China; [Han, Xiao] Sichuan Univ, Coll Biomed Engn, Chengdu 610065, Peoples R China</t>
  </si>
  <si>
    <t>Hebei Medical University; Hebei GEO University; Sichuan University; Capital Medical University; Sichuan University</t>
  </si>
  <si>
    <t>Multimodal artificial intelligence predicts PIK3CA mutation in breast cancer from digital pathology and clinical data: a multicenter study</t>
  </si>
  <si>
    <t>CANCER BIOLOGY &amp; MEDICINE</t>
  </si>
  <si>
    <t>Breast cancer; PIK3CA mutation; multimodal artificial intelligence; whole-slide imaging; computational pathology</t>
  </si>
  <si>
    <t>FOUNDATION MODEL; LANDSCAPE</t>
  </si>
  <si>
    <t>CHINA ANTI-CANCER ASSOC</t>
  </si>
  <si>
    <t>TIANJIN</t>
  </si>
  <si>
    <t>TIANJIN MEDICAL UNIV, CANCER INST &amp; HOSPITAL TI-YUAN-BEI, HUANHU XI LU, HEXIQU, TIANJIN, 300060, PEOPLES R CHINA</t>
  </si>
  <si>
    <t>2095-3941</t>
  </si>
  <si>
    <t>CANCER BIOL MED</t>
  </si>
  <si>
    <t>Cancer Biol. Med.</t>
  </si>
  <si>
    <t>MAR 15 2026</t>
  </si>
  <si>
    <t>430</t>
  </si>
  <si>
    <t>450</t>
  </si>
  <si>
    <t>10.20892/j.issn.2095-3941.2025.0771</t>
  </si>
  <si>
    <t>http://dx.doi.org/10.20892/j.issn.2095-3941.2025.0771</t>
  </si>
  <si>
    <t>Oncology; Medicine, Research &amp; Experimental</t>
  </si>
  <si>
    <t>Oncology; Research &amp; Experimental Medicine</t>
  </si>
  <si>
    <t>GL1ST</t>
  </si>
  <si>
    <t>41968976</t>
  </si>
  <si>
    <t>WOS:001739009200011</t>
  </si>
  <si>
    <t>Zhang, WC; Zhang, SW; You, JD; Li, FL; Wu, XY; Lu, XX; Lv, QJ; Huang, J; Yi, YH; Bu, H</t>
  </si>
  <si>
    <t>BackgroundNeoadjuvant therapy (NAC) is a standard treatment for breast cancer, yet only some patients gain significant benefit. Identifying those most likely to benefit from NAC is crucial. Single-modality data often overlook patient heterogeneity, so we developed an interpretable, attention-based multimodal full information feature fusion transformer, MuFi, to predict NAC responses by integrating whole slide images (WSI) and magnetic resonance imaging (MRI).MethodsData from 567 biopsy-confirmed breast cancer patients from two institutions were retrospectively analyzed, with a training cohort (n = 290), validation cohort (n = 73), and external test cohort (n = 204). Multimodal data included pre-treatment pathology slides, MRI scans, and clinical information. A memory-efficient multimodal model was used to fuse WSIs and MRI, with a transformer capturing interactions between histological patches and MRI features.ResultsMuFi achieved AUCs of 81.9% and 78.5% in discovery and validation cohorts and 79.3% in external testing, outperforming clinical, single-modality and late-fusion-based models. Integrating clinical data (cT and molecular subtype) with MuFi and Feature Re-calibration based Multiple Instance Learning (FRMIL) models further increased AUCs to 90.2%, 81.8%, and 81.6% across the cohorts, indicating enhanced predictive accuracy and generalizability, especially in external testing.ConclusionBy fusing pathology and radiology features, MuFi improves decision reliability and identifies critical multimodal predictors. This integration framework better captures patient heterogeneity, supporting personalized NAC decision-making through improved accuracy and generalizability.</t>
  </si>
  <si>
    <t>Zhang, Wenchuan; Zhang, Shuwan; You, Jiadi; Li, Fengling; Wu, Xiaoyan; Lu, Xunxi; Lv, Qingjie; Huang, Juan; Yi, Yuhao; Bu, Hong</t>
  </si>
  <si>
    <t>Yi, YH (corresponding author), Sichuan Univ, West China Hosp, Inst Clin Pathol, Chengdu 610041, Sichuan, Peoples R China.; Lv, QJ (corresponding author), China Med Univ, Dept Pathol, Shengjing Hosp, Shenyang 110004, Liaoning, Peoples R China.; Lv, QJ (corresponding author), China Med Univ, Key Lab Intelligent &amp; Precis Pathol Diag Oncol, Shenyang 110004, Liaoning, Peoples R China.; Huang, J (corresponding author), Sichuan Univ, West China Hosp, Dept Radiol, Chengdu 610041, Sichuan, Peoples R China.; Yi, YH (corresponding author), Sichuan Univ, Coll Comp Sci, Chengdu 610041, Sichuan, Peoples R China.</t>
  </si>
  <si>
    <t>lvqjie@163.com; 331883561@qq.com; yuhaoyi@scu.edu.cn</t>
  </si>
  <si>
    <t>the Key R&amp;D Project of Sichuan Provincial Science and Technology Department [2024YFFK0339]; the National Natural Science Foundation of China [82404081, 82072095, 62303338]; the Fundamental Research Funds for the Central Universities, under grant Sichuan University [YJ202285]</t>
  </si>
  <si>
    <t>the Key R&amp;D Project of Sichuan Provincial Science and Technology Department; the National Natural Science Foundation of China (National Natural Science Foundation of China (NSFC)); the Fundamental Research Funds for the Central Universities, under grant Sichuan University</t>
  </si>
  <si>
    <t>This study was supported by the National Natural Science Foundation of China (Grant Nos. 82072095, 62303338, and 82404081) and the Key R&amp;D Project of Sichuan Provincial Science and Technology Department (2024YFFK0339).</t>
  </si>
  <si>
    <t>[Zhang, Wenchuan; Li, Fengling; Wu, Xiaoyan; Lu, Xunxi; Bu, Hong] Sichuan Univ, West China Hosp, Dept Pathol, Chengdu 610041, Sichuan, Peoples R China; [Zhang, Wenchuan; Li, Fengling; Wu, Xiaoyan; Lu, Xunxi; Yi, Yuhao; Bu, Hong] Sichuan Univ, West China Hosp, Inst Clin Pathol, Chengdu 610041, Sichuan, Peoples R China; [Zhang, Shuwan; Lv, Qingjie] China Med Univ, Dept Pathol, Shengjing Hosp, Shenyang 110004, Liaoning, Peoples R China; [Zhang, Shuwan; Lv, Qingjie] China Med Univ, Key Lab Intelligent &amp; Precis Pathol Diag Oncol, Shenyang 110004, Liaoning, Peoples R China; [You, Jiadi] Hong Kong Univ Sci &amp; Technol Guangzhou, AI Thrust, Informat Hub, Guangzhou 511453, Guangdong, Peoples R China; [Huang, Juan] Sichuan Univ, West China Hosp, Dept Radiol, Chengdu 610041, Sichuan, Peoples R China; [Yi, Yuhao] Sichuan Univ, Coll Comp Sci, Chengdu 610041, Sichuan, Peoples R China</t>
  </si>
  <si>
    <t>Sichuan University; Sichuan University; China Medical University; China Medical University; Hong Kong University of Science &amp; Technology (Guangzhou); Sichuan University; Sichuan University</t>
  </si>
  <si>
    <t>Attention-based multimodal fusion transformer for predicting the efficacy of neoadjuvant therapy in breast cancer: a cross-institutional retrospective study</t>
  </si>
  <si>
    <t>BREAST CANCER RESEARCH</t>
  </si>
  <si>
    <t>Multimodal fusion; Self-attention mechanism; Breast cancer; Neoadjuvant chemotherapy; Ensemble model</t>
  </si>
  <si>
    <t>PATHOLOGICAL COMPLETE RESPONSE; CHEMOTHERAPY</t>
  </si>
  <si>
    <t>1465-5411</t>
  </si>
  <si>
    <t>1465-542X</t>
  </si>
  <si>
    <t>BREAST CANCER RES</t>
  </si>
  <si>
    <t>Breast Cancer Res.</t>
  </si>
  <si>
    <t>DEC 6 2025</t>
  </si>
  <si>
    <t>10.1186/s13058-025-02181-9</t>
  </si>
  <si>
    <t>http://dx.doi.org/10.1186/s13058-025-02181-9</t>
  </si>
  <si>
    <t>AY4DJ</t>
  </si>
  <si>
    <t>41353427</t>
  </si>
  <si>
    <t>WOS:001659719900001</t>
  </si>
  <si>
    <t>Zhu, KJ; Li, H; Zhang, H; Wang, B; Shen, B; Nie, Y</t>
  </si>
  <si>
    <t>Background: Deep vein thrombosis (DVT) following total knee arthroplasty (TKA) remains a major postoperative complication. Conventional risk assessment tools such as the Caprini score show limited predictive performance (AUC 0.65-0.72). We developed a multimodal deep learning framework that integrates early postoperative radiographs with clinical data to improve DVT risk stratification. Methods: This single-center retrospective cohort study analyzed 1200 patients undergoing primary unilateral TKA (DVT incidence: 18.0%) from January 2018 to June 2023. A dual-branch architecture was implemented: ViT-B/16 or ResNet50 processed standardized radiographs (metal artifact suppression; 512 &amp; times; 512 resolution), while Clinical-BERT encoded structured electronic medical record (EMR) representations. A dynamic attention fusion module generated sample-specific modality weights (alpha) for feature fusion (alpha &amp; centerdot;v_img + (1 - alpha)&amp; centerdot;v_txt). Performance was evaluated on a stratified test set (n = 180) against the Caprini score, unimodal models, and a nonattention concatenation fusion baseline. AUCs were compared using the DeLong test, and sensitivity/specificity differences were assessed using the McNemar test. Results: The multimodal model achieved an AUC of 0.89 (95% CI: 0.85-0.92; DeLong p &lt; 0.001 vs. all comparators), sensitivity 83% (76%-89%), specificity 88% (82%-93%), and F1-score 0.79. It identified 91.7% (11/12) of DVT cases labeled low-risk by Caprini. The learned attention coefficient alpha suggested modality reliance patterns associated with specific findings (e.g., higher alpha in cases with prosthesis-bone lucency &gt; 2 mm; higher text contribution in cases with D-dimer &gt; 1.0 mg/L), but these associations do not establish causality. Anatomical heatmaps consistently localized high-risk regions, particularly the popliteal vein projection area and tibial interface. Conclusion: This attention-based multimodal model integrates biomechanical (radiographic) and biochemical/clinical (EMR-derived) signals to improve early postoperative DVT risk prediction while providing interpretable anatomical cues.</t>
  </si>
  <si>
    <t>Zhu, Kejia; Li, Hang; Zhang, Hui; Wang, Biao; Shen, Bin; Nie, Yong</t>
  </si>
  <si>
    <t>Nie, Y (corresponding author), Sichuan Univ, Dept Orthoped Surg, West China Hosp, Chengdu, Peoples R China.; Nie, Y (corresponding author), Sichuan Univ, West China Hosp, Orthoped Res Inst, Chengdu, Peoples R China.</t>
  </si>
  <si>
    <t>nieyong1983@wchscu.cn</t>
  </si>
  <si>
    <t>1centerdot;3centerdot;5 Projects for Artificial Intelligence West China Hospital [ZYAI24038]; 1centerdot;3centerdot;5 Project for Disciplines of Excellence-Clinical Research Fund, West China Hospital [2023HXFH024]; Sichuan Provincial International Science and Technology Innovation Cooperation [2025YFHZ0110]; National Key Research and Development Program of China [2023YFB4606700]</t>
  </si>
  <si>
    <t>1centerdot;3centerdot;5 Projects for Artificial Intelligence West China Hospital; 1centerdot;3centerdot;5 Project for Disciplines of Excellence-Clinical Research Fund, West China Hospital; Sichuan Provincial International Science and Technology Innovation Cooperation; National Key Research and Development Program of China (National Key Research &amp; Development Program of China)</t>
  </si>
  <si>
    <t>The study was funded by the National Key Research and Development Program (2023YFB4606700); the Sichuan Provincial International Science and Technology Innovation Cooperation (2025YFHZ0110); 1 &amp; centerdot;3 &amp; centerdot;5 Projects for Artificial Intelligence West China Hospital (ZYAI24038); 1 &amp; centerdot;3 &amp; centerdot;5 Project for Disciplines of Excellence-Clinical Research Fund, West China Hospital (2023HXFH024).</t>
  </si>
  <si>
    <t>[Zhu, Kejia; Li, Hang; Shen, Bin; Nie, Yong] Sichuan Univ, Dept Orthoped Surg, West China Hosp, Chengdu, Peoples R China; [Zhu, Kejia; Li, Hang; Shen, Bin; Nie, Yong] Sichuan Univ, West China Hosp, Orthoped Res Inst, Chengdu, Peoples R China; [Zhang, Hui] Sichuan Univ, West China Hosp, Rehabil Med Ctr, Chengdu, Peoples R China; [Zhang, Hui] Sichuan Univ, West China Hosp, Inst Rehabil Med, Chengdu, Peoples R China; [Wang, Biao] Sichuan Univ, West China Hosp, West China Biomed Big Data Ctr, Chengdu, Peoples R China</t>
  </si>
  <si>
    <t>Sichuan University; Sichuan University; Sichuan University; Sichuan University; Sichuan University</t>
  </si>
  <si>
    <t>Multimodal Deep Learning for Predicting Deep Vein Thrombosis Risk After Total Knee Arthroplasty: A Clinical Study</t>
  </si>
  <si>
    <t>ORTHOPAEDIC SURGERY</t>
  </si>
  <si>
    <t>attention mechanism; deep vein thrombosis; multimodal deep learning; risk prediction; total knee arthroplasty</t>
  </si>
  <si>
    <t>1757-7853</t>
  </si>
  <si>
    <t>1757-7861</t>
  </si>
  <si>
    <t>ORTHOP SURG</t>
  </si>
  <si>
    <t>Orthop. Surg.</t>
  </si>
  <si>
    <t>1574</t>
  </si>
  <si>
    <t>1580</t>
  </si>
  <si>
    <t>10.1111/os.70335</t>
  </si>
  <si>
    <t>http://dx.doi.org/10.1111/os.70335</t>
  </si>
  <si>
    <t>Orthopedics</t>
  </si>
  <si>
    <t>MD1ZZ</t>
  </si>
  <si>
    <t>42304630</t>
  </si>
  <si>
    <t>WOS:001795371300001</t>
  </si>
  <si>
    <t>Alcaraz, JML; Strodthoff, N</t>
  </si>
  <si>
    <t>This study investigates the feasibility of using electrocardiogram (ECG) data combined with basic patient metadata to estimate and monitor prompt laboratory abnormalities. We use the MIMIC-IV dataset to train multimodal deep learning models on ECG waveforms, demographics, biometrics, and vital signs. Our model is a structured state space classifier with late fusion for metadata. We frame the task as individual binary classifications per abnormality and evaluate performance using AUROC. The models achieve strong performance, with AUROCs above 0.70 for 24 lab values in abnormality prediction and up to 24 in abnormality forecasting, across cardiac, renal, hematological, metabolic, immunological, and coagulation categories. NTproBNP (&gt;= 353 pg/mL) is best predicted (AUROC &gt; 0.90). Other values with AUROC &gt; 0.85 include Hemoglobin (&gt;= 17.5 g/dL), Albumin (&gt;= 5.2 g/dL), and Hematocrit (&gt;= 51%). Our findings show ECG combined with clinical data enables prompt abnormality prediction and forecasting of lab abnormalities, offering a non-invasive, cost-effective alternative to traditional testing. This can support early intervention and enhanced patient monitoring. ECG and clinical data can help estimate and monitor abnormal lab values, potentially improving care while reducing reliance on invasive and costly procedures.</t>
  </si>
  <si>
    <t>Alcaraz, Juan Miguel Lopez; Strodthoff, Nils</t>
  </si>
  <si>
    <t>Strodthoff, N (corresponding author), Carl von Ossietzky Univ Oldenburg, AI4Hlth Div, D-26129 Oldenburg, Germany.</t>
  </si>
  <si>
    <t>nils.strodthoff@uol.de</t>
  </si>
  <si>
    <t>Carl von Ossietzky Universitt Oldenburg (3092)</t>
  </si>
  <si>
    <t>Open Access funding enabled and organized by Projekt DEAL.</t>
  </si>
  <si>
    <t>[Alcaraz, Juan Miguel Lopez; Strodthoff, Nils] Carl von Ossietzky Univ Oldenburg, AI4Hlth Div, D-26129 Oldenburg, Germany</t>
  </si>
  <si>
    <t>Carl von Ossietzky Universitat Oldenburg</t>
  </si>
  <si>
    <t>Abnormality prediction and forecasting of laboratory values from electrocardiogram signals using multimodal deep learning</t>
  </si>
  <si>
    <t>Electrocardiogram (ECG); Laboratory abnormalities; Multimodal deep learning; Structured state space model; Clinical decision support</t>
  </si>
  <si>
    <t>CARE</t>
  </si>
  <si>
    <t>Strodthoff, Nils/AAK-8661-2021</t>
  </si>
  <si>
    <t>NOV 10 2025</t>
  </si>
  <si>
    <t>39362</t>
  </si>
  <si>
    <t>10.1038/s41598-025-26715-5</t>
  </si>
  <si>
    <t>http://dx.doi.org/10.1038/s41598-025-26715-5</t>
  </si>
  <si>
    <t>9SL4T</t>
  </si>
  <si>
    <t>41214165</t>
  </si>
  <si>
    <t>WOS:001613940600010</t>
  </si>
  <si>
    <t>Li, MY; Fang, Y; Shao, J; Jiang, Y; Xu, GP; Cui, XW; Wu, XL</t>
  </si>
  <si>
    <t>Background: In the context of routine breast cancer diagnosis, the precise discrimination between benign and malignant breast masses holds utmost significance. Notably, few prior investigations have concurrently explored the integration of imaging histology features, deep learning characteristics, and clinical parameters. The primary objective of this retrospective study was to pioneer a multimodal feature fusion model tailored for the prediction of breast tumor malignancy, harnessing the potential of ultrasound images. Method: We compiled a dataset that included clinical features from 1065 patients and 3315 image datasets. Specifically, we selected data from 603 patients for training our multimodal model. The comprehensive experimental workflow involves identifying the optimal unimodal model, extracting unimodal features, fusing multimodal features, gaining insights from these fused features, and ultimately generating prediction results using a classifier. Results: Our multimodal feature fusion model demonstrates outstanding performance, achieving an AUC of 0.994 (95 % CI: 0.988-0.999) and an F1 score of 0.971 on the primary multicenter dataset. In the evaluation on two independent testing cohorts (TCs), it maintains strong performance, with AUCs of 0.942 (95 % CI: 0.854-0.994) for TC1 and 0.945 (95 % CI: 0.857-1.000) for TC2, accompanied by corresponding F1 scores of 0.872 and 0.857, respectively. Notably, the decision curve analysis reveals that our model achieves higher accuracy within the threshold probability range of approximately [0.210, 0.890] (TC1) and [0.000, 0.850] (TC2) compared to alternative methods. This capability enhances its utility in clinical decision-making, providing substantial benefits. Conclusion: The multimodal model proposed in this paper can comprehensively evaluate patients' multifaceted clinical information, achieve the prediction of benign and malignant breast ultrasound tumors, and obtain high performance indexes.</t>
  </si>
  <si>
    <t>Li, Mengying; Fang, Yin; Shao, Jiong; Jiang, Yan; Xu, Guoping; Cui, Xin-wu; Wu, Xinglong</t>
  </si>
  <si>
    <t>Wu, XL (corresponding author), Wuhan Inst Technol, Sch Comp Sci &amp; Engn, Hubei Key Lab Intelligent Robot, Wuhan, Peoples R China.</t>
  </si>
  <si>
    <t>xwu@wit.edu.cn</t>
  </si>
  <si>
    <t>[Li, Mengying; Fang, Yin; Shao, Jiong; Jiang, Yan; Xu, Guoping; Wu, Xinglong] Wuhan Inst Technol, Sch Comp Sci &amp; Engn, Hubei Key Lab Intelligent Robot, Wuhan, Peoples R China; [Cui, Xin-wu] Huazhong Univ Sci &amp; Technol, Tongji Hosp, Tongji Med Coll, Dept Med Ultrasound, Wuhan, Peoples R China</t>
  </si>
  <si>
    <t>Wuhan Institute of Technology; Huazhong University of Science &amp; Technology</t>
  </si>
  <si>
    <t>Vision transformer-based multimodal fusion network for classification of tumor malignancy on breast ultrasound: A retrospective multicenter study</t>
  </si>
  <si>
    <t>INTERNATIONAL JOURNAL OF MEDICAL INFORMATICS</t>
  </si>
  <si>
    <t>Breast ultrasound; Radiomics; Deep learning; Breast cancer; Feature fusion</t>
  </si>
  <si>
    <t>RADIOMICS; CANCER</t>
  </si>
  <si>
    <t>Cui, Xin-Wu/H-2140-2015; Xu, Guoping/HJY-3520-2023; Wu, Xinglong/IVV-4926-2023</t>
  </si>
  <si>
    <t>1386-5056</t>
  </si>
  <si>
    <t>1872-8243</t>
  </si>
  <si>
    <t>INT J MED INFORM</t>
  </si>
  <si>
    <t>Int. J. Med. Inform.</t>
  </si>
  <si>
    <t>196</t>
  </si>
  <si>
    <t>105793</t>
  </si>
  <si>
    <t>10.1016/j.ijmedinf.2025.105793</t>
  </si>
  <si>
    <t>http://dx.doi.org/10.1016/j.ijmedinf.2025.105793</t>
  </si>
  <si>
    <t>Computer Science, Information Systems; Health Care Sciences &amp; Services; Medical Informatics</t>
  </si>
  <si>
    <t>Computer Science; Health Care Sciences &amp; Services; Medical Informatics</t>
  </si>
  <si>
    <t>U3A7Y</t>
  </si>
  <si>
    <t>39862564</t>
  </si>
  <si>
    <t>WOS:001410569900001</t>
  </si>
  <si>
    <t>César, I; Pereira, I; Rodrigues, F; Miguéis, VL; Nicola, S; Madureira, A; Reis, JL; Dos Santos, JPM; Coelho, D; De Oliveira, DA</t>
  </si>
  <si>
    <t>The growing interest in learning more about consumer behaviors through analytical techniques requires the integration of innovative approaches that relate their needs to strategic marketing procedures. Multimodality and Affective Computing combined a series of robust optimizations for this challenge, implying the complexity of each application. However, the entanglement of different modalities demands new and tailored refinements to enhance adaptability and accuracy in the field. This paper outlines the implementation of a Multimodal Artificial Intelligence methodology with Affective Computing to enhance consumer insights and marketing strategies. The application combines different data modalities, such as textual, visual, and audio inputs, to tackle complex issues in dealing with consumer sentiment. The proposed approach uses advanced preprocessing techniques, including word embeddings, neural networks, and recurrent models, to extract information from diverse modalities. Fusion strategies, such as attention-based and late fusion procedures, are utilized to combine knowledge, facilitating robust sentiment detection. The implementation includes the analysis of real-time customer feedback on social media and product assessments, demonstrating improvements in predicting engagement and shaping consumer behavior. The results underscore the practical viability of the suggested method, promoting progress in multimodal sentiment analysis to extract actionable consumer insights in marketing.</t>
  </si>
  <si>
    <t>Cesar, Ines; Pereira, Ivo; Rodrigues, Fatima; Migueis, Vera L.; Nicola, Susana; Madureira, Ana; Luis Reis, Jose; Paulo Marques Dos Santos, Jose; Coelho, Duarte; Alves De Oliveira, Daniel</t>
  </si>
  <si>
    <t>Pereira, I (corresponding author), Inst Super Engn Porto, Interdisciplinary Studies Res Ctr ISRC, P-4249015 Porto, Portugal.; Pereira, I (corresponding author), Univ Porto, Inst Engn Sistemas &amp; Comp Tecnol &amp; Ciencia INESC T, Fac Engn, P-4200465 Porto, Portugal.</t>
  </si>
  <si>
    <t>iap@isep.ipp.pt</t>
  </si>
  <si>
    <t>National Funds through the FCT-Fundaco para a Ciencia e Tecnologia, within PHYNHANCAI Project</t>
  </si>
  <si>
    <t>This work was supported by the National Funds through the FCT-Fundac &amp; atilde;o para a Ciencia e Tecnologia, within PHYNHANCAI Project (http://doi.org/10.54499/2022.01303.PTDC)</t>
  </si>
  <si>
    <t>[Cesar, Ines; Pereira, Ivo; Rodrigues, Fatima; Nicola, Susana; Madureira, Ana; Coelho, Duarte] Inst Super Engn Porto, Interdisciplinary Studies Res Ctr ISRC, P-4249015 Porto, Portugal; [Pereira, Ivo; Rodrigues, Fatima; Migueis, Vera L.; Nicola, Susana] Univ Porto, Inst Engn Sistemas &amp; Comp Tecnol &amp; Ciencia INESC T, Fac Engn, P-4200465 Porto, Portugal; [Migueis, Vera L.] Univ Porto, Fac Engn, P-4200465 Porto, Portugal; [Madureira, Ana] INESC, INOV Lab, P-1000029 Lisbon, Portugal; [Paulo Marques Dos Santos, Jose; Coelho, Duarte] Univ Maia, Dept Business Adm, Maia, Romania; [Luis Reis, Jose; Paulo Marques Dos Santos, Jose] Univ Porto, Artificial Intelligence &amp; Comp Sci Lab, LIACC, P-4200465 Porto, Portugal; [Alves De Oliveira, Daniel] E goi, P-4450190 Matosinhos, Portugal</t>
  </si>
  <si>
    <t>Universidade do Porto; INESC-ID; Universidade de Lisboa</t>
  </si>
  <si>
    <t>Enhancing Consumer Insights Through Multimodal Artificial Intelligence and Affective Computing</t>
  </si>
  <si>
    <t>Affective computing; Data models; Consumer behavior; Electronic mail; Complexity theory; Visualization; Business; Computational modeling; Accuracy; Technological innovation; artificial intelligence; customer behavior; marketing; multimodal</t>
  </si>
  <si>
    <t>EMOTION RECOGNITION; BRAND ENGAGEMENT</t>
  </si>
  <si>
    <t>Piña-Rodrigues, Fatima/P-4562-2014; Marques dos Santos, Jose Paulo/O-4704-2014; Miguéis, Vera/O-9539-2017; Madureira, Ana/M-7564-2013; Pereira, Ivo/N-1713-2016</t>
  </si>
  <si>
    <t>Reis, José Luís/0000-0002-0987-0980; Marques dos Santos, Jose Paulo/0000-0002-5567-944X; Miguéis, Vera/0000-0001-7831-9140; Coelho, Duarte/0000-0003-2665-8057; Pereira, Ivo/0000-0001-5440-3225; Oliveira, Daniel/0000-0002-8225-5984; Nicola, Susana/0000-0003-1494-7521</t>
  </si>
  <si>
    <t>118706</t>
  </si>
  <si>
    <t>118723</t>
  </si>
  <si>
    <t>10.1109/ACCESS.2025.3586713</t>
  </si>
  <si>
    <t>http://dx.doi.org/10.1109/ACCESS.2025.3586713</t>
  </si>
  <si>
    <t>4ZI4Q</t>
  </si>
  <si>
    <t>WOS:001530262800021</t>
  </si>
  <si>
    <t>Alshmrani, GM; Ni, Q; Jiang, R; Muhammed, N</t>
  </si>
  <si>
    <t>The majority of cancer-related deaths globally are due to lung cancer, which also has the second-highest mortality rate. The segmentation of lung tumours, treatment evaluation, and tumour stage classification have become significantly more accessible with the advent of PET/CT scans. With the advent of PET/CT scans, it is possible to obtain both functioning and anatomic data during a single examination. However, integrating images from different modalities can indeed be time-consuming for medical professionals and remains a challenging task. This challenge arises from several factors, including differences in image acquisition techniques, image resolutions, and the inherent variations in the spectral and temporal data captured by different imaging modalities. Artificial Intelligence (AI) methodologies have shown potential in the automation of image integration and segmentation. To address these challenges, multimodal fusion approach-based U-Net architecture (early fusion, late fusion, dense fusion, hyper-dense fusion, and hyper-dense VGG16 U-Net) are proposed for lung tumour segmentation. Dice scores of 73% show that hyper-dense VGG16 U-Net is superior to the other four proposed models. The proposed method can potentially aid medical professionals in detecting lung cancer at an early stage.</t>
  </si>
  <si>
    <t>Alshmrani, Goram Mufarah; Ni, Qiang; Jiang, Richard; Muhammed, Nada</t>
  </si>
  <si>
    <t>Alshmrani, GM (corresponding author), Univ Lancaster, Sch Comp &amp; Commutat, Lancaster LA1 4YW, England.; Alshmrani, GM (corresponding author), Univ Bisha, Coll Comp &amp; Informat Technol, Bisha 67714, Saudi Arabia.</t>
  </si>
  <si>
    <t>q.ni@lancaster.ac.uk; r.jiang2@lancaster.ac.uk; g.alshmrani@lancaster.ac.uk; nada_elshennawy@f-eng.tanta.edu.eg</t>
  </si>
  <si>
    <t>The Engineering and Physical Sciences Research Council (EPSRC); Engineering and Physical Sciences Research Council [EP/P009727/1] Funding Source: researchfish</t>
  </si>
  <si>
    <t>The Engineering and Physical Sciences Research Council (EPSRC) (UK Research &amp; Innovation (UKRI), Engineering &amp; Physical Sciences Research Council (EPSRC)); Engineering and Physical Sciences Research Council (UK Research &amp; Innovation (UKRI), Engineering &amp; Physical Sciences Research Council (EPSRC))</t>
  </si>
  <si>
    <t>[Alshmrani, Goram Mufarah; Ni, Qiang; Jiang, Richard] Univ Lancaster, Sch Comp &amp; Commutat, Lancaster LA1 4YW, England; [Alshmrani, Goram Mufarah] Univ Bisha, Coll Comp &amp; Informat Technol, Bisha 67714, Saudi Arabia; [Muhammed, Nada] Tanta Univ, Fac Engn, Comp &amp; Control Engn Dept, Tanta 31733, Egypt</t>
  </si>
  <si>
    <t>Lancaster University; University of Bisha; Egyptian Knowledge Bank (EKB); Tanta University</t>
  </si>
  <si>
    <t>Hyper-Dense_Lung_Seg: Multimodal-Fusion-Based Modified U-Net for Lung Tumour Segmentation Using Multimodality of CT-PET Scans</t>
  </si>
  <si>
    <t>DIAGNOSTICS</t>
  </si>
  <si>
    <t>AI; U-Net; multimodal fusion; hyper-dense; multimodality imaging CT; PET; lung tumour segmentation</t>
  </si>
  <si>
    <t>Ni, Qiang/B-4990-2010; Jiang, Richard/IXW-6120-2023</t>
  </si>
  <si>
    <t>Ni, Qiang/0000-0002-4593-1656; Jiang, Richard/0000-0003-1721-9474</t>
  </si>
  <si>
    <t>2075-4418</t>
  </si>
  <si>
    <t>Diagnostics</t>
  </si>
  <si>
    <t>NOV 2023</t>
  </si>
  <si>
    <t>3481</t>
  </si>
  <si>
    <t>10.3390/diagnostics13223481</t>
  </si>
  <si>
    <t>http://dx.doi.org/10.3390/diagnostics13223481</t>
  </si>
  <si>
    <t>Medicine, General &amp; Internal</t>
  </si>
  <si>
    <t>General &amp; Internal Medicine</t>
  </si>
  <si>
    <t>AP1J4</t>
  </si>
  <si>
    <t>37998617</t>
  </si>
  <si>
    <t>WOS:001119572200001</t>
  </si>
  <si>
    <t>Lara-Abelenda, FJ; Chushig-Muzo, D; Wägner, AM; Tayefi, M; Soguero-Ruiz, C</t>
  </si>
  <si>
    <t>Type 1 diabetes (T1D) causes insulin deficiency and exogenous therapy is required for maintaining targeted glucose levels. Hypoglycemia is the most frequent side effect of insulin, being severe hypoglycemia (SH) one of the most critical hazards with a range of life-threatening consequences. Artificial intelligence (AI) and multimodal fusion have boosted predictive performance indifferent domains. This study aims to evaluate the effectiveness of early fusion (EF) and late fusion (LF) approaches for predicting SH, to create a methodology capable of achieving robust results in datasets with a low number of samples for predicting SH and to characterize the risk factors involved in the SH onset using explainable AI (XAI). Data from a case-control study comprising adults over 60 years with T1D and with diabetes duration of 20 years were used and three types of modalities were considered: (1) continuous glucose monitoring data (time series); (2) clinical codes (text); and (3) surveys related to fear, unawareness, depression, and cognitive tests (tabular data). The results revealed that EF outperformed models trained with single-modality data by 5.8%, with an area under the receiver operating characteristic curve of 0.779. XAI techniques helped to discover that features related to fear and unawareness are mainly associated with SH. Our study introduced an interpretable and multimodal methodology capable of predicting the occurrence of SH in adults with T1D in the next year. Our interpretable methodology contributes to predicting SH and identifying related key factors, thus preventing SH complications and improving patient's quality of life.</t>
  </si>
  <si>
    <t>Lara-Abelenda, Francisco J.; Chushig-Muzo, David; Wagner, Ana M.; Tayefi, Maryam; Soguero-Ruiz, Cristina</t>
  </si>
  <si>
    <t>Chushig-Muzo, D (corresponding author), Rey Juan Carlos Univ, Dept Signal Theory &amp; Commun Telemat &amp; Comp Syst, Madrid, Spain.</t>
  </si>
  <si>
    <t>cristina.soguero@urjc.es; david.chushig@urjc.es; ana.wagner@ulpgc.es; maryam.tayefi@ehealthresearch.no; francisco.lara@urjc.es</t>
  </si>
  <si>
    <t>European Commission through the H2020-EU.3.1.4.2, European Project WARIFA [101017385]; Spanish federal [PID2019-107768RA-I00, PID2023-149457OB-I00]</t>
  </si>
  <si>
    <t>European Commission through the H2020-EU.3.1.4.2, European Project WARIFA; Spanish federal</t>
  </si>
  <si>
    <t>This work was supported by the European Commission through the H2020-EU.3.1.4.2, European Project WARIFA (Watching the risk factors: Artificial intelligence and the prevention of chronic conditions) under Grant Agreement 101017385; and by the Spanish federal grants PID2019-107768RA-I00 &amp; PID2023-149457OB-I00 (all funded by the agency AEI/10.13039/501100011033) . The study sponsors have not been involved in any stage of the study.</t>
  </si>
  <si>
    <t>[Lara-Abelenda, Francisco J.; Chushig-Muzo, David; Soguero-Ruiz, Cristina] Rey Juan Carlos Univ, Dept Signal Theory &amp; Commun Telemat &amp; Comp Syst, Madrid, Spain; [Tayefi, Maryam] Univ Las Palmas Gran Canaria, Inst Univ Invest Biomed &amp; Sanitarias, Las Palmas Gran Canaria, Spain; [Tayefi, Maryam] Univ Hosp North Norway, Norwegian Ctr eHlth Res, Tromso, Norway</t>
  </si>
  <si>
    <t>Universidad Rey Juan Carlos; Universidad de Las Palmas de Gran Canaria; UiT The Arctic University of Tromso; University Hospital of North Norway</t>
  </si>
  <si>
    <t>Interpretable and multimodal fusion methodology to predict severe in adults with 1 diabetes</t>
  </si>
  <si>
    <t>ENGINEERING APPLICATIONS OF ARTIFICIAL INTELLIGENCE</t>
  </si>
  <si>
    <t>Type 1 diabetes mellitus; Severe hypoglycemia; Multimodal data fusion; Representation learning; Text representation methods; Explainable artificial intelligence</t>
  </si>
  <si>
    <t>SEVERE HYPOGLYCEMIA; TIME-SERIES; REPRESENTATION; FEAR</t>
  </si>
  <si>
    <t>Chushig-Muzo, David/AAV-5853-2020; Soguero-Ruiz, Cristina/AFG-8932-2022; Wägner, Ana M/AAS-9601-2021</t>
  </si>
  <si>
    <t>Chushig-Muzo, David/0000-0001-5585-2305; Soguero-Ruiz, Cristina/0000-0001-5817-989X; Wägner, Ana M/0000-0002-7663-9308; Lara-Abelenda, francisco/0000-0001-5565-8203</t>
  </si>
  <si>
    <t>0952-1976</t>
  </si>
  <si>
    <t>1873-6769</t>
  </si>
  <si>
    <t>ENG APPL ARTIF INTEL</t>
  </si>
  <si>
    <t>Eng. Appl. Artif. Intell.</t>
  </si>
  <si>
    <t>MAR 15 2025</t>
  </si>
  <si>
    <t>144</t>
  </si>
  <si>
    <t>110142</t>
  </si>
  <si>
    <t>10.1016/j.engappai.2025.110142</t>
  </si>
  <si>
    <t>http://dx.doi.org/10.1016/j.engappai.2025.110142</t>
  </si>
  <si>
    <t>Automation &amp; Control Systems; Computer Science, Artificial Intelligence; Engineering, Multidisciplinary; Engineering, Electrical &amp; Electronic</t>
  </si>
  <si>
    <t>Automation &amp; Control Systems; Computer Science; Engineering</t>
  </si>
  <si>
    <t>X0F9J</t>
  </si>
  <si>
    <t>WOS:001422227500001</t>
  </si>
  <si>
    <t>Zuo, LH; Wang, ZZ; Wang, Y</t>
  </si>
  <si>
    <t>Skin cancer is frequently occurring and has become a major contributor to both cancer incidence and mortality. Accurate and timely diagnosis of skin cancer holds the potential to save lives. Deep learning- based methods have demonstrated significant advancements in the screening of skin cancers. However, most current approaches rely on a single modality input for diagnosis, thereby missing out on valuable complementary information that could enhance accuracy. Although some multimodal-based methods exist, they often lack adaptability and fail to fully leverage multimodal information. In this paper, we introduce a novel uncertainty-based hybrid fusion strategy fora multi-modal learning algorithm aimed at skin cancer diagnosis. Our approach specifically combines three different modalities: clinical images, dermoscopy images, and metadata, to make the final classification. For the fusion of two image modalities, we employ an intermediate fusion strategy that considers the similarity between clinical and dermoscopy images to extract features containing both complementary and correlated information. To capture the correlated information, we utilize cosine similarity, and we employ concatenation as the means for integrating complementary information. In the fusion of image and metadata modalities, we leverage uncertainty to obtain confident late fusion results, allowing our method to adaptively combine the information from different modalities. We conducted comprehensive experiments using a popular publicly available skin disease diagnosis dataset, and the results of these experiments demonstrate the effectiveness of our proposed method. Our proposed fusion algorithm could enhance the clinical applicability of automated skin lesion classification, offering amore robust and adaptive way to make automatic diagnoses with the help of uncertainty mechanism. Code is available at https://github.com/Zuo-Lihan/CosCatNet-Adaptive_Fusion_Algorithm.</t>
  </si>
  <si>
    <t>Zuo, Lihan; Wang, Zizhou; Wang, Yan</t>
  </si>
  <si>
    <t>Wang, Y (corresponding author), ASTAR, Inst High Performance Comp, Singapore 138632, Singapore.</t>
  </si>
  <si>
    <t>wangyan@ihpc.a-star.edu.sg</t>
  </si>
  <si>
    <t>[Zuo, Lihan] Southwest Jiaotong Univ, Sch Comp &amp; Artificial Intelligence, Chengdu 610000, Peoples R China; [Wang, Zizhou; Wang, Yan] ASTAR, Inst High Performance Comp, Singapore 138632, Singapore</t>
  </si>
  <si>
    <t>Southwest Jiaotong University; Agency for Science Technology &amp; Research (A*STAR); A*STAR - Institute of High Performance Computing (IHPC)</t>
  </si>
  <si>
    <t>A multi-stage multi-modal learning algorithm with adaptive multimodal fusion for improving multi-label skin lesion classification</t>
  </si>
  <si>
    <t>ARTIFICIAL INTELLIGENCE IN MEDICINE</t>
  </si>
  <si>
    <t>Skin lesion classification; Multi-modal learning; Multi-label classification; Multi-modal information fusion</t>
  </si>
  <si>
    <t>7-POINT CHECKLIST; DERMOSCOPIC IMAGES; NEURAL-NETWORK</t>
  </si>
  <si>
    <t>wang, yan/AAZ-4988-2021</t>
  </si>
  <si>
    <t>Zuo, Lihan/0009-0004-0745-4846</t>
  </si>
  <si>
    <t>0933-3657</t>
  </si>
  <si>
    <t>1873-2860</t>
  </si>
  <si>
    <t>ARTIF INTELL MED</t>
  </si>
  <si>
    <t>Artif. Intell. Med.</t>
  </si>
  <si>
    <t>103091</t>
  </si>
  <si>
    <t>10.1016/j.artmed.2025.103091</t>
  </si>
  <si>
    <t>http://dx.doi.org/10.1016/j.artmed.2025.103091</t>
  </si>
  <si>
    <t>Computer Science, Artificial Intelligence; Engineering, Biomedical; Medical Informatics</t>
  </si>
  <si>
    <t>Y9Q0S</t>
  </si>
  <si>
    <t>40015211</t>
  </si>
  <si>
    <t>WOS:001435367300001</t>
  </si>
  <si>
    <t>Zhong, ZS; Zhang, HL; Fayad, FH; Lancaster, AC; Sollee, J; Kulkarni, S; Lin, CT; Li, J; Gao, XB; Collins, S; Greineder, CF; Ahn, SH; Bai, HX; Jiao, ZC; Atalay, MK</t>
  </si>
  <si>
    <t>Purpose:Pulmonary embolism (PE) is a significant cause of mortality in the United States. The objective of this study is to implement deep learning (DL) models using computed tomography pulmonary angiography (CTPA), clinical data, and PE Severity Index (PESI) scores to predict PE survival. Materials and Methods:In total, 918 patients (median age 64 y, range 13 to 99 y, 48% male) with 3978 CTPAs were identified via retrospective review across 3 institutions. To predict survival, an AI model was used to extract disease-related imaging features from CTPAs. Imaging features and clinical variables were then incorporated into independent DL models to predict survival outcomes. Cross-modal fusion CoxPH models were used to develop multimodal models from combinations of DL models and calculated PESI scores. Five multimodal models were developed as follows: (1) using CTPA imaging features only, (2) using clinical variables only, (3) using both CTPA and clinical variables, (4) using CTPA and PESI score, and (5) using CTPA, clinical variables, and PESI score. Performance was evaluated using the concordance index (c-index). Kaplan-Meier analysis was performed to stratify patients into high-risk and low-risk groups. Additional factor-risk analysis was conducted to account for right ventricular (RV) dysfunction. Results:For both data sets, the multimodal models incorporating CTPA features, clinical variables, and PESI score achieved higher c-indices than PESI alone. Following the stratification of patients into high-risk and low-risk groups by models, survival outcomes differed significantly (both P&lt;0.001). A strong correlation was found between high-risk grouping and RV dysfunction. Conclusions:Multiomic DL models incorporating CTPA features, clinical data, and PESI achieved higher c-indices than PESI alone for PE survival prediction.</t>
  </si>
  <si>
    <t>Zhong, Zhusi; Zhang, Helen; Fayad, Fayez H.; Lancaster, Andrew C.; Sollee, John; Kulkarni, Shreyas; Lin, Cheng Ting; Li, Jie; Gao, Xinbo; Collins, Scott; Greineder, Colin F.; Ahn, Sun H.; Bai, Harrison X.; Jiao, Zhicheng; Atalay, Michael K.</t>
  </si>
  <si>
    <t>Jiao, ZC (corresponding author), 593 Eddy St,3rd Floor, Providence, RI 02903 USA.</t>
  </si>
  <si>
    <t>hbai7@jhu.edu; fayez_fayad@brown.edu; scollins1@lifespan.org; helen_zhang2@brown.edu; coling@med.umich.edu; john_sollee@brown.edu; leejie@mail.xidian.edu.cn; atalay_99@yahoo.com; shreyas_kulkarni@brown.edu; xbgao@mail.xidian.edu.cn; clin97@jhmi.edu; sahn@lifespan.org; alancas4@jhmi.edu; zhusi_zhong@brown.edu; zhicheng_jiao@brown.edu</t>
  </si>
  <si>
    <t>[Zhong, Zhusi; Zhang, Helen; Fayad, Fayez H.; Sollee, John; Kulkarni, Shreyas; Collins, Scott; Ahn, Sun H.; Jiao, Zhicheng; Atalay, Michael K.] Rhode Isl Hosp, Dept Diagnost Radiol, Providence, RI USA; [Zhong, Zhusi; Zhang, Helen; Fayad, Fayez H.; Sollee, John; Kulkarni, Shreyas; Collins, Scott; Ahn, Sun H.; Jiao, Zhicheng; Atalay, Michael K.] Brown Univ, Warren Alpert Med Sch, Providence, RI USA; [Lancaster, Andrew C.] Johns Hopkins Univ, Sch Med, Baltimore, MD USA; [Lancaster, Andrew C.; Lin, Cheng Ting; Bai, Harrison X.] Johns Hopkins Univ, Sch Med, Dept Radiol &amp; Radiol Sci, Baltimore, MD USA; [Greineder, Colin F.] Univ Michigan, Dept Emergency Med, Ann Arbor, MI USA; [Zhong, Zhusi; Li, Jie; Gao, Xinbo] Xidian Univ, Sch Elect Engn, Xian, Peoples R China</t>
  </si>
  <si>
    <t>Lifespan Health Rhode Island; Rhode Island Hospital; Brown University; Johns Hopkins University; Johns Hopkins Medicine; Johns Hopkins University; Johns Hopkins Medicine; University of Michigan System; University of Michigan; Xidian University</t>
  </si>
  <si>
    <t>Pulmonary Embolism Survival Prediction Using Multimodal Learning Based on Computed Tomography Angiography and Clinical Data</t>
  </si>
  <si>
    <t>JOURNAL OF THORACIC IMAGING</t>
  </si>
  <si>
    <t>machine learning; artificial intelligence; pulmonary embolism; computed tomography angiography; multiomics</t>
  </si>
  <si>
    <t>PROGNOSTIC MODEL; VALIDATION</t>
  </si>
  <si>
    <t>Atalay, Michael/AAE-1600-2021; gao, xin/OGO-6492-2025</t>
  </si>
  <si>
    <t>Zhang, Helen/0000-0003-1023-0646; Bai, Harrison/0000-0002-7460-8866; Lin, Cheng Ting/0000-0003-0275-8037; Zhong, Zhusi/0009-0008-5371-1443</t>
  </si>
  <si>
    <t>0883-5993</t>
  </si>
  <si>
    <t>1536-0237</t>
  </si>
  <si>
    <t>J THORAC IMAG</t>
  </si>
  <si>
    <t>J. Thorac. Imaging</t>
  </si>
  <si>
    <t>e0831</t>
  </si>
  <si>
    <t>10.1097/RTI.0000000000000831</t>
  </si>
  <si>
    <t>http://dx.doi.org/10.1097/RTI.0000000000000831</t>
  </si>
  <si>
    <t>6KQ4A</t>
  </si>
  <si>
    <t>40200808</t>
  </si>
  <si>
    <t>WOS:001555619000004</t>
  </si>
  <si>
    <t>Azad, MA; Masum, AKM; Saadat, N; Jahan, E; Birau, R; Popescu, V; Barbacioru, IC; Margaritescu, S</t>
  </si>
  <si>
    <t>Early detection of corporate bankruptcy is essential for maintaining financial market stability and reducing systemic risk. However, existing predictive models often struggle under conditions of extreme class imbalance. Traditional approaches either analyze financial ratios or textual disclosures in isolation, while conventional cross-modal fusion strategies tend to dilute rare distress signals when integrating structured accounting metrics with qualitative management narratives. Consequently, subtle indicators of impending corporate failure are frequently overshadowed by dominant non-distress patterns, limiting the effectiveness of existing predictive systems. To bridge this methodological limitation, this study proposes D-HAN-Net, a hybrid dual-stream deep learning architecture. This framework is intended to address minority class suppression by dynamically balancing structured financial ratios with unstructured textual disclosures. Specifically, the model processes numerical indicators through a gated residual network to capture complex patterns. Simultaneously, it extracts semantic cues from corporate reports via a FinBERT-driven bidirectional GRU. These dual modalities are then aligned using a learnable cross-modal attention fusion gate, jointly optimized with focal loss. Experimental evaluations on a comprehensive multimodal dataset, utilizing stratified splits demonstrate that D-HAN-Net significantly outperforms state-of-the-art baselines, achieving a predictive accuracy of 94.00%, an F1-score of 88.00%, and an AUC of 0.9734. Practically, this framework equips investors, financial institutions, and regulatory authorities with a decisive early warning system. It enables proactive risk management by detecting subtle distress signals before corporate failure becomes irreversible. Furthermore, extensive stability testing and ablation analysis confirm that the model's superior predictive reliability is highly robust against sampling uncertainty, fundamentally relying on the synergistic integration of all its architectural modules.</t>
  </si>
  <si>
    <t>Azad, Md. Abul Kalam; Masum, Abdul Kadar Muhammad; Saadat, Najmus; Jahan, Esrat; Birau, Ramona; Popescu, Virgil; Barbacioru, Iuliana Carmen; Margaritescu, Stefan</t>
  </si>
  <si>
    <t>Masum, AKM (corresponding author), Southeast Univ, Dept Comp Sci &amp; Engn, Dhaka 1208, Bangladesh.</t>
  </si>
  <si>
    <t>[Azad, Md. Abul Kalam] Islamic Univ Technol, Dept Business &amp; Technol Management, Gazipur 1704, Bangladesh; [Masum, Abdul Kadar Muhammad] Southeast Univ, Dept Comp Sci &amp; Engn, Dhaka 1208, Bangladesh; [Saadat, Najmus; Jahan, Esrat] Southeast Univ, Computat Intelligence Lab, Dhaka 1207, Bangladesh; [Birau, Ramona; Margaritescu, Stefan] Univ Craiova, Eugeniu Carada Doctoral Sch Econ Sci, Craiova, Romania; [Birau, Ramona] Constantin Brancusi Univ Targu Jiu, Fac Econ Sci, Targu Jiu 210185, Romania; [Popescu, Virgil] Univ Craiova, Fac Econ &amp; Business Adm, Craiova, Romania; [Barbacioru, Iuliana Carmen] Univ Targu Jiu, Fac Engn, Targu Jiu, Gorj County, Romania</t>
  </si>
  <si>
    <t>University of Craiova; Constantin Brancusi University; University of Craiova</t>
  </si>
  <si>
    <t>D-HAN-Net: A Hybrid Dual-Stream Architecture for Corporate Bankruptcy Prediction via Multimodal Fusion</t>
  </si>
  <si>
    <t>INTERNATIONAL JOURNAL OF ADVANCED COMPUTER SCIENCE AND APPLICATIONS</t>
  </si>
  <si>
    <t>multimodal deep learning; corporate disclosures; cross-modal fusion; class imbalance; early warning system; Bankruptcy prediction</t>
  </si>
  <si>
    <t>FINANCIAL RATIOS; INFORMATION; MANAGEMENT; MODELS</t>
  </si>
  <si>
    <t>Masum, Abdul/K-2493-2013; Birau, Ramona/AAA-3534-2019</t>
  </si>
  <si>
    <t>Saadat, Najmus/0009-0002-2559-168X</t>
  </si>
  <si>
    <t>SCIENCE &amp; INFORMATION SAI ORGANIZATION LTD</t>
  </si>
  <si>
    <t>Cleckheaton</t>
  </si>
  <si>
    <t>Summit House, Woodland Park, Bradford Road, Cleckheaton, ENGLAND</t>
  </si>
  <si>
    <t>2158-107X</t>
  </si>
  <si>
    <t>2156-5570</t>
  </si>
  <si>
    <t>INT J ADV COMPUT SC</t>
  </si>
  <si>
    <t>Int. J. Adv. Comput. Sci. Appl.</t>
  </si>
  <si>
    <t>1007</t>
  </si>
  <si>
    <t>1019</t>
  </si>
  <si>
    <t>Computer Science, Theory &amp; Methods</t>
  </si>
  <si>
    <t>JW0TC</t>
  </si>
  <si>
    <t>WOS:001799336900001</t>
  </si>
  <si>
    <t>Abdullah; Fatima, Z; Abdullah, J; Rodríguez, JLO; Sidorov, G</t>
  </si>
  <si>
    <t>Respiratory diseases represent a persistent global health challenge, underscoring the need for intelligent, accurate, and personalized diagnostic and therapeutic systems. Existing methods frequently suffer from limitations in diagnostic precision, lack of individualized treatment, and constrained adaptability to complex clinical scenarios. To address these challenges, our study introduces a modular AI-powered framework that integrates an audio-based disease classification model with simulated molecular biomarker profiles to evaluate the feasibility of future multimodal diagnostic extensions, alongside a synthetic-data-driven prescription recommendation engine. The disease classification model analyzes respiratory sound recordings and accurately distinguishes among eight clinical classes: bronchiectasis, pneumonia, upper respiratory tract infection (URTI), lower respiratory tract infection (LRTI), asthma, chronic obstructive pulmonary disease (COPD), bronchiolitis, and healthy respiratory state. The proposed model achieved a classification accuracy of 99.99% on a holdout test set, including 94.2% accuracy on pediatric samples. In parallel, the prescription module provides individualized treatment recommendations comprising drug, dosage, and frequency trained on a carefully constructed synthetic dataset designed to emulate real-world prescribing logic.The model achieved over 99% accuracy in medication prediction tasks, outperforming baseline models such as those discussed in research. Minimal misclassification in the confusion matrix and strong clinician agreement on 200 prescriptions (Cohen's kappa = 0.91 [0.87-0.94] for drug selection, 0.78 [0.74-0.81] for dosage, 0.96 [0.93-0.98] for frequency) further affirm the system's reliability. Adjusted clinician disagreement rates were 2.7% (drug), 6.4% (dosage), and 1.5% (frequency). SHAP analysis identified age and smoking as key predictors, enhancing model explainability. Dosage accuracy was 91.3%, and most disagreements occurred in renal-impaired and pediatric cases. However, our study is presented strictly as a proof-of-concept. The use of synthetic data and the absence of access to real patient records constitute key limitations. A trialed clinical deployment was conducted under a controlled environment with a positive rate of satisfaction from experts and users, but the proposed system must undergo extensive validation with de-identified electronic medical records (EMRs) and regulatory scrutiny before it can be considered for practical application. Nonetheless, the findings offer a promising foundation for the future development of clinically viable AI-assisted respiratory care tools.</t>
  </si>
  <si>
    <t>Abdullah; Fatima, Zulaikha; Abdullah, Jawad; Rodriguez, Jose Luis Oropeza; Sidorov, Grigori</t>
  </si>
  <si>
    <t>Rodríguez, JLO (corresponding author), Inst Politecn Nacl, Ctr Comp Res, Mexico City 07738, Mexico.</t>
  </si>
  <si>
    <t>sidorov@cic.ipn.mx; joropeza@cic.ipn.mx; su91-bmitm-f23-248@superior.edu.pk; jabdullah0025@gmail.com; abdullah2025@cic.ipn.mx</t>
  </si>
  <si>
    <t>Mexican Government through CONACYT, Mexico [A1-S-47854]; Secretaria de Investigacion y Posgrado of the Instituto Politecnico Nacional, Mexico [20254341, 20254236, 20250843]; Microsoft</t>
  </si>
  <si>
    <t>Mexican Government through CONACYT, Mexico; Secretaria de Investigacion y Posgrado of the Instituto Politecnico Nacional, Mexico (Instituto Politecnico Nacional - Mexico); Microsoft (Microsoft)</t>
  </si>
  <si>
    <t>The work was done with partial support from the Mexican Government through the grant A1-S-47854 of CONACYT, Mexico, and grants 20254341, 20254236, and 20250843 of the Secretaria de Investigacion y Posgrado of the Instituto Politecnico Nacional, Mexico. The authors thank CONACYT for the computing resources provided through the Plataforma de Aprendizaje Profundo para Tecnologias del Lenguaje of the Laboratorio de Supercomputo of the INAOE, Mexico, and acknowledge the support of Microsoft through the Microsoft Latin America PhD Award.</t>
  </si>
  <si>
    <t>[Abdullah; Rodriguez, Jose Luis Oropeza; Sidorov, Grigori] Inst Politecn Nacl, Ctr Comp Res, Mexico City 07738, Mexico; [Abdullah; Abdullah, Jawad] Bahria Univ, Dept Comp Sci, Lahore 54600, Pakistan; [Fatima, Zulaikha] Super Univ, Fac Allied Hlth Sci, Lahore Campus, Lahore 54000, Pakistan</t>
  </si>
  <si>
    <t>Instituto Politecnico Nacional - Mexico; Bahria University</t>
  </si>
  <si>
    <t>A Multimodal AI Framework for Automated Multiclass Lung Disease Diagnosis from Respiratory Sounds with Simulated Biomarker Fusion and Personalized Medication Recommendation</t>
  </si>
  <si>
    <t>INTERNATIONAL JOURNAL OF MOLECULAR SCIENCES</t>
  </si>
  <si>
    <t>multimodal AI; respiratory sound analysis; lung disease classification; biomarker simulation; personalized medication recommendation; deep learning; audio-based diagnosis; clinical decision support system (CDSS); molecular feature fusion; synthetic medical data; precision healthcare; COPD; asthma; pneumonia; attention-based prescription modeling</t>
  </si>
  <si>
    <t>CLASSIFICATION; CNN</t>
  </si>
  <si>
    <t>Sidorov, Grigori/0000-0003-3901-3522; , Abdullah/0000-0002-7983-2189; Fatima, Zulaikha/0009-0001-6154-1893; Abdullah, Jawad/0009-0000-9035-642X</t>
  </si>
  <si>
    <t>74</t>
  </si>
  <si>
    <t>1661-6596</t>
  </si>
  <si>
    <t>1422-0067</t>
  </si>
  <si>
    <t>INT J MOL SCI</t>
  </si>
  <si>
    <t>Int. J. Mol. Sci.</t>
  </si>
  <si>
    <t>JUL 24 2025</t>
  </si>
  <si>
    <t>7135</t>
  </si>
  <si>
    <t>10.3390/ijms26157135</t>
  </si>
  <si>
    <t>http://dx.doi.org/10.3390/ijms26157135</t>
  </si>
  <si>
    <t>Biochemistry &amp; Molecular Biology; Chemistry, Multidisciplinary</t>
  </si>
  <si>
    <t>Biochemistry &amp; Molecular Biology; Chemistry</t>
  </si>
  <si>
    <t>6GH9N</t>
  </si>
  <si>
    <t>40806268</t>
  </si>
  <si>
    <t>WOS:001552675900001</t>
  </si>
  <si>
    <t>Cho, H; Joo, MK; Cho, PG; Kim, SH; Noh, SH</t>
  </si>
  <si>
    <t>Purpose: Osteoporosis increases the probability of osteoporotic vertebral compression fractures (OVCF), and the resultant pain severely limits physical activity and increases mortality and morbidity. This study aimed to develop a high-precision multimodal prediction model to forecast the risk of a second OVCF. Materials and Methods: This retrospective study included 178 patients from a single institution with a first OVCF between January 1, 2000, and December 31, 2019. The study dataset included 18 preoperative clinical variables, including demographics, medications, comorbidities, bone mineral density (BMD), body mass index, trunk fat/muscle ratio from dual-energy X-ray absorptiometry (DEXA), and imaging data. We employed an intermediate-fusion multimodal approach using deep neural networks, principal component analysis (PCA), and traditional classifiers. Results: The final PCA-fusion+random forest model achieved strong internal cross-validation performance [accuracy 0.979, F1score 0.969, area under the receiver operating characteristic curve (AUROC) 0.998; mean across folds]. External validation in an independent cohort demonstrated preserved discriminative ability (accuracy 0.904, F1-score 0.902, AUROC 0.923), albeit lower than internal estimates, suggesting dataset shift and possible overfitting. In a sensitivity analysis, a clinical/DEXA-only model also showed good discrimination, but the multimodal fusion model achieved higher recall, F1-score, and AUROC/area under the precision-recall curve, supporting the added value of imaging features. Feature importance and Shapley Additive Explanations highlighted DEXA body-composition measures (e.g., gynoid/android/trunk fat and tissue) and image-derived components as influential. Conclusion: We developed a high-performing multimodal machine learning model for predicting a second OVCF in patients with prior fractures. By integrating clinical and imaging data, the model demonstrated strong predictive accuracy and interpretability, supported by feature importance analysis and visualization.</t>
  </si>
  <si>
    <t>Cho, Hoyeon; Joo, Min Kyoon; Cho, Pyung Goo; Kim, Sang Hyun; Noh, Sung Hyeon</t>
  </si>
  <si>
    <t>Noh, SH (corresponding author), Ajou Univ, Dept Neurosurg, Coll Med, 164 World Cup, Suwon 16499, South Korea.</t>
  </si>
  <si>
    <t>ulove07@ajou.ac.kr</t>
  </si>
  <si>
    <t>[Cho, Hoyeon; Cho, Pyung Goo; Kim, Sang Hyun; Noh, Sung Hyeon] Ajou Univ, Coll Med, Suwon, South Korea; [Joo, Min Kyoon] Korea Univ, Coll Med, Seoul, South Korea; [Cho, Pyung Goo; Kim, Sang Hyun; Noh, Sung Hyeon] Ajou Univ, Dept Neurosurg, Coll Med, 164 World Cup, Suwon 16499, South Korea</t>
  </si>
  <si>
    <t>Development of a Multimodal Machine Learning Model for Predicting Second Osteoporotic Vertebral Compression Fractures</t>
  </si>
  <si>
    <t>YONSEI MEDICAL JOURNAL</t>
  </si>
  <si>
    <t>OVCF; prediction; machine learning; clinical study</t>
  </si>
  <si>
    <t>QUALITY-OF-LIFE; BONE-DENSITY; DATA FUSION; EPIDEMIOLOGY</t>
  </si>
  <si>
    <t>YONSEI UNIV COLL MEDICINE</t>
  </si>
  <si>
    <t>SEOUL</t>
  </si>
  <si>
    <t>50-1 YONSEI-RO, SEODAEMUN-GU, SEOUL 120-752, SOUTH KOREA</t>
  </si>
  <si>
    <t>0513-5796</t>
  </si>
  <si>
    <t>1976-2437</t>
  </si>
  <si>
    <t>YONSEI MED J</t>
  </si>
  <si>
    <t>Yonsei Med. J.</t>
  </si>
  <si>
    <t>686</t>
  </si>
  <si>
    <t>697</t>
  </si>
  <si>
    <t>10.3349/ymj.2025.0370</t>
  </si>
  <si>
    <t>http://dx.doi.org/10.3349/ymj.2025.0370</t>
  </si>
  <si>
    <t>MW1HL</t>
  </si>
  <si>
    <t>WOS:001852291100005</t>
  </si>
  <si>
    <t>Lu, H; Mao, YX; Li, JS; Zhu, L</t>
  </si>
  <si>
    <t>Background Benign paroxysmal positional vertigo (BPPV) is a prevalent form of vertigo that necessitates a skilled physician to diagnose by observing the nystagmus and vertigo resulting from specific changes in the patient's position. In this study, we aim to explore the integration of eye movement video and position information for BPPV diagnosis and apply artificial intelligence (AI) methods to improve the accuracy of BPPV diagnosis.Methods We collected eye movement video and diagnostic data from 518 patients with BPPV who visited the hospital for examination from January to March 2021 and developed a BPPV dataset. Based on the characteristics of the dataset, we propose a multimodal deep learning diagnostic model, which combines a video understanding model, self-encoder, and cross-attention mechanism structure.Result Our validation test on the test set showed that the average accuracy of the model reached 81.7%, demonstrating the effectiveness of the proposed multimodal deep learning method for BPPV diagnosis. Furthermore, our study highlights the significance of combining head position information and eye movement information in BPPV diagnosis. We also found that postural and eye movement information plays a critical role in the diagnosis of BPPV, as demonstrated by exploring the necessity of postural information for the diagnostic model and the contribution of cross-attention mechanisms to the fusion of postural and oculomotor information. Our results underscore the potential of AI-based methods for improving the accuracy of BPPV diagnosis and the importance of considering both postural and oculomotor information in BPPV diagnosis.</t>
  </si>
  <si>
    <t>Lu, Hang; Mao, Yuxing; Li, Jinsen; Zhu, Lin</t>
  </si>
  <si>
    <t>Mao, YX (corresponding author), Chongqing Univ, Sch Elect Engn, State Key Lab Power Transmiss Equipment Technol, Chongqing, Peoples R China.</t>
  </si>
  <si>
    <t>myx@cqu.edu.cn</t>
  </si>
  <si>
    <t>[Lu, Hang; Mao, Yuxing; Li, Jinsen; Zhu, Lin] Chongqing Univ, Sch Elect Engn, State Key Lab Power Transmiss Equipment Technol, Chongqing, Peoples R China</t>
  </si>
  <si>
    <t>Chongqing University</t>
  </si>
  <si>
    <t>Multimodal deep learning-based diagnostic model for BPPV</t>
  </si>
  <si>
    <t>Vertigo; BPPV; Deep learning; Multimodal; Feature fusion</t>
  </si>
  <si>
    <t>PAROXYSMAL POSITIONAL VERTIGO</t>
  </si>
  <si>
    <t>MAR 21 2024</t>
  </si>
  <si>
    <t>82</t>
  </si>
  <si>
    <t>10.1186/s12911-024-02438-x</t>
  </si>
  <si>
    <t>http://dx.doi.org/10.1186/s12911-024-02438-x</t>
  </si>
  <si>
    <t>LZ1Y8</t>
  </si>
  <si>
    <t>38515156</t>
  </si>
  <si>
    <t>WOS:001190556300003</t>
  </si>
  <si>
    <t>Zhang, YJ; Zhang, L; Zhou, Y; Li, TX; Lincoln, R; Tong, JZ; Shen, JJ</t>
  </si>
  <si>
    <t>Corrosion, recognized as a thermodynamically spontaneous process, is one of the key issues affecting the health of rectangular hollow steel section columns under working conditions, and has attracted much attention in recent years. Traditional approaches, such as multi-layer perceptron, often rely solely on the degree of volume loss to predict residual strength, overlooking the spatial complexity of actual corrosion patterns. To address these limitations, this study presents a novel multimodal deep learning network for accurately predicting the residual strength of corroded hollow steel section columns with random, nonuniform corrosion distributions. Our approach integrates (i) image-based corrosion distributions on four steel walls, and (ii) tabular geometric parameters, through five distinct data-fusion methods proposed in this work, three employing Late Fusion (via a novel multi-head attention module) and two using Early Fusion (via pixel-level merging). The image information extraction core is built upon a lightweight convolutional neural network and a channel-spatial attention block, while the tabular extraction module leverages a revised multi-layer perceptron architecture. After Bayesian hyperparameter optimization, the best-performing model achieves a coefficient of determination of 0.971 on the test set, surpassing conventional machine learning and other multimodal fusion techniques by 0.01-0.161. Further analysis shows that the reverse visualization technique highlights corrosion-critical regions that closely coincide with the experimentally validated failure zones. Consequently, the proposed framework not only predicts residual strength with high accuracy but also localizes vulnerable areas for targeted reinforcement. This methodology holds promise for large-scale corrosion monitoring and structural health assessment of steel infrastructure.</t>
  </si>
  <si>
    <t>Zhang, Yu-Jia; Zhang, Lei; Zhou, Yu; Li, Tian-Xiang; Lincoln, Reece; Tong, Jing-Zhong; Shen, Jia-Jia</t>
  </si>
  <si>
    <t>Zhang, L (corresponding author), Zhejiang Univ, Coll Civil Engn &amp; Architecture, Hangzhou 310058, Peoples R China.</t>
  </si>
  <si>
    <t>celzhang@zju.edu.cn</t>
  </si>
  <si>
    <t>Zhejiang Provincial Natural Science Foundation of China [Z22E089705]</t>
  </si>
  <si>
    <t>Zhejiang Provincial Natural Science Foundation of China (Natural Science Foundation of Zhejiang Province)</t>
  </si>
  <si>
    <t>This study has been supported by research grant from the Zhejiang Provincial Natural Science Foundation of China (Z22E089705) .</t>
  </si>
  <si>
    <t>[Zhang, Yu-Jia; Zhang, Lei; Zhou, Yu; Tong, Jing-Zhong] Zhejiang Univ, Coll Civil Engn &amp; Architecture, Hangzhou 310058, Peoples R China; [Li, Tian-Xiang] Molien Int Ltd, Hong Kong, Peoples R China; [Lincoln, Reece] Univ Bristol, Bristol Composites Inst, Bristol BS8 1TR, England; [Shen, Jia-Jia] Univ Exeter, Exeter Technol Grp, North Pk Rd, Exeter EX4 4QF, England</t>
  </si>
  <si>
    <t>Zhejiang University; University of Bristol; University of Exeter</t>
  </si>
  <si>
    <t>A novel multimodal deep learning framework for predicting residual strength of corroded rectangular hollow-section columns</t>
  </si>
  <si>
    <t>Deep learning; Corrosion configuration; Residual strength; Multimodal data fusion; Structural health monitoring</t>
  </si>
  <si>
    <t>DAMAGE DETECTION; ULTIMATE STRENGTH; NEURAL-NETWORKS; CORROSION; BEHAVIOR; PLATE</t>
  </si>
  <si>
    <t>Shen, Jiajia/HPF-5525-2023; Tong, Jingzhong/AAP-9084-2020</t>
  </si>
  <si>
    <t>Li, Tianxiang/0000-0002-5074-3975; Zhang, Yujia/0009-0000-0235-7861; Yu, Zhou/0009-0006-6600-0654; Shen, Jiajia/0000-0003-2763-1147</t>
  </si>
  <si>
    <t>69</t>
  </si>
  <si>
    <t>JUN 1 2025</t>
  </si>
  <si>
    <t>149</t>
  </si>
  <si>
    <t>110554</t>
  </si>
  <si>
    <t>10.1016/j.engappai.2025.110554</t>
  </si>
  <si>
    <t>http://dx.doi.org/10.1016/j.engappai.2025.110554</t>
  </si>
  <si>
    <t>0TS8C</t>
  </si>
  <si>
    <t>WOS:001455803700001</t>
  </si>
  <si>
    <t>Zhu, HN; Jain, DK; Zhao, XD; Li, MY; Gan, CQ; Zhang, H</t>
  </si>
  <si>
    <t>The rapid development in the field of deep learning has driven the advancement of facial de-identification. It has been widely applied in sensitive areas such as healthcare, social media, and video surveillance. This technology changes facial features to hide personal identities while retaining key details such as expressions and postures, aiming to strike a balance between privacy protection and data utility. However, current methods still struggle to achieve this balance. Generative Adversarial Networks (GANs) dominate the field of facial anonymization due to their powerful image synthesis capabilities. However, transformers and diffusion models, particularly their advantages in representational ability, conditional control, and generation fidelity, remain underexplored. The potential demonstrated by these emerging methods in controllability and anonymization is worthy of further study. This survey systematically reviews latest advancements of deep generative models in face de-identification, analyzes the mechanisms of cross-modal fusion in representative architectures, and proposes a three-level classification framework: generative fusion, deterministic fusion, and adaptive fusion strategies. We focus on current limitations and outline possible directions for future development. We also lays the theoretical foundation and formulate the technical road-map for building a secure and practical facial privacy protection framework, in order to promote the development of privacy security in reality.</t>
  </si>
  <si>
    <t>Zhu, Haini; Jain, Deepak Kumar; Zhao, Xudong; Li, Muyu; Gan, Chenquan; Zhang, Hao</t>
  </si>
  <si>
    <t>Jain, DK (corresponding author), Dalian Univ Technol, Key Lab Intelligent Control &amp; Optimizat, Ind Equipment Minist Educ, Dalian 116024, Peoples R China.</t>
  </si>
  <si>
    <t>gcq2010cqu@163.com; xudongzhao@dlut.edu.cn; 1343216422@qq.com; judith-nn@outlook.com; muyuli@dlut.edu.cn; dkj@dlut.edu.cn</t>
  </si>
  <si>
    <t>[Zhu, Haini; Jain, Deepak Kumar; Zhao, Xudong; Li, Muyu; Zhang, Hao] Dalian Univ Technol, Key Lab Intelligent Control &amp; Optimizat, Ind Equipment Minist Educ, Dalian 116024, Peoples R China; [Gan, Chenquan] Chongqing Univ Posts &amp; Telecommun, Sch Cyber Secur &amp; Informat Law, Chongqing 400065, Peoples R China</t>
  </si>
  <si>
    <t>Dalian University of Technology; Chongqing University of Posts &amp; Telecommunications</t>
  </si>
  <si>
    <t>Face off: A survey on multimodal fusion for secure and realistic facial de-identification</t>
  </si>
  <si>
    <t>Face de-identification; Generative models; Multimodal fusion</t>
  </si>
  <si>
    <t>RECOGNITION; PRIVACY; BIOMETRICS</t>
  </si>
  <si>
    <t>/AGL-9465-2022; Li, Muyu/JAC-4514-2023</t>
  </si>
  <si>
    <t>Jain, Deepak Kumar/0000-0002-3400-1613</t>
  </si>
  <si>
    <t>129</t>
  </si>
  <si>
    <t>104343</t>
  </si>
  <si>
    <t>10.1016/j.inffus.2026.104343</t>
  </si>
  <si>
    <t>http://dx.doi.org/10.1016/j.inffus.2026.104343</t>
  </si>
  <si>
    <t>GU0CP</t>
  </si>
  <si>
    <t>WOS:001745018100001</t>
  </si>
  <si>
    <t>Tu, YB; Yang, XR; Liu, F; Ai, RY; Luo, Y; Ran, CY; Yang, GX; Zhang, TJ; Jiang, L</t>
  </si>
  <si>
    <t>Objective Current multimodal models often experience performance degradation when faced with incomplete data and lack effective fusion strategies for diverse data types, such as imaging, clinical, and electrophysiological data. This study aims to develop a novel model to improve the accuracy of early diagnosis of coronary artery disease. Materials and methods Clinical data, laboratory test results, coronary CTA images, and ECG data from consecutive patients who underwent coronary CTA examinations at the center between February 2022 and August 2023 were collected. Features were extracted using convolutional neural networks, and a multimodal prediction model was developed using a weighted fusion strategy. An internal validation was performed with a data split ratio of 7:1.5:1.5, and an independent external validation was conducted using an external dataset. Model performance was evaluated using the area under the receiver operating characteristic curve (AUC-ROC), and model interpretability was assessed using the SHAP algorithm. Diagnostic consistency was evaluated using the Kappa coefficient. Result Compared to traditional diagnostic methods, the model has increased the diagnosis rate of coronary heart disease by 10.43% points in absolute terms and by 44.0% in relative terms. This improvement has greatly enhanced the ability to identify coronary heart disease at an early stage. For diagnosing cardiovascular diseases, the performance of the multimodal model is significantly superior to that of single imaging or clinical indicators. The area under the curve (AUC) was 0.89 in internal validation, and the model also demonstrated excellent performance in the external validation dataset, with an AUC of 0.83. Conclusion This model, by integrating three types of data for the first time and tolerating up to 50% missing data, significantly improves the detection rate of coronary artery disease and enhances diagnostic sensitivity and accuracy, thereby providing robust support for early clinical intervention and precise treatment.</t>
  </si>
  <si>
    <t>Tu, YongBo; Yang, XiaoRong; Liu, Fang; Ai, RuYue; Luo, Yu; Ran, ChunYan; Yang, GuangXu; Zhang, TiJiang; Jiang, Lin</t>
  </si>
  <si>
    <t>Jiang, L (corresponding author), Zunyi Med Univ, The Peoples Hosp Zunyi 1, Dept Radiol, Affiliated Hosp 3, Zunyi 563000, Guizhou, Peoples R China.</t>
  </si>
  <si>
    <t>jlinzmc@163.com; 345192005@qq.com; 675752143@qq.com</t>
  </si>
  <si>
    <t>[Tu, YongBo; Jiang, Lin] Zunyi Med Univ, The Peoples Hosp Zunyi 1, Dept Radiol, Affiliated Hosp 3, Zunyi 563000, Guizhou, Peoples R China; [Yang, XiaoRong] Zunyi Med Univ, Affliated Hosp, Dept Pathol, Zunyi 563000, Guizhou, Peoples R China; [Liu, Fang] Chongqing Med Univ, Yongchuan Hosp, Dept Radiol, Chongqing, Peoples R China; [Ai, RuYue] Chongqing Gen Hosp, Dept Radiol, Chongqing 400030, Peoples R China; [Luo, Yu; Ran, ChunYan; Yang, GuangXu] Zunyi Med Univ, Affiliated Hosp, Dept Radiol, Zunyi, Peoples R China; [Zhang, TiJiang] Bijie Med Coll, Dept Med Technol, Bijie, Guizhou, Peoples R China</t>
  </si>
  <si>
    <t>Zunyi Medical University; Zunyi Medical University; Chongqing Medical University; Zunyi Medical University</t>
  </si>
  <si>
    <t>Multimodal deep learning with missing data robustness for enhanced early diagnosis of coronary artery disease using CCTA, clinical, and ECG data</t>
  </si>
  <si>
    <t>Multimodal; Deep learning; Cardiovascular diseases; Intelligent diagnostic</t>
  </si>
  <si>
    <t>APR 13 2026</t>
  </si>
  <si>
    <t>186</t>
  </si>
  <si>
    <t>10.1186/s12911-026-03466-5</t>
  </si>
  <si>
    <t>http://dx.doi.org/10.1186/s12911-026-03466-5</t>
  </si>
  <si>
    <t>IN5CD</t>
  </si>
  <si>
    <t>41975401</t>
  </si>
  <si>
    <t>WOS:001775878100001</t>
  </si>
  <si>
    <t>Jia, JH; Jia, Q; Zhang, JM; Zheng, ML; Fu, JZ; Sun, JS; Lai, ZY; Gui, D</t>
  </si>
  <si>
    <t>Occupational health monitoring in demolition environments requires precise detection of blast-dust-induced pulmonary pathologies. However, it is often hindered by challenges such as contaminated imaging biomarkers, limited access to medical resources in mining areas, and opaque AI-based diagnostic models. This study presents a novel computational framework that combines industrial-grade robustness with clinical interpretability for the diagnosis of pulmonary nodules. We propose a hybrid framework that integrates morphological purification techniques (multi-step filling and convex hull operations) with multi-dimensional features fusion (radiomics + lightweight deep features). To enhance computational efficiency and interpretability, we design a soft voting ensemble classifier, eliminating the need for complex deep learning architectures. On the LIDC-IDRI dataset, our model achieved an AUC of 0.99 and an accuracy of 0.97 using standard clinical-grade hardware, outperforming state-of-the-art (SOTA) methods while requiring fewer computational resources. Ablation studies, feature weight maps, and normalized mutual information heatmaps confirm the robustness and interpretability of the model, while uncertainty quantification metrics such as the Brier score and Expected Calibration Error (ECE) better validate the model's clinical applicability and prediction stability. This approach effectively achieves resource-accuracy co-optimization, maintaining low computational costs, and is highly suitable for resource-constrained clinical environments. The modular design of our framework also facilitates extensions to other medical imaging domains without the need for high-end infrastructure.</t>
  </si>
  <si>
    <t>Jia, Junhao; Jia, Qian; Zhang, Jianmin; Zheng, Meilin; Fu, Junze; Sun, Jinshan; Lai, Zhongyuan; Gui, Dan</t>
  </si>
  <si>
    <t>Jia, Q (corresponding author), Jianghan Univ, Sch Artificial Intelligence, Wuhan 430056, Peoples R China.</t>
  </si>
  <si>
    <t>jiajh@stu.jhun.edu.cn; dgui@jhun.edu.cn; zhangjm@jhun.edu.cn; jiaqian_sea@126.com; fjz2536@163.com; laizhy@jhun.edu.cn; zhengmeilin@stu.jhun.edu.cn; sun99001@126.com</t>
  </si>
  <si>
    <t>National Key Research and Development Program of China [2021YFC31008]; The 111 Center [D25004]; Hubei Provincial Undergraduate Training Program for Innovation and Entrepreneurship [S202411072060]; Undergraduate Research Fund of Jianghan University [2024zd098]; Research Fund of Jianghan University [2021yb052]</t>
  </si>
  <si>
    <t>National Key Research and Development Program of China (National Key Research &amp; Development Program of China); The 111 Center; Hubei Provincial Undergraduate Training Program for Innovation and Entrepreneurship; Undergraduate Research Fund of Jianghan University; Research Fund of Jianghan University</t>
  </si>
  <si>
    <t>This research was funded by the National Key Research and Development Program of China [Grant number 2021YFC31008], "111 Center" [Grant number D25004], Hubei Provincial Undergraduate Training Program for Innovation and Entrepreneurship [Grant number S202411072060], Undergraduate Research Fund of Jianghan University [Grant number 2024zd098], and Research Fund of Jianghan University [Grant number 2021yb052].</t>
  </si>
  <si>
    <t>[Jia, Junhao; Jia, Qian; Zhang, Jianmin; Zheng, Meilin; Gui, Dan] Jianghan Univ, Sch Artificial Intelligence, Wuhan 430056, Peoples R China; [Fu, Junze] Univ Elect Sci &amp; Technol China, Coll Life Sci &amp; Technol, Chengdu 610051, Peoples R China; [Sun, Jinshan; Lai, Zhongyuan] Jianghan Univ, State Key Lab Precis Blasting, Wuhan 430056, Peoples R China</t>
  </si>
  <si>
    <t>Jianghan University; University of Electronic Science &amp; Technology of China; Jianghan University</t>
  </si>
  <si>
    <t>ReAcc_MF: Multimodal Fusion Model with Resource-Accuracy Co-Optimization for Screening Blasting-Induced Pulmonary Nodules in Occupational Health</t>
  </si>
  <si>
    <t>pulmonary nodule diagnosis; clinical decision support; feature fusion; resource-accuracy co-optimization; uncertainty quantification</t>
  </si>
  <si>
    <t>FEATURE-EXTRACTION; CURVE</t>
  </si>
  <si>
    <t>Zheng, Meilin/JEI-3539-2023</t>
  </si>
  <si>
    <t>Sun, Jinshan/0000-0003-3919-2153; Lai, Zhongyuan/0000-0002-7300-2299</t>
  </si>
  <si>
    <t>MAY 31 2025</t>
  </si>
  <si>
    <t>6224</t>
  </si>
  <si>
    <t>10.3390/app15116224</t>
  </si>
  <si>
    <t>http://dx.doi.org/10.3390/app15116224</t>
  </si>
  <si>
    <t>3PG1U</t>
  </si>
  <si>
    <t>WOS:001505746100001</t>
  </si>
  <si>
    <t>Gong, W; Cui, QY; Fu, S; Wu, Y</t>
  </si>
  <si>
    <t>Objective: This study explores radiomics and deep learning for predicting pulmonary metastasis in head and neck Adenoid Cystic Carcinoma (ACC), assessing machine learning(ML) algorithms' model performance. Methods: The study retrospectively analyzed contrast-enhanced CT imaging data and clinical records from 130 patients with pathologically confirmed ACC in the head and neck region. The dataset was randomly split into training and test sets at a 7:3 ratio. Radiomic features and deep learning-derived features were extracted and subsequently integrated through multi-feature fusion. Z-score normalization was applied to training and test sets. Hypothesis testing selected significant features, followed by LASSO regression (5-fold CV) identifying 7 predictive features. Nine machine learning algorithms were employed to build predictive models for ACC pulmonary metastasis: ada, KNN, rf, NB, GLM, LDA, rpart, SVM-RBF, and GBM. Models were trained using the training set and tested on the test set. Model performance was evaluated using metrics such as recall, sensitivity, PPV, F1-score, precision, prevalence, NPV, specificity, accuracy, detection rate, detection prevalence, and balanced accuracy. Results: Machine learning models based on multi-feature fusion of enhanced CT, utilizing KNN, SVM, rpart, GBM, NB, GLM, and LDA, demonstrated AUC values in the test set of 0.687, 0.863, 0.737, 0.793, 0.763, 0.867, and 0.844, respectively. Rf and ada showed significant overfitting. Among these, GBM and GLM showed higher stability in predicting pulmonary metastasis of head and neck ACC. Conclusion: Radiomics and deep learning methods based on enhanced CT imaging can provide effective auxiliary tools for predicting pulmonary metastasis in head and neck ACC patients, showing promising potential for clinical application.</t>
  </si>
  <si>
    <t>Gong, Wei; Cui, Qingying; Fu, Shuai; Wu, Yong</t>
  </si>
  <si>
    <t>Wu, Y (corresponding author), Kunming Med Univ, Affiliated Stomatol Hosp, Yunnan Key Lab Stomatol, Kunming 650106, Peoples R China.; Wu, Y (corresponding author), Kunming Med Univ, Affiliated Stomatol Hosp, Dept Oral &amp; Maxillofacial Surg, Kunming 650106, Peoples R China.</t>
  </si>
  <si>
    <t>wuyong@kmmu.edu.cn</t>
  </si>
  <si>
    <t>Department of Science and Technology of Yunnan Province [202401AY070001-315]</t>
  </si>
  <si>
    <t>Department of Science and Technology of Yunnan Province</t>
  </si>
  <si>
    <t>We extend our sincere gratitude to Cui Qingying, Wu Yong, Fu Shuai as co-authors for their invaluable assistance and insightful suggestions throughout the research and manuscript preparation phases. This research was funded by the Department of Science and Technology of Yunnan Province [Project Number: 202401AY070001-315] .</t>
  </si>
  <si>
    <t>[Wu, Yong] Kunming Med Univ, Affiliated Stomatol Hosp, Yunnan Key Lab Stomatol, Kunming 650106, Peoples R China; [Wu, Yong] Kunming Med Univ, Affiliated Stomatol Hosp, Dept Oral &amp; Maxillofacial Surg, Kunming 650106, Peoples R China</t>
  </si>
  <si>
    <t>Kunming Medical University; Kunming Medical University</t>
  </si>
  <si>
    <t>Application of contrast-enhanced CT-driven multimodal machine learning models for pulmonary metastasis prediction in head and neck adenoid cystic carcinoma</t>
  </si>
  <si>
    <t>EUROPEAN JOURNAL OF RADIOLOGY</t>
  </si>
  <si>
    <t>Contrast-enhanced CT; Adenoid cystic carcinoma; Pulmonary metastasis; Radiomics; Deep Learning</t>
  </si>
  <si>
    <t>CANCER</t>
  </si>
  <si>
    <t>fu, shuai/0009-0002-6899-7268</t>
  </si>
  <si>
    <t>0720-048X</t>
  </si>
  <si>
    <t>1872-7727</t>
  </si>
  <si>
    <t>EUR J RADIOL</t>
  </si>
  <si>
    <t>Eur. J. Radiol.</t>
  </si>
  <si>
    <t>112377</t>
  </si>
  <si>
    <t>10.1016/j.ejrad.2025.112377</t>
  </si>
  <si>
    <t>http://dx.doi.org/10.1016/j.ejrad.2025.112377</t>
  </si>
  <si>
    <t>6SW8P</t>
  </si>
  <si>
    <t>40857998</t>
  </si>
  <si>
    <t>WOS:001561228200001</t>
  </si>
  <si>
    <t>Hsu, BWY; Chen, YC; Chen, CK; Lee, CK; Tseng, VS</t>
  </si>
  <si>
    <t>Hypertensive retinopathy serves as a critical indicator of systemic target organ damage (TOD). This study aims to develop and evaluate a multimodal learning method utilizing optical coherence tomography angiography (OCTA) and electronic medical records (EMR) for early hypertension detection. The dataset comprised 727 patients (186 hypertensive; 541 non-hypertensive) from the National Taiwan University Hospital Hsin-Chu Branch, encompassing 1,377 eye-level image-EMR pairs. We employed convolutional neural network (CNN) backbones, specifically ResNet and EfficientNet, to extract visual features from OCT-A images, while tree-based ensemble methods, such as CatBoost, were utilized to process EMR variables categorized by clinical modalities. A weighted-average late-fusion mechanism was implemented to integrate predictions from both modalities, effectively capturing the synergy between microvascular morphological patterns and systemic clinical phenotypes. The proposed multimodal framework achieved an area under the receiver operating characteristic curve (AUC) of 0.86 +/- 0.03, with a sensitivity of 0.80 and a specificity of 0.82, significantly exceeding the image-only model while providing a modest, complementary gain over the EMR-only model. These results demonstrate the potential of AI-assisted tools in detecting ocular target organ damage. The proposed method supports the potential utility of a non-invasive AI-assisted framework for hypertension screening and risk stratification, while further external validation remains necessary for broader clinical deployment.</t>
  </si>
  <si>
    <t>Hsu, Benny Wei-Yun; Chen, Yu-Chan; Chen, Chun-Kai; Lee, Chih-Kuo; Tseng, Vincent S.</t>
  </si>
  <si>
    <t>Tseng, VS (corresponding author), Natl Yang Ming Chiao Tung Univ, Dept Comp Sci, Room 515,Engn Bldg 3,1001 Univ Rd, Hsinchu 300, Taiwan.; Lee, CK (corresponding author), Natl Taiwan Univ Hosp, Dept Internal Med, Div Cardiol, Hsin Chu Branch, 25,Ln 442,Sec 1,Jingguo Rd, Hsinchu 300195, Taiwan.; Lee, CK (corresponding author), Natl Taiwan Univ, Coll Med, 25,Ln 442,Sec 1,Jingguo Rd, Hsinchu 300195, Taiwan.</t>
  </si>
  <si>
    <t>keitheva2009@gmail.com; vtseng@cs.nycu.edu.tw</t>
  </si>
  <si>
    <t>NYMU-National Taiwan University Hospital Hsin-Chu Branch Joint Research Grant [112-HCH104]</t>
  </si>
  <si>
    <t>NYMU-National Taiwan University Hospital Hsin-Chu Branch Joint Research Grant</t>
  </si>
  <si>
    <t>We thank the National Center for High-performance Computing (NCHC) for providing computational and storage resources. This study has received funding by NYMU-National Taiwan University Hospital Hsin-Chu Branch Joint Research Grant 112-HCH104.</t>
  </si>
  <si>
    <t>[Hsu, Benny Wei-Yun; Chen, Yu-Chan; Tseng, Vincent S.] Natl Yang Ming Chiao Tung Univ, Dept Comp Sci, Room 515,Engn Bldg 3,1001 Univ Rd, Hsinchu 300, Taiwan; [Chen, Chun-Kai] Natl Taiwan Univ Hosp, Dept Internal Med, Div Cardiol, 7 Zhong Shan South Rd, Taipei 100, Taiwan; [Lee, Chih-Kuo] Natl Taiwan Univ Hosp, Dept Internal Med, Div Cardiol, Hsin Chu Branch, 25,Ln 442,Sec 1,Jingguo Rd, Hsinchu 300195, Taiwan; [Lee, Chih-Kuo] Natl Taiwan Univ, Coll Med, 25,Ln 442,Sec 1,Jingguo Rd, Hsinchu 300195, Taiwan</t>
  </si>
  <si>
    <t>National Yang Ming Chiao Tung University; National Taiwan University; National Taiwan University Hospital; National Taiwan University; National Taiwan University Hospital; National Taiwan University Hospital; National Taiwan University</t>
  </si>
  <si>
    <t>Multimodal learning for early hypertension burden detection using OCT angiography and electronic medical records</t>
  </si>
  <si>
    <t>Deep learning; Hypertension burden; Multimodal learning; Optical coherence tomography angiography; Target organ damage</t>
  </si>
  <si>
    <t>RETINOPATHY; CLASSIFICATION; IMPUTATION</t>
  </si>
  <si>
    <t>OCT 15 2026</t>
  </si>
  <si>
    <t>B</t>
  </si>
  <si>
    <t>110917</t>
  </si>
  <si>
    <t>10.1016/j.bspc.2026.110917</t>
  </si>
  <si>
    <t>http://dx.doi.org/10.1016/j.bspc.2026.110917</t>
  </si>
  <si>
    <t>KX8HC</t>
  </si>
  <si>
    <t>WOS:001818156500001</t>
  </si>
  <si>
    <t>Yan, Y; Xu, YC; Fang, G; He, X; Qian, YF; Zhu, WW</t>
  </si>
  <si>
    <t>Background Deep learning has advanced breast tumor prediction research, but traditional single-modality models limit feature diversity and accuracy.Purpose To develop and validate a multimodal deep learning approach that combines mammography and ultrasound imaging for improved breast tumor classification and enhanced clinical decision-making.Methods This retrospective study analyzed 663 female patients with breast lesions from 2018 to 2021, including 384 benign and 279 malignant cases. The two-stage prediction model employed improved modality-specific attention mechanisms: efficient channel attention (ECA-Net) for ultrasound and convolutional block attention module (CBAM) for mammography. The fused features were input into a stacking ensemble module with logistic regression (LR), support vector machine (SVM), random forest (RF), and Extra-Trees (ET) as base learners, and multilayer perceptron (MLP) neural network as meta-learner. Data was divided into training (464), validation (133), and test (66) sets with a 7:2:1 ratio.Results The proposed multimodal prediction model-mammography ultrasound (MPM-MU) achieved superior performance with an area under the receiver operating characteristic (ROC) Curve (AUC) of 87.9 +/- 0.21%, representing improvements of 13.4% and 15.6% over attention-enhanced mammography (74.5%) and ultrasound (72.3%) models, respectively. Ablation studies confirmed the effectiveness of both multimodal feature fusion and attention mechanisms in enhancing diagnostic performance.Conclusions The multimodal prediction model-mammography ultrasound (MPM-MU) with modality-specific attention mechanisms demonstrated superior performance in distinguishing between benign and malignant breast tumors compared to single-modality approaches. This approach assists radiologists in improving breast lesion classification accuracy and enhancing clinical decision-making, potentially reducing unnecessary biopsies and improving diagnostic consistency.</t>
  </si>
  <si>
    <t>Yan, Yu; Xu, Yichen; Fang, Ge; He, Xu; Qian, Yifei; Zhu, Wenwen</t>
  </si>
  <si>
    <t>Fang, G (corresponding author), Nanjing Univ Chinese Med, Jiangsu Prov Hosp ofChinese Med, Affiliated Hosp, Nanjing, Jiangsu, Peoples R China.</t>
  </si>
  <si>
    <t>cipcipcip@126.com</t>
  </si>
  <si>
    <t>Postgraduate Research &amp; Practice Innovation Program of Jiangsu Province [KYCX24_2160]</t>
  </si>
  <si>
    <t>Postgraduate Research &amp; Practice Innovation Program of Jiangsu Province (Postgraduate Research &amp; Practice Innovation Program of Jiangsu Province)</t>
  </si>
  <si>
    <t>This work was supported by the Postgraduate Research &amp; Practice Innovation Program of Jiangsu Province (Grant Number: KYCX24_2160).</t>
  </si>
  <si>
    <t>[Yan, Yu; Fang, Ge; He, Xu; Qian, Yifei] Nanjing Univ Chinese Med, Jiangsu Prov Hosp Chinese Med, Dept Med Equipment, Affiliated Hosp, Nanjing, Jiangsu, Peoples R China; [Xu, Yichen; Zhu, Wenwen] Nanjing Univ Chinese Med, Sch Artificial Intelligence &amp; Informat Technol, Nanjing, Jiangsu, Peoples R China</t>
  </si>
  <si>
    <t>Nanjing University of Chinese Medicine; Nanjing University of Chinese Medicine</t>
  </si>
  <si>
    <t>Multimodal deep learning for breast tumor classification: Integrating mammography and ultrasound for enhanced diagnostic accuracy</t>
  </si>
  <si>
    <t>JOURNAL OF APPLIED CLINICAL MEDICAL PHYSICS</t>
  </si>
  <si>
    <t>attention mechanisms; breast tumor classification; mammography; multimodal; ultrasound</t>
  </si>
  <si>
    <t>LESIONS; NETWORKS</t>
  </si>
  <si>
    <t>1526-9914</t>
  </si>
  <si>
    <t>J APPL CLIN MED PHYS</t>
  </si>
  <si>
    <t>J. Appl. Clin. Med. Phys</t>
  </si>
  <si>
    <t>JAN 18 2026</t>
  </si>
  <si>
    <t>e70464</t>
  </si>
  <si>
    <t>10.1002/acm2.70464</t>
  </si>
  <si>
    <t>http://dx.doi.org/10.1002/acm2.70464</t>
  </si>
  <si>
    <t>CE8YR</t>
  </si>
  <si>
    <t>41549611</t>
  </si>
  <si>
    <t>WOS:001664131700001</t>
  </si>
  <si>
    <t>Jian, HL; Deng, L; Deng, Y; Lyv, Q; Hou, MZ; Wang, J; Wang, XL; Jia, ZD</t>
  </si>
  <si>
    <t>Laser-induced breakdown spectroscopy (LIBS) has broad application potential, yet its analytical accuracy is often limited by poor spectral stability. Since plasma optical signals directly reflect plasma fluctuations, they offer a promising basis for spectral correction. In a novel approach, we introduce a neuromorphic dynamic vision sensor (DVS) to capture plasma dynamics with microsecond temporal resolution. The DVS provides a 120 dB dynamic range and a low data rate (similar to 10 MB/s), enabling acquisition of plasma optical signals over a wide range of conditions. We further propose an event-enhanced spectroscopy correction network (EESCN), which employs a dual-stream convolutional neural network (CNN) to extract key features from spectra and plasma images, respectively. A multihead attention module then performs cross-modal fusion by dynamically weighting spectral and image features to predict and correct signal fluctuations. To emulate challenging conditions, we introduced laser energy fluctuations and selected spectral lines affected by self-absorption. EESCN substantially suppressed spectral fluctuations arising from self-absorption and laser energy fluctuations for C(I) 493.202 nm and Mn(I) 403.076 nm in carbon steel, and for Cu(I) 327.395 nm and Zn(I) 328.233 nm in copper alloys, reducing the mean relative standard deviations by 70.52%, 79.33%, 80.76%, and 72.09%, respectively. Calibration curves constructed from the corrected spectra all achieved R2 values above 0.99, markedly outperforming the original spectra, normalization, and other correction methods. By integrating a low-cost, high-speed DVS with a cross-modal fusion model, this work provides a practical and powerful solution for mitigating spectral instability in LIBS and supports robust on-site analytical applications.</t>
  </si>
  <si>
    <t>Jian, Honglin; Deng, Lei; Deng, Yu; Lyv, Qishen; Hou, Mingzhe; Wang, Jun; Wang, Xilin; Jia, Zhidong</t>
  </si>
  <si>
    <t>Wang, XL (corresponding author), Tsinghua Univ, Tsinghua Shenzhen Int Grad Sch, Engn Lab Power Equipment Reliabil Complicated Coas, Shenzhen 518055, Guangdong, Peoples R China.</t>
  </si>
  <si>
    <t>wang.xilin@sz.tsinghua.edu.cn</t>
  </si>
  <si>
    <t>National Natural Science Foundation of China [52077118]</t>
  </si>
  <si>
    <t>The authors disclosed receipt of the following financial support for the research, authorship, and/or publication of this article: National Natural Science Foundation of China (No. 52077118, No. 62411560155, and No. 62276151) and the Guangdong Basic and Applied Basic Research Foundation (No. 2024A1515012597).</t>
  </si>
  <si>
    <t>[Jian, Honglin; Wang, Xilin; Jia, Zhidong] Tsinghua Univ, Tsinghua Shenzhen Int Grad Sch, Engn Lab Power Equipment Reliabil Complicated Coas, Shenzhen 518055, Guangdong, Peoples R China; [Deng, Lei] Tsinghua Univ, Ctr Brain Inspired Comp Res, Dept Precis Instrument, Beijing 100084, Peoples R China; [Deng, Yu] China Elect Power Res Inst, Beijing 100192, Peoples R China; [Lyv, Qishen; Hou, Mingzhe] China Southern Power Grid Corp, Shenzhen Power Supply Corp, Shenzhen 518001, Guangdong, Peoples R China; [Wang, Jun] State Key Lab Environm Adaptabil Ind Prod, Guangzhou 510399, Guangdong, Peoples R China</t>
  </si>
  <si>
    <t>Tsinghua University; Tsinghua Shenzhen International Graduate School; Tsinghua University; State Grid Corporation of China; China Electric Power Research Institute (CEPRI); China Southern Power Grid</t>
  </si>
  <si>
    <t>Enhanced Laser-Induced Breakdown Spectroscopy Using Multimodal Fusion Correction of Event-Reconstructed Plasma Images and Spectral Features</t>
  </si>
  <si>
    <t>APPLIED SPECTROSCOPY</t>
  </si>
  <si>
    <t>Laser-induced breakdown spectroscopy; dynamic vision sensor; multimodal fusion; convolutional neural network; CNN; multihead attention</t>
  </si>
  <si>
    <t>VISION</t>
  </si>
  <si>
    <t>Wang, Xilin/L-7114-2019</t>
  </si>
  <si>
    <t>Jian, Honglin/0009-0008-3544-0299; WANG, 王希林/0000-0002-5285-365X</t>
  </si>
  <si>
    <t>SAGE PUBLICATIONS INC</t>
  </si>
  <si>
    <t>THOUSAND OAKS</t>
  </si>
  <si>
    <t>2455 TELLER RD, THOUSAND OAKS, CA 91320 USA</t>
  </si>
  <si>
    <t>0003-7028</t>
  </si>
  <si>
    <t>1943-3530</t>
  </si>
  <si>
    <t>APPL SPECTROSC</t>
  </si>
  <si>
    <t>Appl. Spectrosc.</t>
  </si>
  <si>
    <t>399</t>
  </si>
  <si>
    <t>415</t>
  </si>
  <si>
    <t>10.1177/00037028261424291</t>
  </si>
  <si>
    <t>http://dx.doi.org/10.1177/00037028261424291</t>
  </si>
  <si>
    <t>Instruments &amp; Instrumentation; Spectroscopy</t>
  </si>
  <si>
    <t>GR1SM</t>
  </si>
  <si>
    <t>41697944</t>
  </si>
  <si>
    <t>WOS:001704628900001</t>
  </si>
  <si>
    <t>Pechetti, S; Chennu, LNL; Chintakunta, V; Dudala, S</t>
  </si>
  <si>
    <t>Mental stress detection requires robust classification systems capable of leveraging complementary physiological and behavioral indicators. This study presents a cross-domain multimodal framework that integrates independent benchmark datasets to predict stress levels through neurophysiological and facial expression analysis. The proposed architecture employs a dual-branch approach: Long Short-Term Memory (LSTM) networks process temporal EEG patterns from the DEAP dataset, while a hybrid Vision Transformer-Convolutional Neural Network (ViT-CNN) model extracts facial features from FER2013. Three fusion strategies are systematically evaluated to address cross-domain data integration challenges: early fusion via feature concatenation, late fusion through ensemble decision-making, and stacked fusion using meta-classifier architecture. The framework demonstrates exceptional generalizability across independent data sources, with stacked fusion achieving 91.64% accuracy, 0.93 precision, 0.94 recall, and 0.95 F1-score for three-level stress classification (low, moderate, high). Comparative analysis validates the superiority of cross-domain fusion over existing unimodal approaches, demonstrating significant performance improvements without synchronized data collection. This methodology addresses practical deployment scenarios where simultaneous multimodal recording is not possible all the time , offering substantial potential for real-world stress monitoring in healthcare, occupational environments, and intelligent human-computer interaction systems.</t>
  </si>
  <si>
    <t>Pechetti, Sukanya; Chennu, Lakshmi Naga Lasya; Chintakunta, Vijay; Dudala, Sumanth</t>
  </si>
  <si>
    <t>Pechetti, S (corresponding author), Siddhartha Acad Higher Educ Deemed Be Univ, Dept Comp Sci &amp; Engn, Vijayawada 520007, Andhra Pradesh, India.</t>
  </si>
  <si>
    <t>sukanya@vrsiddhartha.ac.in</t>
  </si>
  <si>
    <t>[Pechetti, Sukanya; Chennu, Lakshmi Naga Lasya; Chintakunta, Vijay; Dudala, Sumanth] Siddhartha Acad Higher Educ Deemed Be Univ, Dept Comp Sci &amp; Engn, Vijayawada 520007, Andhra Pradesh, India</t>
  </si>
  <si>
    <t>Siddhartha Academy of Higher Education</t>
  </si>
  <si>
    <t>Cross-domain multimodal learning for stress-level prediction: a hybrid deep learning framework integrating independent EEG and facial expression datasets</t>
  </si>
  <si>
    <t>Multimodal stress prediction; EEG signal analysis; Facial expression recognition; Vision transformer; Long short-term memory networks; Multimodal fusion</t>
  </si>
  <si>
    <t>pechetti, sukanya/0000-0002-4841-4056</t>
  </si>
  <si>
    <t>15303</t>
  </si>
  <si>
    <t>10.1038/s41598-026-41250-7</t>
  </si>
  <si>
    <t>http://dx.doi.org/10.1038/s41598-026-41250-7</t>
  </si>
  <si>
    <t>IC3LN</t>
  </si>
  <si>
    <t>41922398</t>
  </si>
  <si>
    <t>WOS:001768310700017</t>
  </si>
  <si>
    <t>Wang, K; Shan, S; Dou, WJ; Wei, HK; Zhang, KJ</t>
  </si>
  <si>
    <t>Ultra-short-term photovoltaic (PV) power forecasting holds significant importance in enhancing grid stability. Most PV power forecasting methods based on satellite images rely on pixel-level predictions, which are inefficient and redundant. Meanwhile, current deep-learning approaches struggle to establish correlations between large-scale cloud features and PV generation patterns. In this paper, an end-to-end model based on multimodal learning is proposed for directly obtaining multi-step PV power forecasts from satellite images and time series. To capture cloud dynamics and features within the region of interest (RoI), ConvLSTM-RICNN is utilized to encode satellite images. To mitigate the impact of noise and missing data in PV power, a robust fusion approach named DCCA-LF is introduced. This approach integrates deep canonical correlation analysis (DCCA) into late fusion (LF) to strengthen cross-modal feature alignment. The proposed model is verified using publicly available data from BP Solar in Alice Springs and Himawari-8, from January 1, 2020, to October 8, 2022. Comparison with current state-of-the-art research shows that the suggested model achieves the best RMSE and MAE with minimal complexity across all cloud conditions. Moreover, the proposed approach is robust to noise and missing data.</t>
  </si>
  <si>
    <t>Wang, Kai; Shan, Shuo; Dou, Weijing; Wei, Haikun; Zhang, Kanjian</t>
  </si>
  <si>
    <t>Shan, S; Zhang, KJ (corresponding author), Southeast Univ, Sch Automat, Key Lab Measurement &amp; Control Complex Syst Engn, Minist Educ, Nanjing 210096, Peoples R China.; Zhang, KJ (corresponding author), Southeast Univ, Shenzhen Res Inst, Shenzhen 518063, Peoples R China.</t>
  </si>
  <si>
    <t>hkwei@seu.edu.cn; kjzhang@seu.edu.cn; wangkai1998@seu.edu.cn; shuoshan@seu.edu.cn; wj_dou@seu.edu.cn</t>
  </si>
  <si>
    <t>National Natural Science Foundation of China [61973083]; Shenzhen Science and Technology Program [JCYJ20210324121213036]; Natural Science Foundation of Jiangsu Province, China [BK20241287]</t>
  </si>
  <si>
    <t>National Natural Science Foundation of China (National Natural Science Foundation of China (NSFC)); Shenzhen Science and Technology Program (Shenzhen Science and Technology Program); Natural Science Foundation of Jiangsu Province, China (Natural Science Foundation of Jiangsu Province)</t>
  </si>
  <si>
    <t>This work was supported in part by the National Natural Science Foundation of China under Grant 61973083, in part by Shenzhen Science and Technology Program under Grant JCYJ20210324121213036, and in part by the Natural Science Foundation of Jiangsu Province, China under Grant BK20241287.</t>
  </si>
  <si>
    <t>[Wang, Kai; Shan, Shuo; Dou, Weijing; Wei, Haikun; Zhang, Kanjian] Southeast Univ, Sch Automat, Key Lab Measurement &amp; Control Complex Syst Engn, Minist Educ, Nanjing 210096, Peoples R China; [Wei, Haikun; Zhang, Kanjian] Southeast Univ, Shenzhen Res Inst, Shenzhen 518063, Peoples R China</t>
  </si>
  <si>
    <t>Southeast University - China; Southeast University - China</t>
  </si>
  <si>
    <t>A Robust Photovoltaic Power Forecasting Method Based on Multimodal Learning Using Satellite Images and Time Series</t>
  </si>
  <si>
    <t>IEEE TRANSACTIONS ON SUSTAINABLE ENERGY</t>
  </si>
  <si>
    <t>Satellite images; Time series analysis; Forecasting; Predictive models; Robustness; Data models; Correlation; Feature extraction; Biological system modeling; Image coding; Deep learning; multimodal; robust forecasting; PV power forecasting; satellite image</t>
  </si>
  <si>
    <t>Wei, Haikun/0000-0002-6667-3166</t>
  </si>
  <si>
    <t>1949-3029</t>
  </si>
  <si>
    <t>1949-3037</t>
  </si>
  <si>
    <t>IEEE T SUSTAIN ENERG</t>
  </si>
  <si>
    <t>IEEE Trans. Sustain. Energy</t>
  </si>
  <si>
    <t>970</t>
  </si>
  <si>
    <t>980</t>
  </si>
  <si>
    <t>10.1109/TSTE.2024.3494266</t>
  </si>
  <si>
    <t>http://dx.doi.org/10.1109/TSTE.2024.3494266</t>
  </si>
  <si>
    <t>Green &amp; Sustainable Science &amp; Technology; Energy &amp; Fuels; Engineering, Electrical &amp; Electronic</t>
  </si>
  <si>
    <t>Science &amp; Technology - Other Topics; Energy &amp; Fuels; Engineering</t>
  </si>
  <si>
    <t>0KS7S</t>
  </si>
  <si>
    <t>WOS:001449690500010</t>
  </si>
  <si>
    <t>Zhang, J; Hong, PJ; Wang, N; Liu, Y; Wang, Y; Chen, LQ</t>
  </si>
  <si>
    <t>Rosacea is a chronic inflammatory skin disorder characterized by persistent facial erythema. Its clinical assessment relies on the Clinician's Erythema Assessment (CEA), a subjective scale prone to inter-observer variability. To address the need for diagnostic consistency, this study developed a multimodal artificial intelligence framework for objective CEA grading using standardized VISIA (R) imaging. We analyzed a retrospective cohort of 1,001 patients. To establish a robust reference standard, three expert dermatologists conducted a multi-step collective audit to reach a unanimous consensus for each case. The framework integrated handcrafted image-derived tabular features with deep learning representations. During training, spatial data augmentations and Focal Loss were implemented to address dataset imbalance and mitigate overfitting. Our results demonstrated that the multimodal fusion model achieved statistically significant improvements over the strong image-only baseline (McNemar's p = 0.031 ; DeLong's p = 0.024 ), yielding a Macro-AUC of 0.902 (95% CI: 0.862-0.937). Furthermore, to address the ordinal nature of the disease severity, the fusion model achieved a Quadratic Weighted Kappa (QWK) of 0.800 and an Intraclass Correlation Coefficient (ICC) of 0.801 (95% CI: 0.720-0.860), indicating excellent alignment with expert consensus. Error analysis revealed that over 95% of misclassifications in intermediate grades (CEA3) were restricted to adjacent categories, reflecting strong clinical safety. Interpretability analysis via layer-wise relevance propagation confirmed the model's focus on clinically recognized erythema-prone regions.This study establishes a robust proof-of-concept tool that transforms rosacea assessment from subjective inspection into an objective digital measurement, offering significant translational potential for clinical trials and teledermatology.</t>
  </si>
  <si>
    <t>Zhang, Jun; Hong, Peijian; Wang, Ning; Liu, Yang; Wang, Yue; Chen, LiuQing</t>
  </si>
  <si>
    <t>Wang, Y; Chen, LQ (corresponding author), Wuhan 1 Hosp, Dept Dermatol, Wuhan, Peoples R China.</t>
  </si>
  <si>
    <t>chlq35@126.com; wangyuewh1@163.com</t>
  </si>
  <si>
    <t>The author(s) declared that financial support was received for this work and/or its publication. This work was supported by the National Natural Science Foundation of China (Grant Number: 82404183)</t>
  </si>
  <si>
    <t>[Zhang, Jun; Hong, Peijian; Wang, Ning; Wang, Yue; Chen, LiuQing] Wuhan 1 Hosp, Dept Dermatol, Wuhan, Peoples R China; [Liu, Yang] Huazhong Univ Sci &amp; Technol, Tongji Hosp, Tongji Med Coll, Wuhan, Peoples R China</t>
  </si>
  <si>
    <t>Wuhan No.1 Hospital; Huazhong University of Science &amp; Technology</t>
  </si>
  <si>
    <t>Objective assessment of rosacea erythema severity: a multimodal artificial intelligence framework integrating VISIA® imaging and image-derived tabular features</t>
  </si>
  <si>
    <t>FRONTIERS IN MEDICINE</t>
  </si>
  <si>
    <t>AI-assisted diagnosis; clinician's erythema assessment; feature fusion; multimodal deep learning; self-supervised learning; VISIA facial analysis system</t>
  </si>
  <si>
    <t>2296-858X</t>
  </si>
  <si>
    <t>FRONT MED-LAUSANNE</t>
  </si>
  <si>
    <t>Front. Med.</t>
  </si>
  <si>
    <t>MAY 11 2026</t>
  </si>
  <si>
    <t>1829629</t>
  </si>
  <si>
    <t>10.3389/fmed.2026.1829629</t>
  </si>
  <si>
    <t>http://dx.doi.org/10.3389/fmed.2026.1829629</t>
  </si>
  <si>
    <t>II4HS</t>
  </si>
  <si>
    <t>42239947</t>
  </si>
  <si>
    <t>WOS:001772435300001</t>
  </si>
  <si>
    <t>Xie, XD; Wu, J; Tang, JT; Sheng, YX</t>
  </si>
  <si>
    <t>Review helpfulness prediction (RHP) is critical for alleviating information overload and supporting reliable decision making on e-commerce platforms, yet it is challenged by unstructured and multimodal review content as well as distorted helpfulness signals. Prior studies have examined textual, structural, and reviewer-related determinants and built models based on manually engineered features or deep learning, but most approaches remain text-centric, make limited use of review images and structured metadata, and offer little interpretability regarding how different information sources contribute to predictions. To address these issues, we propose Attentive Gated Multimodal Fusion (AGMF), a deep learning framework that jointly models review text, review images, and structured metadata. AGMF employs a pre-trained language model for textual representations, a convolutional neural network for visual features, and metadata features capturing reviewer characteristics and behavioural signals, and fuses them through cross-modal attention and a gated multimodal unit that adaptively weights each modality at the instance level, providing modality-level interpretability. Experiments on a large-scale dataset of Chinese e-commerce reviews show that AGMF consistently outperforms traditional machine-learning methods, strong single-modality deep learning baselines, and competitive multimodal fusion models in terms of accuracy, F1-score, and AUC, and ablation studies confirm the effectiveness of each modality and the proposed fusion mechanism. Overall, this study contributes an interpretable multimodal architecture for RHP that effectively integrates text, images, and metadata and offers practical guidance for designing intelligent review filtering systems on online platforms.</t>
  </si>
  <si>
    <t>Xie, Xiaodong; Wu, Jie; Tang, Jianting; Sheng, Yongxiang</t>
  </si>
  <si>
    <t>Wu, J (corresponding author), Jiangsu Univ Sci &amp; Technol, Sch Econ &amp; Management, Zhenjiang, Peoples R China.</t>
  </si>
  <si>
    <t>2120172501@alu.nufe.edu.cn</t>
  </si>
  <si>
    <t>the National Natural Science Foundation of China [72171122]</t>
  </si>
  <si>
    <t>the National Natural Science Foundation of China (National Natural Science Foundation of China (NSFC))</t>
  </si>
  <si>
    <t>This work was supported by the National Natural Science Foundation of China under Grants 72171122.</t>
  </si>
  <si>
    <t>[Xie, Xiaodong; Wu, Jie; Tang, Jianting; Sheng, Yongxiang] Jiangsu Univ Sci &amp; Technol, Sch Econ &amp; Management, Zhenjiang, Peoples R China</t>
  </si>
  <si>
    <t>Jiangsu University of Science &amp; Technology</t>
  </si>
  <si>
    <t>Multimodal Deep Learning for Online Review Helpfulness Prediction</t>
  </si>
  <si>
    <t>EXPERT SYSTEMS</t>
  </si>
  <si>
    <t>e-commerce platforms; feature fusion; image features; metadata; multimodal learning; review usefulness; text features</t>
  </si>
  <si>
    <t>PRODUCT REVIEWS; CONTRIBUTE</t>
  </si>
  <si>
    <t>0266-4720</t>
  </si>
  <si>
    <t>1468-0394</t>
  </si>
  <si>
    <t>EXPERT SYST</t>
  </si>
  <si>
    <t>Expert Syst.</t>
  </si>
  <si>
    <t>e70216</t>
  </si>
  <si>
    <t>10.1111/exsy.70216</t>
  </si>
  <si>
    <t>http://dx.doi.org/10.1111/exsy.70216</t>
  </si>
  <si>
    <t>FH8UZ</t>
  </si>
  <si>
    <t>WOS:001719130200008</t>
  </si>
  <si>
    <t>Sheikh, MM; Balachandra, M; Narendra, VG; Maiya, AG</t>
  </si>
  <si>
    <t>Early detection of diabetic neuropathy remains a challenge due to reliance on subjective clinical assessments. We propose SoleFusion-Net, an explainable multimodal deep learning framework that integrates plantar pressure images with structured clinical data through an late-fusion dual-branch architecture. The image branch employs convolutional layers to extract biomechanical pressure features, while the tabular branch processes clinical and demographic variables. Learned representations are fused for joint classification. Extensive explainability techniques, including Grad-CAM, SHAP, surrogate decision trees, and prototyped critique analysis, were implemented to enhance transparency and clinician trust. Evaluated on 504 patients stratified into mild, moderate, and severe neuropathy, SoleFusion-Net achieved 83% validation accuracy with AUCs of 0.962, 0.892, and 0.933 across the three classes. Explainability analyses identified vibration perception threshold and monofilament scores as critical predictors, while Grad-Cam highlighted spatially significant plantar regions. SoleFusion-Net showcases the feasibility of adjusting the standard multimodal fusion process and the use of various XAI methods to achieve the goal of diabetic foot syndrome classification. Therefore, this solution ensures a trustworthy help about risk stratification. The framework provides a modular and explainable AI model for integrating multimodal biomedical data, with a structure that is potentially generalizable to other settings pending external validation.</t>
  </si>
  <si>
    <t>Sheikh, Mehewish Musheer; Balachandra, Mamatha; Narendra, V. G.; Maiya, Arun G.</t>
  </si>
  <si>
    <t>Balachandra, M (corresponding author), Manipal Acad Higher Educ, Manipal Inst Technol, Manipal 576104, India.</t>
  </si>
  <si>
    <t>mamtha.bc@manipal.edu</t>
  </si>
  <si>
    <t>Manipal Academy of Higher Education, Manipal</t>
  </si>
  <si>
    <t>Open access funding provided by Manipal Academy of Higher Education, Manipal</t>
  </si>
  <si>
    <t>[Sheikh, Mehewish Musheer; Balachandra, Mamatha; Narendra, V. G.] Manipal Acad Higher Educ, Manipal Inst Technol, Manipal 576104, India; [Maiya, Arun G.] Manipal Acad Higher Educ, Manipal Coll Hlth Profess, Dept Physiotherapy, Manipal 576104, India</t>
  </si>
  <si>
    <t>Manipal Academy of Higher Education (MAHE); Manipal Academy of Higher Education (MAHE)</t>
  </si>
  <si>
    <t>SoleFusion-Net: an explainable multimodal deep learning framework for diabetic foot syndrome classification in type II diabetes mellitus</t>
  </si>
  <si>
    <t>Diabetic foot syndrome; multimodal deep learning; plantar pressure imaging; neuropathy classification; Explainable Artificial Intelligence</t>
  </si>
  <si>
    <t>G, Narendra/D-1589-2017; balachandra, mamatha/B-5105-2017</t>
  </si>
  <si>
    <t>APR 3 2026</t>
  </si>
  <si>
    <t>15973</t>
  </si>
  <si>
    <t>10.1038/s41598-026-42207-6</t>
  </si>
  <si>
    <t>http://dx.doi.org/10.1038/s41598-026-42207-6</t>
  </si>
  <si>
    <t>II9AM</t>
  </si>
  <si>
    <t>41932959</t>
  </si>
  <si>
    <t>WOS:001772754500001</t>
  </si>
  <si>
    <t>Sepulveda, RS; Boman, M</t>
  </si>
  <si>
    <t>Background Mexico has one of the highest global incidences of paediatric overweight and obesity. Public health interventions have shown only moderate success, possibly from relying on knowledge extracted using limited types of statistical data analysis methods.Purpose To explore if multimodal machine learning can enhance identifying predictive features from obesogenic environments and investigating complex disease or social patterns, using the Mexican National Health and Nutrition Survey.Methods We grouped features into five data modalities corresponding to paediatric population exogenous factors, in two multimodal machine learning pipelines, against a unimodal early fusion baseline. The supervised pipeline employed four methods: Linear classifier with Elastic Net regularisation, k-Nearest Neighbour, Decision Tree, and Random Forest. The unsupervised pipeline used traditional methods with k-Means and hierarchical clustering, with the optimal number of clusters calculated to be k = 2.Results The decision tree classifier in the supervised early fusion approach produced the best quantitative results. The top five most important features for classifying child or adolescent health were measures of an adult in the household, selected at random: BMI, obesity diagnosis, being single, seeking care at private healthcare, and having paid TV in the home. Unsupervised learning approaches varied in the optimal number of clusters but agreed on the importance of home environment features when analysing inter-cluster patterns. Main findings from this study differed from previous studies using only traditional statistical methods on the same database. Notably, the BMI of a randomised adult within the household emerged as the most important feature, rather than maternal BMI, as reported in previous literature where unwanted cultural bias went undetected.Conclusion Our general conclusion is that multimodal machine learning is a promising approach for comprehensively analysing obesogenic environments. The modalities allowed for a multimodal approach designed to critically analyse data signal strength and reveal sources of unwanted bias. In particular, it may aid in developing more effective public health policies to address the ongoing paediatric obesity epidemic in Mexico.</t>
  </si>
  <si>
    <t>Sepulveda, Rosario Silva; Boman, Magnus</t>
  </si>
  <si>
    <t>Boman, M (corresponding author), Karolinska Inst, Dept Med Solna, Div Clin Epidemiol, Stockholm, Sweden.; Boman, M (corresponding author), Karolinska Univ Hosp, MedTechLabs, BioClinicum, Stockholm, Sweden.</t>
  </si>
  <si>
    <t>magnus.boman@ki.se</t>
  </si>
  <si>
    <t>[Sepulveda, Rosario Silva; Boman, Magnus] Karolinska Inst, Dept Med Solna, Div Clin Epidemiol, Stockholm, Sweden; [Boman, Magnus] Karolinska Univ Hosp, MedTechLabs, BioClinicum, Stockholm, Sweden</t>
  </si>
  <si>
    <t>Karolinska Institutet; Karolinska Institutet; Karolinska University Hospital</t>
  </si>
  <si>
    <t>Multimodal machine learning for analysing multifactorial causes of disease-The case of childhood overweight and obesity in Mexico</t>
  </si>
  <si>
    <t>supervised machine learning; unsupervised machine learning; multimodal machine learning; bias; paediatric obesity; obesogenic environment; Mexico</t>
  </si>
  <si>
    <t>SCHOOL-AGE-CHILDREN; RISK</t>
  </si>
  <si>
    <t>JAN 7 2025</t>
  </si>
  <si>
    <t>1369041</t>
  </si>
  <si>
    <t>10.3389/fpubh.2024.1369041</t>
  </si>
  <si>
    <t>http://dx.doi.org/10.3389/fpubh.2024.1369041</t>
  </si>
  <si>
    <t>S8G3M</t>
  </si>
  <si>
    <t>39845684</t>
  </si>
  <si>
    <t>WOS:001400536200001</t>
  </si>
  <si>
    <t>Mohammad, F; Al Mansoor, KM</t>
  </si>
  <si>
    <t>Depression is a prevalent mental health issue affecting individuals of all age groups globally. Similar to other mental health disorders, diagnosing depression presents significant challenges for medical practitioners and clinical experts, primarily due to societal stigma and a lack of awareness and acceptance. Although medical interventions such as therapies, medications, and brain stimulation therapy provide hope for treatment, there is still a gap in the efficient detection of depression. Traditional methods, like in-person therapies, are both time-consuming and labor-intensive, emphasizing the necessity for technological assistance, especially through Artificial Intelligence. Alternative to this, in most cases it has been diagnosed through questionnaire-based mental status assessments. However, this method often produces inconsistent and inaccurate results. Additionally, there is currently a lack of a comprehensive diagnostic framework that could be effective achieving accurate and robust diagnostic outcomes. For a considerable time, researchers have sought methods to identify symptoms of depression through individuals' speech and responses, leveraging automation systems and computer technology. This research proposed MDD which composed of multimodal data collection, preprocessing, and feature extraction (utilizing the T5 model for text features and the WaveNet model for speech features). Canonical Correlation Analysis (CCA) is then used to create correlated projections of text and audio features, followed by feature fusion through concatenation. Finally, depression detection is performed using a neural network with a sigmoid output layer. The proposed model achieved remarkable performance, on the Distress Analysis Interview Corpus-Wizard (DAIC-WOZ) dataset, it attained an accuracy of 92.75%, precision of 92.05%, and recall of 92.22%. For the E-DAIC dataset, it achieved an accuracy of 91.74%, precision of 90.35%, and recall of 90.95%. Whereas, on CD-III dataset (Custom Dataset for Depression), the model demonstrated an accuracy of 93.05%, precision of 92.12%, and recall of 92.85%. These results underscore the model's robust capability in accurately diagnosing depressive disorder, demonstrating the efficacy of advanced feature extraction methods and improved classification algorithm.</t>
  </si>
  <si>
    <t>Mohammad, Farah; Al Mansoor, Khulood Mohammed</t>
  </si>
  <si>
    <t>Mohammad, F (corresponding author), King Saud Univ, Ctr Excellence &amp; Informat Assurance CoEIA, Riyadh 11543, Saudi Arabia.; Mohammad, F (corresponding author), Arab East Coll, Dept Comp Sci &amp; Technol, Riyadh 11583, Saudi Arabia.</t>
  </si>
  <si>
    <t>fnazar@ieee.org</t>
  </si>
  <si>
    <t>King Saud University, Saudi Arabia</t>
  </si>
  <si>
    <t>King Saud University, Saudi Arabia (King Saud University)</t>
  </si>
  <si>
    <t>Acknowledgement: The authors acknowledged the support of King Saud University, Saudi Arabia.</t>
  </si>
  <si>
    <t>[Mohammad, Farah] King Saud Univ, Ctr Excellence &amp; Informat Assurance CoEIA, Riyadh 11543, Saudi Arabia; [Mohammad, Farah] Arab East Coll, Dept Comp Sci &amp; Technol, Riyadh 11583, Saudi Arabia; [Al Mansoor, Khulood Mohammed] King Saud Univ, Self Dev Skills Dept, Riyadh 11543, Saudi Arabia</t>
  </si>
  <si>
    <t>King Saud University; Arab East Colleges; King Saud University</t>
  </si>
  <si>
    <t>MDD: A Unified Multimodal Deep Learning Approach for Depression Diagnosis Based on Text and Audio Speech</t>
  </si>
  <si>
    <t>CMC-COMPUTERS MATERIALS &amp; CONTINUA</t>
  </si>
  <si>
    <t>Depression; deep learning; T5; WaveNet; CCA; neural network</t>
  </si>
  <si>
    <t>SOCIAL MEDIA</t>
  </si>
  <si>
    <t>Mohammad, Farah/NXB-9224-2025</t>
  </si>
  <si>
    <t>TECH SCIENCE PRESS</t>
  </si>
  <si>
    <t>HENDERSON</t>
  </si>
  <si>
    <t>871 CORONADO CENTER DR, SUTE 200, HENDERSON, NV 89052 USA</t>
  </si>
  <si>
    <t>1546-2218</t>
  </si>
  <si>
    <t>1546-2226</t>
  </si>
  <si>
    <t>CMC-COMPUT MATER CON</t>
  </si>
  <si>
    <t>CMC-Comput. Mat. Contin.</t>
  </si>
  <si>
    <t>81</t>
  </si>
  <si>
    <t>4125</t>
  </si>
  <si>
    <t>4147</t>
  </si>
  <si>
    <t>10.32604/cmc.2024.056666</t>
  </si>
  <si>
    <t>http://dx.doi.org/10.32604/cmc.2024.056666</t>
  </si>
  <si>
    <t>Computer Science, Information Systems; Materials Science, Multidisciplinary</t>
  </si>
  <si>
    <t>Computer Science; Materials Science</t>
  </si>
  <si>
    <t>Q5R0E</t>
  </si>
  <si>
    <t>WOS:001385235800001</t>
  </si>
  <si>
    <t>Zhou, WY; Shi, ZY; Xie, B; Li, F; Yin, JH; Zhang, YZ; Hu, LN; Li, L; Yan, YM; Wei, XJ; Hu, Z; Luo, ZM; Peng, WX; Xie, XC; Long, XL</t>
  </si>
  <si>
    <t>Background Accurate and automated segmentation of pancreatic tumors from CT images via deep learning is essential for the clinical diagnosis of pancreatic cancer. However, two key challenges persist: (a) complex phenotypic variations in pancreatic morphology cause segmentation models to focus predominantly on healthy tissue over tumors, compromising tumor feature extraction and segmentation accuracy; (b) existing methods often struggle to retain fine-grained local features, leading to performance degradation in pancreas-tumor segmentation.Methods To overcome these limitations, we propose SMF-Net (Semantic-Guided Multimodal Fusion Network), a novel multimodal medical image segmentation framework integrating a CNN-Transformer hybrid encoder. The framework incorporates AMBERT, a progressive feature extraction module, and the Multimodal Token Transformer (MTT) to fuse visual and semantic features for enhanced tumor localization. Additionally, The Multimodal Enhanced Attention Module (MEAM) further improves the retention of local discriminative features. To address multimodal data scarcity, we adopt a semi-supervised learning paradigm based on a Dual-Adversarial-Student Network (DAS-Net). Furthermore, in collaboration with Zhuzhou Central Hospital, we constructed the Multimodal Pancreatic Tumor Dataset (MPTD).Results The experimental results on the MPTD indicate that our model achieved Dice scores of 79.25% and 64.21% for pancreas and tumor segmentation, respectively, showing improvements of 2.24% and 4.18% over the original model. Furthermore, the model outperformed existing state-of-the-art methods on the QaTa-COVID-19 and MosMedData lung infection segmentation datasets in terms of average Dice scores, demonstrating its strong generalization ability.Conclusion The experimental results demonstrate that SMF-Net delivers accurate segmentation of both pancreatic, tumor and pulmonary regions, highlighting its strong potential for real-world clinical applications.</t>
  </si>
  <si>
    <t>Zhou, Wenyi; Shi, Ziyang; Xie, Bin; Li, Fang; Yin, Jiehao; Zhang, Yongzhong; Hu, Linan; Li, Lin; Yan, Yongming; Wei, Xiajun; Hu, Zhen; Luo, Zhengmao; Peng, Wanxiang; Xie, Xiaochun; Long, Xiaoli</t>
  </si>
  <si>
    <t>Zhang, YZ; Li, L (corresponding author), Cent South Univ Forestry &amp; Technol, Sch Elect Informat &amp; Phys, Changsha, Peoples R China.; Hu, LN (corresponding author), Cent South Univ, Zhuzhou Hosp, Xiangya Sch Med, Dept Radiol, Zhuzhou, Peoples R China.</t>
  </si>
  <si>
    <t>20010595@csuft.edu.cn; netmeet8@126.com; t20060540@csuft.edu.cn</t>
  </si>
  <si>
    <t>National Natural Science Foundation of China [61902436]; Education Department Key Program of Hunan Province [21A0160]</t>
  </si>
  <si>
    <t>National Natural Science Foundation of China (National Natural Science Foundation of China (NSFC)); Education Department Key Program of Hunan Province</t>
  </si>
  <si>
    <t>The authors would like to thank Zhuzhou Hospital affiliated to Xiangya Medical College of Central South University for providing us with the dataset and assistance.</t>
  </si>
  <si>
    <t>[Zhou, Wenyi; Shi, Ziyang; Xie, Bin; Yin, Jiehao; Zhang, Yongzhong; Li, Lin; Yan, Yongming] Cent South Univ Forestry &amp; Technol, Sch Elect Informat &amp; Phys, Changsha, Peoples R China; [Li, Fang; Hu, Linan; Wei, Xiajun; Hu, Zhen; Luo, Zhengmao; Peng, Wanxiang; Xie, Xiaochun; Long, Xiaoli] Cent South Univ, Zhuzhou Hosp, Xiangya Sch Med, Dept Radiol, Zhuzhou, Peoples R China</t>
  </si>
  <si>
    <t>Central South University of Forestry &amp; Technology; Central South University</t>
  </si>
  <si>
    <t>SMF-net: semantic-guided multimodal fusion network for precise pancreatic tumor segmentation in medical CT image</t>
  </si>
  <si>
    <t>FRONTIERS IN ONCOLOGY</t>
  </si>
  <si>
    <t>medical image segmentation; multimodal feature fusion; semi-supervised learning; convolution transformer-based network; pancreatic tumor detection</t>
  </si>
  <si>
    <t>zhou, wen yi/NJT-0078-2025; zhengmao, luo/HLW-4595-2023</t>
  </si>
  <si>
    <t>2234-943X</t>
  </si>
  <si>
    <t>FRONT ONCOL</t>
  </si>
  <si>
    <t>Front. Oncol.</t>
  </si>
  <si>
    <t>JUL 18 2025</t>
  </si>
  <si>
    <t>1622426</t>
  </si>
  <si>
    <t>10.3389/fonc.2025.1622426</t>
  </si>
  <si>
    <t>http://dx.doi.org/10.3389/fonc.2025.1622426</t>
  </si>
  <si>
    <t>5PA0N</t>
  </si>
  <si>
    <t>40756121</t>
  </si>
  <si>
    <t>WOS:001540907700001</t>
  </si>
  <si>
    <t>Li, J; Hu, WT; Zhou, ZG</t>
  </si>
  <si>
    <t>Accurate rainfall intensity estimation is crucial for environmental monitoring and urban planning. However, the reliability of existing methods in practical applications is relatively low due to certain deficiencies in data processing and noise resistance. To address these issues, MRIE is proposed, a two-stage multimodal framework that integrates data from environmental sensors and audio recordings to improve estimation accuracy. MRIE effectively fuses complementary information from multiple sensor modalities and demonstrates strong robustness with the help of a cross-modal guidance module and advanced feature fusion techniques. Experimental results show that the MAE and RMSE of MRIE are reduced by 40.7% and 29.1% respectively, and the R-2 is increased by 17.3%, compared with the best baseline. These research findings highlight the potential of MRIE as a powerful and reliable tool for sensor-based rainfall monitoring systems.</t>
  </si>
  <si>
    <t>Li, Jin; Hu, Wentao; Zhou, Zhigang</t>
  </si>
  <si>
    <t>Zhou, ZG (corresponding author), Hangzhou Dianzi Univ, Sch Elect &amp; Informat Engn, Hangzhou 310018, Peoples R China.</t>
  </si>
  <si>
    <t>zgzhou@hdu.edu.cn</t>
  </si>
  <si>
    <t>Industrial Collaborative Innovation Project [HCXBCY-2024-051]</t>
  </si>
  <si>
    <t>Industrial Collaborative Innovation Project</t>
  </si>
  <si>
    <t>This work was supported in part by the Industrial Collaborative Innovation Project under Grant HCXBCY-2024-051.</t>
  </si>
  <si>
    <t>[Li, Jin; Hu, Wentao; Zhou, Zhigang] Hangzhou Dianzi Univ, Sch Elect &amp; Informat Engn, Hangzhou 310018, Peoples R China</t>
  </si>
  <si>
    <t>Hangzhou Dianzi University</t>
  </si>
  <si>
    <t>MRIE: Enhanced Rainfall Intensity Estimation With Two-Stage Multimodal Deep Learning</t>
  </si>
  <si>
    <t>Rain; Feature extraction; Estimation; Data models; Predictive models; Deep learning; Transformers; Training; Surveillance; Accuracy; Rainfall intensity estimation; multimodal sensors; noise robustness; environmental monitoring; deep learning</t>
  </si>
  <si>
    <t>Zhou, Zhigang/LXU-4194-2024</t>
  </si>
  <si>
    <t>Zhou, Zhigang/0009-0003-2525-1906</t>
  </si>
  <si>
    <t>88600</t>
  </si>
  <si>
    <t>88608</t>
  </si>
  <si>
    <t>10.1109/ACCESS.2025.3571440</t>
  </si>
  <si>
    <t>http://dx.doi.org/10.1109/ACCESS.2025.3571440</t>
  </si>
  <si>
    <t>2YD0N</t>
  </si>
  <si>
    <t>WOS:001494088800009</t>
  </si>
  <si>
    <t>Xu, JY; He, QJ; Gao, XH; Xu, K; Huang, FC; Wang, H</t>
  </si>
  <si>
    <t>The fault signals of rotating machinery exhibit complex characteristics, including nonlinearity, high noise, and dynamic changes, etc. These issues pose significant challenges to fault diagnosis. Traditional multimodal fusion technologies often fail to fully capture the unique features of different data modalities, resulting in low diagnostic accuracy and robustness under complex working conditions. This paper proposes a FuseCT multimodal feature fusion network, which integrates one-dimensional vibration signals and two-dimensional time-frequency images obtained via Generalized Linear Chirplet Transform (GLCT), and adopts a two-branch structure for processing. The network extracts vibration signal features through the CNN-BiLSTM-1DCBAM module, utilizes the optimized SpectraFocus module to extract GLCT time-frequency features, and finally completes multimodal feature fusion via the self-attention mechanism. This method has been experimentally validated on the gearbox dataset from Southeast University and the extra-large bearing dataset from Nanjing Tech University. The results demonstrate that FuseCT achieves higher accuracy and better generalization ability in rotating machinery fault diagnosis, outperforming traditional single-modal and multi-modal methods.</t>
  </si>
  <si>
    <t>Xu, Jieyi; He, Qinjing; Gao, Xuehai; Xu, Kun; Huang, Fuchang; Wang, Hua</t>
  </si>
  <si>
    <t>Wang, H (corresponding author), Nanjing Tech Univ, Sch Mech &amp; Power Engn, Nanjing 211816, Peoples R China.</t>
  </si>
  <si>
    <t>wanghua@njtech.edu.cn</t>
  </si>
  <si>
    <t>Science and Technology Program of Suzhou https://doi.org/10.13039/501100018556 [SYG2024014]; Suzhou Science and Technology Plan</t>
  </si>
  <si>
    <t>Science and Technology Program of Suzhou https://doi.org/10.13039/501100018556; Suzhou Science and Technology Plan</t>
  </si>
  <si>
    <t>The research is supported by the Suzhou Science and Technology Plan (Project No. SYG2024014).</t>
  </si>
  <si>
    <t>[Xu, Jieyi; He, Qinjing; Xu, Kun; Wang, Hua] Nanjing Tech Univ, Sch Mech &amp; Power Engn, Nanjing 211816, Peoples R China; [Gao, Xuehai] Shanghai Dianji Univ, Sch Mech Engn, Shanghai 201306, Peoples R China; [Huang, Fuchang] Jiangsu Fenghesheng Intelligent Technol Co Ltd, Suzhou 215300, Peoples R China</t>
  </si>
  <si>
    <t>Nanjing Tech University; Shanghai Dianji University</t>
  </si>
  <si>
    <t>FuseCT: a rotating machinery fault diagnosis method based on generalized linear chirplet transform and multimodal machine learning</t>
  </si>
  <si>
    <t>ENGINEERING RESEARCH EXPRESS</t>
  </si>
  <si>
    <t>fault diagnosis; multimodal machine learning; information fusion; information correlations; signal processing; deep learning</t>
  </si>
  <si>
    <t>Gao, Xuehai/QTT-0943-2026</t>
  </si>
  <si>
    <t>Gao, Xuehai/0009-0006-5035-0289</t>
  </si>
  <si>
    <t>2631-8695</t>
  </si>
  <si>
    <t>ENG RES EXPRESS</t>
  </si>
  <si>
    <t>Eng. Res. Express</t>
  </si>
  <si>
    <t>DEC 31 2025</t>
  </si>
  <si>
    <t>045233</t>
  </si>
  <si>
    <t>10.1088/2631-8695/ae1278</t>
  </si>
  <si>
    <t>http://dx.doi.org/10.1088/2631-8695/ae1278</t>
  </si>
  <si>
    <t>8XH5N</t>
  </si>
  <si>
    <t>WOS:001599546600001</t>
  </si>
  <si>
    <t>Liu, LX; Wang, HF; Wei, Y; Kong, D; Xue, ZP; Liu, Y</t>
  </si>
  <si>
    <t>Purpose Postoperative nausea and vomiting (PONV) is a frequent and distressing complication that affects patient comfort and recovery following surgery. Conventional risk prediction models rely heavily on static clinical features, often overlooking real-time physiological signals. This study aimed to develop a robust prediction model that integrates intraoperative monitoring data with structured clinical variables to enhance the accuracy of PONV risk assessment. Methods We proposed DSPONVNet, a multimodal deep learning model incorporating a multilayer perceptron (MLP) for static features, a long short-term memory (LSTM) network for dynamic intraoperative monitoring data, and a self-attention mechanism for feature fusion. A total of 53,250 patients who underwent general anesthesia were retrospectively included.The model was trained and evaluated using stratified data partitioning and compared with five baseline models. Results DSPONVNet achieved superior performance, with a ROC-AUC of 0.9376 and F1 score of 0.8701, outperforming all baseline models. SHAP analysis revealed that both traditional risk factors (e.g., female sex, prior PONV) and intraoperative heart rate fluctuation significantly contributed to risk prediction, highlighting the value of integrating dynamic physiological data. Conclusion DSPONVNet demonstrates enhanced predictive capability and interpretability by incorporating intraoperative monitoring data, enabling more accurate and individualized PONV risk assessment.These findings support the use of real-time data fusion in clinical decision support systems for perioperative care optimization.</t>
  </si>
  <si>
    <t>Liu, Lixin; Wang, Haifeng; Wei, Yi; Kong, Di; Xue, Zhaoping; Liu, Ying</t>
  </si>
  <si>
    <t>Xue, ZP (corresponding author), Jilin Univ, Hosp 1, Postanesthesia Care Unit, 71 Xinmin, Changchun 130021, Jilin, Peoples R China.; Liu, Y (corresponding author), Jilin Univ, Hosp 1, Dept Spinal Surg, 71 Xinmin, Changchun 130021, Jilin, Peoples R China.</t>
  </si>
  <si>
    <t>liulixin@jlu.edu.cn; wanghaifeng@jlu.edu.cn; ly1116@jlu.edu.cn; 1061287333@qq.com; weiy23@mails.jlu.edu.cn; xuezp@jlu.edu.cn</t>
  </si>
  <si>
    <t>Beijing Medical Award Foundation [YXJL-2024-1376-0473]</t>
  </si>
  <si>
    <t>Beijing Medical Award Foundation</t>
  </si>
  <si>
    <t>This research was funded by the Beijing Medical Award Foundation, grant number YXJL-2024-1376-0473.</t>
  </si>
  <si>
    <t>[Liu, Lixin; Wei, Yi; Kong, Di; Xue, Zhaoping] Jilin Univ, Hosp 1, Postanesthesia Care Unit, 71 Xinmin, Changchun 130021, Jilin, Peoples R China; [Liu, Ying] Jilin Univ, Hosp 1, Dept Spinal Surg, 71 Xinmin, Changchun 130021, Jilin, Peoples R China; [Wang, Haifeng] Jilin Univ, Hosp 1, Dept Urol Surg, 71 Xinmin, Changchun 130021, Jilin, Peoples R China</t>
  </si>
  <si>
    <t>Jilin University; Jilin University; Jilin University</t>
  </si>
  <si>
    <t>DSPONVNet: a multimodal deep learning model integrating intraoperative monitoring and clinical features for predicting postoperative nausea and vomiting risk</t>
  </si>
  <si>
    <t>BMC MEDICAL RESEARCH METHODOLOGY</t>
  </si>
  <si>
    <t>Postoperative nausea and vomiting; Deep learning; Multimodal fusion; Intraoperative monitoring</t>
  </si>
  <si>
    <t>SCORE; MANAGEMENT</t>
  </si>
  <si>
    <t>1471-2288</t>
  </si>
  <si>
    <t>BMC MED RES METHODOL</t>
  </si>
  <si>
    <t>BMC Med. Res. Methodol.</t>
  </si>
  <si>
    <t>112</t>
  </si>
  <si>
    <t>10.1186/s12874-026-02845-w</t>
  </si>
  <si>
    <t>http://dx.doi.org/10.1186/s12874-026-02845-w</t>
  </si>
  <si>
    <t>Health Care Sciences &amp; Services</t>
  </si>
  <si>
    <t>HX0XM</t>
  </si>
  <si>
    <t>41928118</t>
  </si>
  <si>
    <t>WOS:001764747700001</t>
  </si>
  <si>
    <t>Buyung, RA; Nugroho, W</t>
  </si>
  <si>
    <t>Tuberculosis (TB) remains a significant global health challenge, necessitating rapid and accessible screening methods. This study proposes a multimodal deep learning model for non-invasive TB detection by fusing acoustic features from cough sounds with clinical metadata. We utilize the pre-trained Health Acoustic Representations (HeAR) model as a powerful backbone to extract features from mel-spectrograms of cough audio. These acoustic features are combined with clinical data, including sex, age, and key symptoms through a late-fusion architecture. The model was trained and evaluated on a balanced dataset of 16,000 samples derived from the CODA TB DREAM Challenge dataset. Our proposed multimodal approach achieved a high overall accuracy of 90% on the unseen test set, with balanced precision, recall, specificity, and F1-scores of 0.90 for both TB-positive and non-TB classes. These results demonstrate the effectiveness of using cough sound as a non-invasive vocal biomarker, amplified by combining advanced acoustic representations with clinical context. This highlights the potential of our method as a robust, low-cost, and scalable tool for early TB screening.</t>
  </si>
  <si>
    <t>Buyung, Rinaldi Anwar; Nugroho, Widi</t>
  </si>
  <si>
    <t>Buyung, RA (corresponding author), Seleris Meditekno Int, Dept Data Sci, Jakarta, Indonesia.</t>
  </si>
  <si>
    <t>[Buyung, Rinaldi Anwar; Nugroho, Widi] Seleris Meditekno Int, Dept Data Sci, Jakarta, Indonesia</t>
  </si>
  <si>
    <t>Multimodal Deep Learning for Tuberculosis Detection Using Cough Audio and Clinical Data with Health Acoustic Representations (HeAR)</t>
  </si>
  <si>
    <t>Tuberculosis; cough detection; Health Acoustic Representation; multimodal; vocal biomarker</t>
  </si>
  <si>
    <t>Nugroho, Widi/0009-0007-2420-2191</t>
  </si>
  <si>
    <t>WEST YORKSHIRE</t>
  </si>
  <si>
    <t>19 BOLLING RD, BRADFORD, WEST YORKSHIRE, 00000, ENGLAND</t>
  </si>
  <si>
    <t>350</t>
  </si>
  <si>
    <t>357</t>
  </si>
  <si>
    <t>U5097</t>
  </si>
  <si>
    <t>WOS:001638671300001</t>
  </si>
  <si>
    <t>Chen, YW; Prasadirta, W; Lee, CY</t>
  </si>
  <si>
    <t>Accurate multi-horizon crude oil price forecasting is difficult because market dynamics are nonlinear, nonstationary, and influenced by both numerical fundamentals and event-driven text. This study proposes a decomposition-based multimodal framework that combines large-scale macroeconomic indicators with LLM-enhanced news features for West Texas Intermediate (WTI) forecasting. Full-length financial news is transformed into structured summaries, keywords, and headlines using GPT-4.1, then encoded with FinBERT embeddings. In parallel, numerical predictors are screened via Granger-causality tests, and WTI prices are decomposed into trend, seasonal, and residual components using seasonal-trend decomposition (STL). We evaluate early, intermediate, and late fusion under an expanding-window protocol across 1-to 8-week horizons. Results indicate that early fusion achieves the lowest average errors across horizons (e.g., Week-8 MAPE 5.78%, Week-8 MSE 23.59) while maintaining competitive fold-level stability. At the 4-week horizon, the model attains MAPE 3.45%, MSE 6.81, and trend accuracy 81.51%. These findings support the value of integrating LLM-derived textual context and macroeconomic signals in a component-aware architecture for practical medium-term crude oil forecasting.</t>
  </si>
  <si>
    <t>Chen, Yen-Wen; Prasadirta, Welbey; Lee, Chia-Yen</t>
  </si>
  <si>
    <t>Lee, CY (corresponding author), Natl Taiwan Univ, Dept Informat Management, Taipei 106, Taiwan.</t>
  </si>
  <si>
    <t>chiayenlee@ntu.edu.tw</t>
  </si>
  <si>
    <t>National Science and Technology Council of Taiwan [NSTC113-2221-E-002-175-MY3]</t>
  </si>
  <si>
    <t>National Science and Technology Council of Taiwan</t>
  </si>
  <si>
    <t>This research was funded by the National Science and Technology Council of Taiwan (NSTC113-2221-E-002-175-MY3) .</t>
  </si>
  <si>
    <t>[Chen, Yen-Wen; Prasadirta, Welbey; Lee, Chia-Yen] Natl Taiwan Univ, Dept Informat Management, Taipei 106, Taiwan</t>
  </si>
  <si>
    <t>National Taiwan University</t>
  </si>
  <si>
    <t>Temporal multimodal fusion with AI-enabled textual and macroeconomic features for multi-horizon oil price prediction</t>
  </si>
  <si>
    <t>Crude oil price forecasting; Multimodal fusion; Large language models (LLMs); Time series decomposition; Macroeconomic indicators</t>
  </si>
  <si>
    <t>AUG 15 2026</t>
  </si>
  <si>
    <t>132425</t>
  </si>
  <si>
    <t>10.1016/j.eswa.2026.132425</t>
  </si>
  <si>
    <t>http://dx.doi.org/10.1016/j.eswa.2026.132425</t>
  </si>
  <si>
    <t>HC5TG</t>
  </si>
  <si>
    <t>WOS:001750825500001</t>
  </si>
  <si>
    <t>Cao, GG; Yang, ZJ; Liang, WY; Zhang, S; Zhong, T; Mao, HD; Wang, D; Zong, M</t>
  </si>
  <si>
    <t>Accurate brain tumor segmentation plays a pivotal role in clinical decision-making, providing essential support for disease screening, treatment planning, and surgical navigation. Traditional manual segmentation methods are time-consuming and labor-intensive. While deep learning has substantially advanced medical image analysis, current methods still suffer from two key limitations: the inadequate integration of complementary features across multimodal MRI sequences, and the fact that high-accuracy methods often come with substantial computational costs. To overcome these issues, this study proposes a Lightweight Collaborative Multimodal Fusion Network (LCMF-Net), which achieves high-precision and high-efficiency tumor segmentation through the synergistic optimization of Cross-Modality and Cross-Slice Attention (CMCSA) and a State Space Model-based Fusion module (SSM-Fusion). LCMF-Net adopts a multi-branch encoder architecture, in which the CMCSA module dynamically enhances and calibrates features both across different modalities (T1, T2, T1ce, and FLAIR) and between adjacent slices. To facilitate effective cross-modal integration, SSM-Fusion is introduced, enabling adaptive feature fusion while maintaining spatial continuity. Additionally, a spatial dimensionality reduction strategy, combined with an improved Residual Inception Block (RIB), allows for efficient multi-scale feature extraction and 3D contextual modeling under 2D computational constraints. Extensive experimental results demonstrate that LCMF-Net reduces computational cost by more than 50%, while achieving a 1.6 % improvement in segmentation accuracy compared to state-of-the-art (SOTA) methods. LCMF-Net demonstrates strong segmentation performance while maintaining low computational complexity, making it a practical and reliable solution for real-world clinical applications. The code is available at: https://github.com/IAAI-SIT/LCMF-Net.</t>
  </si>
  <si>
    <t>Cao, Guogang; Yang, Zhaojun; Liang, Wanying; Zhang, Sai; Zhong, Tao; Mao, Hongdong; Wang, Dong; Zong, Ming</t>
  </si>
  <si>
    <t>Cao, GG (corresponding author), Shanghai Inst Technol, Fac Intelligence Technol, Shanghai, Peoples R China.</t>
  </si>
  <si>
    <t>guogangcao@163.com</t>
  </si>
  <si>
    <t>National Natural Science Foundation of China [62175156]; Natural Science Foundation of Shang-hai [25ZR1401330]</t>
  </si>
  <si>
    <t>National Natural Science Foundation of China (National Natural Science Foundation of China (NSFC)); Natural Science Foundation of Shang-hai (Natural Science Foundation of Shanghai)</t>
  </si>
  <si>
    <t>This study was supported by the National Natural Science Foundation of China (62175156) and the Natural Science Foundation of Shang-hai (25ZR1401330)</t>
  </si>
  <si>
    <t>[Cao, Guogang; Yang, Zhaojun; Liang, Wanying; Zhang, Sai; Zhong, Tao; Wang, Dong; Zong, Ming] Shanghai Inst Technol, Fac Intelligence Technol, Shanghai, Peoples R China; [Mao, Hongdong] Ningbo Huifeng Biotechnol Co Ltd, Ningbo, Peoples R China</t>
  </si>
  <si>
    <t>Shanghai Institute of Technology</t>
  </si>
  <si>
    <t>LCMF-Net: A lightweight collaborative multimodal fusion network for brain tumor segmentation</t>
  </si>
  <si>
    <t>NEURAL NETWORKS</t>
  </si>
  <si>
    <t>Lightweight neural networks; Multimodal fusion; State space models; Attention mechanism; Brain tumor; Medical image segmentation</t>
  </si>
  <si>
    <t>CAO, Guogang/HZI-4970-2023</t>
  </si>
  <si>
    <t>Yang, ZhaoJun/0009-0006-2419-9343; Zong, Ming/0009-0003-3564-3145; CAO, Guogang/0000-0001-5991-1210</t>
  </si>
  <si>
    <t>0893-6080</t>
  </si>
  <si>
    <t>1879-2782</t>
  </si>
  <si>
    <t>Neural Netw.</t>
  </si>
  <si>
    <t>195</t>
  </si>
  <si>
    <t>108257</t>
  </si>
  <si>
    <t>10.1016/j.neunet.2025.108257</t>
  </si>
  <si>
    <t>http://dx.doi.org/10.1016/j.neunet.2025.108257</t>
  </si>
  <si>
    <t>Computer Science, Artificial Intelligence; Neurosciences</t>
  </si>
  <si>
    <t>Computer Science; Neurosciences &amp; Neurology</t>
  </si>
  <si>
    <t>9RH6L</t>
  </si>
  <si>
    <t>41197263</t>
  </si>
  <si>
    <t>WOS:001613161500002</t>
  </si>
  <si>
    <t>Cao, Y; Xiang, W; Wei, J; Cao, SS; Tian, XH; Zhong, JJ; Fang, XL; Luo, B; Lyu, H; Li, XK</t>
  </si>
  <si>
    <t>Sleep staging is used to assess sleep quality and diagnose sleep-related disorders by monitoring and analyzing physiological signals during sleep. Although previous studies have demonstrated notable success in sleep staging, most current methods rely predominantly on single-modality or single-channel data. To achieve high accuracy in automatic sleep staging, this study proposes a multimodal approach that leverages different modality features in the time and frequency domains of multichannel signals. A parallel network combined with cross-attention mechanism was designed to facilitate the effective integration of multimodal features. The cross-attention mechanism captures the complex relationships between the time domain and frequency domain, thereby improving the performance of the parallel network. The CrossFusionSleepNet achieved accuracies of 89.0%, 87.5%, and 88.9%, with corresponding F1-scores of 84.0%, 83.0%, and 81.8% on multiple public sleep stage datasets (SleepEDF-20, SleepEDF-78, and SHHS). Our results demonstrate that the multimodal approach shows potential advantages over single-modality methods, offering a novel perspective for accurate automatic sleep staging.</t>
  </si>
  <si>
    <t>Cao, Yang; Xiang, Wei; Wei, Jie; Cao, ShangShang; Tian, Xinhui; Zhong, Jiajun; Fang, Xiulian; Luo, Bin; Lyu, He; Li, Xiangkui</t>
  </si>
  <si>
    <t>Xiang, W (corresponding author), Southwest Minzu Univ, Key Lab Elect &amp; Informat Engn, State Ethn Affairs Commiss, Chengdu, Peoples R China.; Lyu, H (corresponding author), Sichuan Univ, West China Hosp, West China Biomed Big Data Ctr, Chengdu, Peoples R China.; Lyu, H (corresponding author), Sichuan Univ, Med X Ctr Informat, Chengdu, Peoples R China.</t>
  </si>
  <si>
    <t>21500068@swun.edu.cn; lyuhe233@stu.scu.edu.cn</t>
  </si>
  <si>
    <t>Open Project Program of Guangxi Key Laboratory of Digital Infrastructure [GXDIOP2023013]; Fundamental Research Funds for the Central Universities, Southwest Minzu University [ZYN20231-11]</t>
  </si>
  <si>
    <t>Open Project Program of Guangxi Key Laboratory of Digital Infrastructure; Fundamental Research Funds for the Central Universities, Southwest Minzu University</t>
  </si>
  <si>
    <t>This research is supported in part by the Open Project Program of Guangxi Key Laboratory of Digital Infrastructure (Grant Number: GXDIOP2023013) , and also in part by the Fundamental Research Funds for the Central Universities, Southwest Minzu University (ZYN20231-11) .</t>
  </si>
  <si>
    <t>[Cao, Yang; Xiang, Wei; Cao, ShangShang; Tian, Xinhui; Zhong, Jiajun; Fang, Xiulian; Li, Xiangkui] Southwest Minzu Univ, Key Lab Elect &amp; Informat Engn, State Ethn Affairs Commiss, Chengdu, Peoples R China; [Wei, Jie] Guangxi Informat Ctr, Guangxi Key Lab Digital Infrastructure, Nanning, Peoples R China; [Lyu, He] Sichuan Univ, West China Hosp, West China Biomed Big Data Ctr, Chengdu, Peoples R China; [Lyu, He] Sichuan Univ, Med X Ctr Informat, Chengdu, Peoples R China; [Luo, Bin] Sichuan Huhui Software Co Ltd, Mianyang, Peoples R China</t>
  </si>
  <si>
    <t>Southwest Minzu University; Sichuan University; Sichuan University</t>
  </si>
  <si>
    <t>CrossFusionSleepNet: A multimodal deep learning model for automatic sleep stage classification</t>
  </si>
  <si>
    <t>Automatic sleep stage classification; Deep learning; Feature fusion; Multimodal; Time-frequency transform</t>
  </si>
  <si>
    <t>RESEARCH RESOURCE; CHANNEL</t>
  </si>
  <si>
    <t>Cao, Yang/IQW-2158-2023; Li, Xiangkui/IUN-3323-2023; Lyu, He/GLU-1191-2022</t>
  </si>
  <si>
    <t>Cao, Yang/0009-0007-4461-9752; Li, Xiangkui/0009-0009-7325-0258; , Jiajun Zhong/0009-0003-9762-9015; xiang, wei/0000-0002-4297-7034; Lyu, He/0000-0002-6668-9790</t>
  </si>
  <si>
    <t>108538</t>
  </si>
  <si>
    <t>10.1016/j.bspc.2025.108538</t>
  </si>
  <si>
    <t>http://dx.doi.org/10.1016/j.bspc.2025.108538</t>
  </si>
  <si>
    <t>6VG6X</t>
  </si>
  <si>
    <t>WOS:001562848800002</t>
  </si>
  <si>
    <t>Luan, QW</t>
  </si>
  <si>
    <t>This study aims to further address the limitations of traditional sports health assessment methods, such as significant individual differences, single-source data, and a lack of predictive capability. It proposes a multimodal deep learning model based on the Transformer. The model combines the cross-modal attention distillation method with the vision transformer-bidirectional long short-term memory (ViT-BiLSTM) hybrid architecture. On the one hand, this model integrates wearable sensor time-series data, visual motion data, and text self-reported information. On the other hand, it incorporates a lightweight atomistic line graph network (AlignNet) adapter to achieve feature alignment and a dynamic multi-task loss function to optimize the model training process. Experimental results on the University of California Irvine-Human Activity Recognition (UCI-HAR) dataset show that the model achieves an activity recognition accuracy of 95.4% and an F1-score of 95.1%. It maintains an accuracy of 85.3% even at a noise level of 0.4, with a single inference time of 22.7ms. The study indicates that the proposed method can effectively integrate multi-source information, improve the accuracy and stability of individualized sports health assessment while ensuring real-time performance, and expand the application of deep learning in the field of smart healthcare.</t>
  </si>
  <si>
    <t>Luan, Qingwei</t>
  </si>
  <si>
    <t>Luan, QW (corresponding author), Zhejiang Ocean Univ, Dept Phys Educ &amp; Mil Training, Zhoushan 316022, Peoples R China.</t>
  </si>
  <si>
    <t>luanqw0202@sina.com</t>
  </si>
  <si>
    <t>Zhejiang Provincial Philosophy and Social Science Planning Program (General Project) [25NDJC060YB]</t>
  </si>
  <si>
    <t>Zhejiang Provincial Philosophy and Social Science Planning Program (General Project)</t>
  </si>
  <si>
    <t>This study is supported by the 2025 Zhejiang Provincial Philosophy and Social Science Planning Program (General Project) with Project Title of \Research on theInnovation Ecology and Value Chain Upgrading of Zhejiang's Sports IndustryEmpowered by the Digital Economy" (Project Number: 25NDJC060YB).</t>
  </si>
  <si>
    <t>[Luan, Qingwei] Zhejiang Ocean Univ, Dept Phys Educ &amp; Mil Training, Zhoushan 316022, Peoples R China</t>
  </si>
  <si>
    <t>Zhejiang Ocean University</t>
  </si>
  <si>
    <t>TRANSFORMER FOR INDIVIDUALIZED SPORTS MOTION ANALYSIS AND HEALTH-RELATED ACTIVITY RECOGNITION BASED ON MULTIMODAL DEEP LEARNING METHOD</t>
  </si>
  <si>
    <t>JOURNAL OF MECHANICS IN MEDICINE AND BIOLOGY</t>
  </si>
  <si>
    <t>Multimodal learning; transformer model; sports health assessment; feature fusion</t>
  </si>
  <si>
    <t>WORLD SCIENTIFIC PUBL CO PTE LTD</t>
  </si>
  <si>
    <t>SINGAPORE</t>
  </si>
  <si>
    <t>5 TOH TUCK LINK, SINGAPORE 596224, SINGAPORE</t>
  </si>
  <si>
    <t>0219-5194</t>
  </si>
  <si>
    <t>1793-6810</t>
  </si>
  <si>
    <t>J MECH MED BIOL</t>
  </si>
  <si>
    <t>J. Mech. Med. Biol.</t>
  </si>
  <si>
    <t>04</t>
  </si>
  <si>
    <t>10.1142/S0219519426400373</t>
  </si>
  <si>
    <t>http://dx.doi.org/10.1142/S0219519426400373</t>
  </si>
  <si>
    <t>Biophysics; Engineering, Biomedical</t>
  </si>
  <si>
    <t>Biophysics; Engineering</t>
  </si>
  <si>
    <t>IQ7NI</t>
  </si>
  <si>
    <t>WOS:001721872700001</t>
  </si>
  <si>
    <t>Chen, ZJ; Tian, J</t>
  </si>
  <si>
    <t>Accurate estimation of blend ratios in PTFE suspension processing is important for maintaining stable product quality. But the nonlinear and time-changing behavior of real industrial mixing reduces the usefulness of traditional single-modal soft sensing methods. This study introduces DynaGATNet, a lightweight dynamic graph-based multimodal fusion network that uses image, light, and flow-rate signals for blend ratio prediction. The model uses CNN and GRU encoders to extract features, and it builds dynamic modality graphs based on feature similarity. Then it applies graph attention to achieve adaptive cross-modal fusion, so the model can capture time-changing dependencies that static fusion methods cannot show. Experiments on an industrial dataset show that DynaGATNet reaches strong performance (MAE = 0.071, R-2= 0.934, Accuracy = 0.938) while using only 3.6 million parameters and 2.1 ms inference time.</t>
  </si>
  <si>
    <t>Chen, Zhengjie; Tian, Jiao</t>
  </si>
  <si>
    <t>Tian, J (corresponding author), Xinjiang Univ, Sch Comp Sci &amp; Technol, Urumqi, Peoples R China.; Tian, J (corresponding author), Xinjiang Multimodal Intelligent Proc &amp; Informat Se, Urumqi, Peoples R China.</t>
  </si>
  <si>
    <t>jiaotian@xju.edu.cn</t>
  </si>
  <si>
    <t>Basic Scientific Research Program for Universities in Xinjiang Uygur Autonomous Region [XJEDU2024J032]; Natural Science Foundation of Xinjiang Uygur Autonomous Region [2024D01C239]</t>
  </si>
  <si>
    <t>Basic Scientific Research Program for Universities in Xinjiang Uygur Autonomous Region; Natural Science Foundation of Xinjiang Uygur Autonomous Region</t>
  </si>
  <si>
    <t>This work was supported by the Basic Scientific Research Program for Universities in Xinjiang Uygur Autonomous Region (Construction Project): "Research and Application of Federated Learning Optimization Techniques Based on Secure Information Sharing" (Project No. XJEDU2024J032). It was also supported by the Natural Science Foundation of Xinjiang Uygur Autonomous Region: "Robust and Efficient Federated Learning Algorithms for Non-IID Data" (Project No. 2024D01C239).</t>
  </si>
  <si>
    <t>[Chen, Zhengjie; Tian, Jiao] Xinjiang Univ, Sch Comp Sci &amp; Technol, Urumqi, Peoples R China; [Chen, Zhengjie; Tian, Jiao] Xinjiang Multimodal Intelligent Proc &amp; Informat Se, Urumqi, Peoples R China</t>
  </si>
  <si>
    <t>Xinjiang University</t>
  </si>
  <si>
    <t>DynaGATNet: A Lightweight Dynamic Graph Attention Network for Multimodal Fusion in Industrial PTFE Blend Ratio Prediction</t>
  </si>
  <si>
    <t>CONCURRENCY AND COMPUTATION-PRACTICE &amp; EXPERIENCE</t>
  </si>
  <si>
    <t>dynamic structure; graph neural networks; industrial prediction; multimodal fusion</t>
  </si>
  <si>
    <t>SOFT-SENSOR</t>
  </si>
  <si>
    <t>1532-0626</t>
  </si>
  <si>
    <t>1532-0634</t>
  </si>
  <si>
    <t>CONCURR COMP-PRACT E</t>
  </si>
  <si>
    <t>Concurr. Comput.-Pract. Exp.</t>
  </si>
  <si>
    <t>e70657</t>
  </si>
  <si>
    <t>10.1002/cpe.70657</t>
  </si>
  <si>
    <t>http://dx.doi.org/10.1002/cpe.70657</t>
  </si>
  <si>
    <t>Computer Science, Software Engineering; Computer Science, Theory &amp; Methods</t>
  </si>
  <si>
    <t>GJ7JH</t>
  </si>
  <si>
    <t>WOS:001738036900019</t>
  </si>
  <si>
    <t>Yin, ZM; Shu, YJ; Shen, DC; Gao, HY; Zhang, YJ; Yang, ZY; Gong, W; Chen, T; Liu, YB</t>
  </si>
  <si>
    <t>ObjectiveGallbladder cancer (GBC) is a rare gastrointestinal malignancy with a global 5-year survival rate of less than 5%. Early diagnosis is challenging owing to the lack of specific clinical symptoms. Additionally, the high heterogeneity of gallbladder tumors limits the clinical utility of unimodal deep-learning methods for GBC diagnosis. This study aimed to develop a novel multimodal deep-learning model to facilitate the preoperative diagnosis of GBC in more patients.MethodsWe conducted a retrospective multicenter study using contrast-enhanced arterial phase computed tomography (CT) images and laboratory examination data from 300 patients (150 GBC cases and 150 non-GBC cases) extracted from electronic medical records of two Grade A tertiary hospitals in Shanghai between 2018 and 2020. A novel two-stage multimodal diagnostic model (GBC-DiagNet) was developed: the first stage achieved coarse segmentation of the gallbladder region using a position-constrained 3D Attention U-Net (improved by combined sampling) to avoid over-segmentation; the second stage realized GBC detection via an adaptive feature fusion strategy, which optimizes the weighted integration of handcrafted radiomic, deep radiomic and laboratory examination features to enhance diagnostic performance.ResultsOn the independent test set, the model achieved an accuracy of 0.933 (95% confidence interval [95% CI]: 0.927-0.94), specificity of 0.912 (95% CI: 0.904-0.922), sensitivity of 0.962 (95% CI: 0.937-0.986), precision of 0.893 (95% CI: 0.875-0.911), an F1-score of 0.926 (95% CI: 0.919-0.932) and AUC (area under the curve) of 0.9706 (95% CI: 0.961-0.981). Compared with the optimal unimodal model, our model improved accuracy, sensitivity, and F1-score by 14.28%, 16.76%, and 16.85%, respectively. Furthermore, compared to state-of-the-art deep-learning architectures (ResNet, DenseNet, MobileNet, ConvNeXt, ViT), our model exhibited absolute improvements of 7.68% in accuracy, 8.03% in F1-score, and 0.0059 in AUC.ConclusionThe proposed multimodal model integrating contrast-enhanced CT and laboratory data achieves stable and clinically meaningful diagnostic performance for gallbladder cancer, supporting its utility as an artificial intelligence-assisted tool for preoperative noninvasive diagnosis.</t>
  </si>
  <si>
    <t>Yin, Ziming; Shu, Yijun; Shen, Dacong; Gao, Hongyu; Zhang, Yijue; Yang, Ziyi; Gong, Wei; Chen, Tao; Liu, Yingbin</t>
  </si>
  <si>
    <t>Chen, T; Liu, YB (corresponding author), Shanghai Jiao Tong Univ, Renji Hosp, Sch Med, Dept Biliary &amp; Pancreat Surg, Shanghai 200127, Peoples R China.; Liu, YB (corresponding author), Shanghai Key Lab Syst Regulat &amp; Clin Translat Canc, Shanghai 200127, Peoples R China.; Liu, YB (corresponding author), Shanghai Canc Inst, State Key Lab Syst Med Canc, Shanghai 200127, Peoples R China.</t>
  </si>
  <si>
    <t>chentao@renji.com; laoniulyb@163.com</t>
  </si>
  <si>
    <t>National Natural Science Foundation of China [82173081]</t>
  </si>
  <si>
    <t>This study was supported by National Natural Science Foundation of China (No. 82173081).</t>
  </si>
  <si>
    <t>[Yin, Ziming; Shen, Dacong; Gao, Hongyu] Univ Shanghai Sci &amp; Technol, Sch Hlth Sci &amp; Engn, Shanghai 200093, Peoples R China; [Shu, Yijun; Yang, Ziyi; Gong, Wei] Shanghai Jiao Tong Univ, Xinhua Hosp, Sch Med, Dept Gen Surg, Shanghai 200092, Peoples R China; [Chen, Tao; Liu, Yingbin] Shanghai Jiao Tong Univ, Renji Hosp, Sch Med, Dept Biliary &amp; Pancreat Surg, Shanghai 200127, Peoples R China; [Liu, Yingbin] Shanghai Key Lab Syst Regulat &amp; Clin Translat Canc, Shanghai 200127, Peoples R China; [Liu, Yingbin] Shanghai Canc Inst, State Key Lab Syst Med Canc, Shanghai 200127, Peoples R China; [Zhang, Yijue] Shanghai Jiao Tong Univ, Renji Hosp, Sch Med, Dept Anesthesiol, Shanghai 200127, Peoples R China</t>
  </si>
  <si>
    <t>University of Shanghai for Science &amp; Technology; Shanghai Jiao Tong University; Shanghai Jiao Tong University; Shanghai Jiao Tong University; Shanghai Jiao Tong University</t>
  </si>
  <si>
    <t>Multimodal deep learning model integrating electronic medical records and CT images for gallbladder cancer diagnosis: a retrospective multicenter study in China</t>
  </si>
  <si>
    <t>BMC CANCER</t>
  </si>
  <si>
    <t>Gallbladder cancer; Adaptive weighting; Multimodality; Radiomics</t>
  </si>
  <si>
    <t>Zhang, yijue/AED-7989-2022</t>
  </si>
  <si>
    <t>1471-2407</t>
  </si>
  <si>
    <t>BMC Cancer</t>
  </si>
  <si>
    <t>807</t>
  </si>
  <si>
    <t>10.1186/s12885-026-16116-w</t>
  </si>
  <si>
    <t>http://dx.doi.org/10.1186/s12885-026-16116-w</t>
  </si>
  <si>
    <t>KN2ES</t>
  </si>
  <si>
    <t>42108444</t>
  </si>
  <si>
    <t>WOS:001810951600001</t>
  </si>
  <si>
    <t>Hasan, A; Jobayer, MH; Pias, MAA; Alam, T; Khan, R</t>
  </si>
  <si>
    <t>Sign languages are conveyed through hand gestures and body language; different cultures and languages have unique sign language representations. It is difficult for the general population to interpret all these variations. A Bangla sign language recognition system can help mitigate this problem. In Bangladesh, approximately 13.7 million people are affected by hearing impairments, highlighting the importance of enhancing the Bangla sign language recognition system. In this study, a merged dataset consists of 200-word classes and 7,000 videos performed by 16 signers. A unique aspect of this dataset is that it includes two modalities. Initially, we extracted frames and audio from the videos. We then employed two frameworks to capture body keypoints from the frames. Additionally, we contributed to expanding the dataset by creating a custom dataset that adds more samples per class. During preprocessing, we augmented the training data, improving our model's learning capacity and reducing overfitting. We developed a system leveraging various deep learning techniques, simultaneously working with two different modalities. We proposed a custom CNN-LSTM model for pose estimation and integrated VGGish and 2D CNN techniques to process audio in our multimodal model. The CNN-LSTM model attained an accuracy of 87.08% for pose estimation using the OpenPose framework. The applied ViT model achieved the best performance with 88.52% and 88.39% F1 score to predict body keypoints directly. The VGGish technique delivered the best result for the audio dataset, achieving 81.91% accuracy and 80.42% F1 score. Finally, the late fusion approach combining the ViT and VGGish networks employing the multimodal data achieved the best performance, achieving 94.71% accuracy and 94.52% F1 score.</t>
  </si>
  <si>
    <t>Hasan, Adib; Jobayer, Mahmodul Hasan; Pias, Md Abdullah Al Mahmud; Alam, Tahmidul; Khan, Riasat</t>
  </si>
  <si>
    <t>Khan, R (corresponding author), North South Univ, Elect &amp; Comp Engn, Dhaka, Bangladesh.</t>
  </si>
  <si>
    <t>riasat.khan@northsouth.edu</t>
  </si>
  <si>
    <t>[Hasan, Adib; Jobayer, Mahmodul Hasan; Pias, Md Abdullah Al Mahmud; Alam, Tahmidul; Khan, Riasat] North South Univ, Elect &amp; Comp Engn, Dhaka, Bangladesh</t>
  </si>
  <si>
    <t>North South University (NSU)</t>
  </si>
  <si>
    <t>Bangla Sign Language Recognition With Multimodal Deep Learning Fusion</t>
  </si>
  <si>
    <t>ENGINEERING REPORTS</t>
  </si>
  <si>
    <t>Bangla sign language recognition; CNN-LSTM; Mediapipe; multimodal learning; OpenPose; VGGish; vision transformer</t>
  </si>
  <si>
    <t>2577-8196</t>
  </si>
  <si>
    <t>ENG REP</t>
  </si>
  <si>
    <t>Eng. Rep.</t>
  </si>
  <si>
    <t>e70139</t>
  </si>
  <si>
    <t>10.1002/eng2.70139</t>
  </si>
  <si>
    <t>http://dx.doi.org/10.1002/eng2.70139</t>
  </si>
  <si>
    <t>Computer Science, Interdisciplinary Applications; Engineering, Multidisciplinary; Materials Science, Multidisciplinary</t>
  </si>
  <si>
    <t>Computer Science; Engineering; Materials Science</t>
  </si>
  <si>
    <t>1ZS9D</t>
  </si>
  <si>
    <t>WOS:001477505800009</t>
  </si>
  <si>
    <t>Wang, S; Zhang, YC; Zhang, WL; Chai, G; Xie, L; Lin, L; Yang, YC</t>
  </si>
  <si>
    <t>Efficient and accurate surgical skills are the key to ensure that patients receive good treatment results. Integrating the operating skills of expert surgeons into robots to achieve intelligent and autonomous operation has become a research hotspot. The accurate recognition and learning of expert surgeons' operating behaviors are the basis for achieving this goal. Among them, microsurgical suturing, as a basic operation in many surgeries, is particularly important in craniomaxillofacial surgery. At present, most studies focus on using robotic surgical images or force information for skills recognition and learning. However, single-modality data is difficult to comprehensively and objectively analyze complex operating behaviors qualitatively and quantitatively. To overcome this limitation, this study designed a surgeon suturing skills data acquisition platform based on multisensor technology and proposed a multimodal data fusion algorithm combining Swin Transformer and cross-modal transformer (Swin-CMT). The fusion network overcomes the influence of the dimensionality curse on early fusion and the neglect of the complementarity between multimodal streams in late fusion. Experimental results show that compared with other common algorithms, the proposed Swin-CMT performs well in recognizing key steps, with an accuracy of 94.59%, which is significantly better than the results based on single-modal data, providing a scientific basis for the learning and objective evaluation of surgical skills. The results of this study will also provide a promising methodological and technical foundation for automated skills learning and robotic autonomous suturing.</t>
  </si>
  <si>
    <t>Wang, Shuang; Zhang, Yichi; Zhang, Wenlong; Chai, Gang; Xie, Le; Lin, Li; Yang, Yuchen</t>
  </si>
  <si>
    <t>Lin, L (corresponding author), Shanghai Jiao Tong Univ, Shanghai Peoples Hosp 9, Dept Plast &amp; Reconstruct Surg, Sch Med, Shanghai SCH MED, Peoples R China.; Yang, YC (corresponding author), Shanghai Jiao Tong Univ, Sch Med, Ruijin Hosp, Dept Gen Surg, Shanghai, Peoples R China.</t>
  </si>
  <si>
    <t>linli991@sjtu.edu.cn; yyc12004@rjh.com.cn</t>
  </si>
  <si>
    <t>National Key Research and Development Program [2024YFB4708802]; Natural Science Foundation of Shanghai Municipality [25ZR1402250]; Postdoctoral Science Foundation of China [2025M771372]; Shanghai Key Laboratory of Flexible Medical Robotics [SKLFMR-0206]; National Natural Science Foundation of China [W2521022, 62473258, 62211540723, 82372548, 82301158]; Laboratory Open Fund of Key Technology and Materials in Minimally Invasive Spine Surgery [2024JZWC-ZDA03]; Shanghai Plastic Surgery Research Center of Shanghai Priority Research Center [2023ZZ02023]; Project of Institute of Medical Robotics of Shanghai Jiao Tong University</t>
  </si>
  <si>
    <t>National Key Research and Development Program (National Key Research &amp; Development Program of China); Natural Science Foundation of Shanghai Municipality (Natural Science Foundation of Shanghai); Postdoctoral Science Foundation of China (China Postdoctoral Science Foundation); Shanghai Key Laboratory of Flexible Medical Robotics; National Natural Science Foundation of China (National Natural Science Foundation of China (NSFC)); Laboratory Open Fund of Key Technology and Materials in Minimally Invasive Spine Surgery; Shanghai Plastic Surgery Research Center of Shanghai Priority Research Center; Project of Institute of Medical Robotics of Shanghai Jiao Tong University</t>
  </si>
  <si>
    <t>This work was supported in part by the National Key Research and Development Program under Grant 2024YFB4708802; in part by the Natural Science Foundation of Shanghai Municipality under Grant 25ZR1402250; in part by the Postdoctoral Science Foundation of China under Grant 2025M771372; in part by Shanghai Key Laboratory of Flexible Medical Robotics under Grant SKLFMR-0206; in part by the National Natural Science Foundation of China under Grant W2521022, Grant 62473258, Grant 62211540723, Grant 82372548, and Grant 82301158; in part by the Laboratory Open Fund of Key Technology and Materials in Minimally Invasive Spine Surgery under Grant 2024JZWC-ZDA03; in part by Shanghai Plastic Surgery Research Center of Shanghai Priority Research Center under Grant 2023ZZ02023; and in part by the Project of Institute of Medical Robotics of Shanghai Jiao Tong University.</t>
  </si>
  <si>
    <t>[Wang, Shuang] Shanghai Jiao Tong Univ, Inst Med Robot, Sch Biomed Engn, Shanghai 200240, Peoples R China; [Wang, Shuang] Tongren Hosp, Shanghai Key Lab Flexible Med Robot, Shanghai 200336, Peoples R China; [Zhang, Yichi; Chai, Gang; Lin, Li] Shanghai Jiao Tong Univ, Shanghai Peoples Hosp 9, Dept Plast &amp; Reconstruct Surg, Sch Med, Shanghai SCH MED, Peoples R China; [Zhang, Wenlong; Xie, Le] Shanghai Jiao Tong Univ, Inst Forming Technol &amp; Equipment, Shanghai 200240, Peoples R China; [Zhang, Wenlong; Xie, Le] Shanghai Jiao Tong Univ, Inst Med Robot, Shanghai 200240, Peoples R China; [Yang, Yuchen] Shanghai Jiao Tong Univ, Sch Med, Ruijin Hosp, Dept Gen Surg, Shanghai, Peoples R China</t>
  </si>
  <si>
    <t>Shanghai Jiao Tong University; Shanghai Jiao Tong University; Shanghai Jiao Tong University; Shanghai Jiao Tong University; Shanghai Jiao Tong University</t>
  </si>
  <si>
    <t>Transformer-Based Multimodal Fusion for Automatic Recognition and Learning of Craniomaxillofacial Suturing Skills</t>
  </si>
  <si>
    <t>IEEE SENSORS JOURNAL</t>
  </si>
  <si>
    <t>Surgery; Sensors; Accuracy; Force; Videos; Transformers; Robot sensing systems; Needles; Data acquisition; Training; Craniomaxillofacial suturing; multimodal information fusion; skills learning and evaluation; Transformer</t>
  </si>
  <si>
    <t>SIMULATION</t>
  </si>
  <si>
    <t>Wang, Shuang/HJY-6129-2023; Yang, Yuchen/HOF-8300-2023</t>
  </si>
  <si>
    <t>Lin, Li/0000-0003-0431-8481</t>
  </si>
  <si>
    <t>1530-437X</t>
  </si>
  <si>
    <t>1558-1748</t>
  </si>
  <si>
    <t>IEEE SENS J</t>
  </si>
  <si>
    <t>IEEE Sens. J.</t>
  </si>
  <si>
    <t>OCT 15 2025</t>
  </si>
  <si>
    <t>38481</t>
  </si>
  <si>
    <t>38491</t>
  </si>
  <si>
    <t>10.1109/JSEN.2025.3607313</t>
  </si>
  <si>
    <t>http://dx.doi.org/10.1109/JSEN.2025.3607313</t>
  </si>
  <si>
    <t>Engineering, Electrical &amp; Electronic; Instruments &amp; Instrumentation; Physics, Applied</t>
  </si>
  <si>
    <t>Engineering; Instruments &amp; Instrumentation; Physics</t>
  </si>
  <si>
    <t>8QM6D</t>
  </si>
  <si>
    <t>WOS:001594911000034</t>
  </si>
  <si>
    <t>Zhang, YQ; Yuan, H; Liu, YH; Xiong, SW; Zhou, ZG; Xu, YG; Mao, XY; Gong, MQ</t>
  </si>
  <si>
    <t>Synergistic drug combinations are an effective solution for treating complex diseases. The main challenge is to improve the model performance of the unknown drug combination prediction task. Due to some drugs in the dataset being wholly excluded, it is difficult for the model to effectively extract the data features of these drugs, affecting the model's accuracy and generalization ability. Unlike previous methods, we propose an interpretable synergistic drug combination prediction model, MMGCSyn, based on multimodal feature fusion. The process is as follows: First, given any (drug, drug, cell line) triple. For drug features, a graph attention network is used to extract drug molecular graph features, a deformable convolutional network is used to extract drug morgan fingerprint features and the spatial feature reconstruction module is used to suppress morgan fingerprint feature redundancy. Multi-layer MLP is used to extract the features of cell line features. Subsequently, feature fusion and prediction are performed through Transformer. We compared five existing methods on three drug combination datasets. The results show that MMGCSyn has achieved the best results and can effectively capture the chemical substructures of drug molecules.</t>
  </si>
  <si>
    <t>Zhang, Yongqing; Yuan, Hao; Liu, Yuhang; Xiong, Shuwen; Zhou, Zhigan; Xu, Yugui; Mao, Xinyu; Gong, Meiqin</t>
  </si>
  <si>
    <t>Gong, MQ (corresponding author), Sichuan Univ, West China Second Univ Hosp, Dept Pathol, Chengdu 610041, Peoples R China.</t>
  </si>
  <si>
    <t>meiqin_gong@163.com</t>
  </si>
  <si>
    <t>National Natural Science Foundation of China [62272067]; Sichuan Science and Technol-ogy Program [2023NSFSC0499]; Scientific Research Foundation of Sichuan Province [MZGC20230078]; Scientific Research Foundation of Chengdu University of Information Technology [KYQN202208]</t>
  </si>
  <si>
    <t>National Natural Science Foundation of China (National Natural Science Foundation of China (NSFC)); Sichuan Science and Technol-ogy Program; Scientific Research Foundation of Sichuan Province; Scientific Research Foundation of Chengdu University of Information Technology</t>
  </si>
  <si>
    <t>This work is supported by the National Natural Science Foundation of China under Grant No. 62272067; The Sichuan Science and Technol-ogy Program under Grant No. 2023NSFSC0499; The Scientific Research Foundation of Sichuan Province under Grant MZGC20230078; The Scientific Research Foundation of Chengdu University of Information Technology under Grant No. KYQN202208.</t>
  </si>
  <si>
    <t>[Zhang, Yongqing; Yuan, Hao; Liu, Yuhang; Zhou, Zhigan; Xu, Yugui; Mao, Xinyu] Chengdu Univ Informat Technol, Sch Comp Sci, Chengdu 610225, Peoples R China; [Xiong, Shuwen] Macao Polytech Univ, Fac Appl Sci, Macau 999078, Macao, Peoples R China; [Gong, Meiqin] Sichuan Univ, West China Second Univ Hosp, Dept Pathol, Chengdu 610041, Peoples R China</t>
  </si>
  <si>
    <t>Chengdu University of Information Technology; Macao Polytechnic University; Sichuan University</t>
  </si>
  <si>
    <t>MMGCSyn: Explainable synergistic drug combination prediction based on multimodal fusion</t>
  </si>
  <si>
    <t>FUTURE GENERATION COMPUTER SYSTEMS-THE INTERNATIONAL JOURNAL OF ESCIENCE</t>
  </si>
  <si>
    <t>Synergy drug combination; Multimodal fusion; Attention mechanism; Deep learning</t>
  </si>
  <si>
    <t>NETWORK; DISCOVERY; CARCINOMA; INHIBITOR; TARGET; TRIAL</t>
  </si>
  <si>
    <t>Zhang, Yongqing/AAF-4366-2019</t>
  </si>
  <si>
    <t>Zhang, Yongqing/0000-0003-3422-8305; Zhou, ZhiGan/0009-0004-7412-2681</t>
  </si>
  <si>
    <t>0167-739X</t>
  </si>
  <si>
    <t>1872-7115</t>
  </si>
  <si>
    <t>FUTURE GENER COMP SY</t>
  </si>
  <si>
    <t>Futur. Gener. Comp. Syst.</t>
  </si>
  <si>
    <t>168</t>
  </si>
  <si>
    <t>107784</t>
  </si>
  <si>
    <t>10.1016/j.future.2025.107784</t>
  </si>
  <si>
    <t>http://dx.doi.org/10.1016/j.future.2025.107784</t>
  </si>
  <si>
    <t>Z8Q0V</t>
  </si>
  <si>
    <t>WOS:001441474100001</t>
  </si>
  <si>
    <t>Kinalioglu, IH</t>
  </si>
  <si>
    <t>Background and Objective: Deployment-oriented retinal AI systems should explicitly account for incomplete clinical metadata, prediction uncertainty, and inputs acquired under conditions that differ from model development data. Many retinal classification pipelines, including most image-only baselines on the Brazilian Multilabel Ophthalmological Dataset (BRSET), do not evaluate these issues together. We present MMAP-Net, a multimodal retinal classification prototype evaluated on BRSET and complemented by a single external-device shift check on mBRSET. The contribution is framed as empirical characterization of a deployment-aware workflow, not as evidence of clinical translation readiness. Methods: MMAP-Net combines a Swin-V2 image encoder, an FT-Transformer metadata encoder that represents missing values with mask tokens and per-feature missingness indicators, and a Bidirectional Gated Cross-attention with Dual Aggregation (BiGCDA) fusion module with a learnable per-sample modality gate alpha. The canonical reported output space contains Head A (four primary binary labels) and Head B (five-class diabeticretinopathy grading). A score-calibrated deferral rule is fitted on the validation split and applied unchanged to the held-out test split and to mBRSET; it is a selective-deferral heuristic rather than a method with formal coverage guarantees. Epistemic uncertainty is estimated with MC Dropout. Six ablation variants are evaluated on BRSET (n=16,266 images, 8,524 patients), and mBRSET (n=5,164 portable-camera images) is used only as a frozen-model external-device check without domain adaptation. Results: Under the canonical single-seed Protocol 1 setting (T=20 MC Dropout, validation-selected seed 42), MMAP-Net achieves macro-AUROC 0.9673 and diabetic-retinopathy AUROC 0.9982 [95% CI: 0.9969-0.9992] on the held-out BRSET test split. The clearest architectural effect is task-specific: removing the learnable modality gate lowers optic-disc AUROC by 0.0831 (95% CI: 0.0679-0.0978) and image-quality AUROC by 0.0346 (95% CI: 0.0178-0.0512). Under the matched single-pass ablation protocol, MMAP-Net yields a higher aggregate macro-AUROC than the image-only model (p=0.042). It also meets the predefined equivalence criterion relative to early fusion at the aggregate macro-AUROC level (TOST, +/- 0.01 bound, p=0.007). Under 30% simulated MCAR metadata removal, macro-AUROC changes by only-0.0015, comparable to early fusion (-0.0013); this result supports stability under controlled random metadata loss, not evidence of a verified MNAR advantage. The score-calibrated deferral rule defers 64.56% of mBRSET samples versus 10.17% of held-out BRSET test samples at the validation-locked 90% setting, showing a larger deferral rate under this single external-device shift. Raw probabilities are miscalibrated for several labels; validation-fitted label-specific isotonic calibration reduces macro-ECE to 0.019 on the held-out test split with no test-set information used during fitting. At validation-locked DR operating points, sensitivity, specificity, PPV, NPV, and referral burden are reported to characterize workload trade-offs. Conclusions: The evidence supports MMAP-Net as a deployment-aware research prototype with task-specific gate benefits, explicit missingness representation, validation-fitted probability calibration, and score-calibrated deferral behavior under one external-device shift check.It does not establish aggregate superiority over early fusion, performance under verified MNAR mechanisms, formal coverage guarantees, quantitative faithfulness of visual explanations, or broad multi-country external generalization. A matched retraining ablation shows that the exploratory auxiliary hypertension branch changes primary-task macro-AUROC by only +0.0008; it is therefore reported only as a negative auxiliary-task result and is not part of the canonical MMAP-Net architecture or reported output space.</t>
  </si>
  <si>
    <t>Kinalioglu, Ismail Hakki</t>
  </si>
  <si>
    <t>Kinalioglu, IH (corresponding author), Selcuk Univ, Fac Sci, Dept Actuarial Sci, Konya, Turkiye.</t>
  </si>
  <si>
    <t>ismail.kinalioglu@selcuk.edu.tr</t>
  </si>
  <si>
    <t>[Kinalioglu, Ismail Hakki] Selcuk Univ, Fac Sci, Dept Actuarial Sci, Konya, Turkiye</t>
  </si>
  <si>
    <t>Selcuk University</t>
  </si>
  <si>
    <t>MMAP-Net: Missing-aware multimodal fusion for multi-label retinal disease classification with score-calibrated deferral</t>
  </si>
  <si>
    <t>Retinal fundus classification; Multimodal fusion; Missing data; Score-calibrated deferral; External-device shift; Uncertainty quantification</t>
  </si>
  <si>
    <t>DIABETIC-RETINOPATHY</t>
  </si>
  <si>
    <t>KINALIOGLU, Ismail/E-8500-2018</t>
  </si>
  <si>
    <t>JAN 1 2027</t>
  </si>
  <si>
    <t>2027</t>
  </si>
  <si>
    <t>332</t>
  </si>
  <si>
    <t>133628</t>
  </si>
  <si>
    <t>10.1016/j.eswa.2026.133628</t>
  </si>
  <si>
    <t>http://dx.doi.org/10.1016/j.eswa.2026.133628</t>
  </si>
  <si>
    <t>LN5SR</t>
  </si>
  <si>
    <t>WOS:001828828100001</t>
  </si>
  <si>
    <t>Wang, CC; Liu, WK; Ai, DM; Liu, XQ</t>
  </si>
  <si>
    <t>Background Immune checkpoint inhibitor (ICI) therapy has significantly improved treatment outcomes for various cancers by enhancing T cell-mediated anti-tumor immune responses. However, accurately predicting patient response to ICI treatment remains a major challenge due to the risk of immune-related adverse events. Microsatellite instability (MSI), as an important molecular biomarker characterized by high mutation rates and abundant tumor neoantigen production, has been demonstrated to effectively predict clinical benefits from immunotherapy. In gastric adenocarcinoma (STAD) patients, approximately 22% exhibit the MSI subtype while the majority are microsatellite stable (MSS). This significant molecular heterogeneity underscores the urgent need to develop reliable predictive tools.Methods To address this problem, we developed a multimodal deep learning model named ProMMF_Kron based on a multicenter dataset comprising 282 patients. The model employs a two stage feature fusion strategy: first extracting key features from both molecular profiles and pathological images through differential gene analysis and a pretrained deep convolutional neural network, respectively; then designing a sophisticated fusion architecture incorporating Kronecker product operations and back-projection modules to achieve efficient interaction between gene expression features and pathological image features. The dataset was partitioned into training, validation, and testing sets at a ratio of 6:2:2.Results Experimental results demonstrate that the ProMMF_Kron model effectively distinguishes between MSI and MSS subtypes (MSI versus MSS) and exhibits competitive predictive performance on independent test datasets, achieving an AUC of 0.96 (95% CI: 0.89-1.00), outperforming traditional single-modality prediction models (3.2% AUC improvement) and other multimodal fusion approaches (4.3% AUC improvement). Further validation confirms the model's excellent stability and generalization capability, maintaining high predictive accuracy on colorectal cancer (CRC) dataset.Discussion Through bioinformatics analysis and feature visualization techniques, this study also reveals potential associations between key molecular biomarkers and critical immune regulatory pathways, providing a powerful decision-support tool for precision immunotherapy in gastric cancer with substantial clinical translation value and application prospects.</t>
  </si>
  <si>
    <t>Wang, Chenchen; Liu, Weikun; Ai, Dongmei; Liu, Xiuqin</t>
  </si>
  <si>
    <t>Liu, XQ (corresponding author), Univ Sci &amp; Technol Beijing, Sch Math &amp; Phys, Beijing, Peoples R China.</t>
  </si>
  <si>
    <t>b0001428@ustb.edu.cn</t>
  </si>
  <si>
    <t>Fundamental Research Funds for the Central Universities (Interdisciplinary Research Project for Young Teachers of USTB) [FRF-IDRY-24-024]</t>
  </si>
  <si>
    <t>Fundamental Research Funds for the Central Universities (Interdisciplinary Research Project for Young Teachers of USTB)</t>
  </si>
  <si>
    <t>The author(s) declared that financial support was received for this work and/or its publication. The work is supported by the Fundamental Research Funds for the Central Universities (Interdisciplinary Research Project for Young Teachers of USTB, Grant No. FRF-IDRY-24-024).</t>
  </si>
  <si>
    <t>[Wang, Chenchen; Liu, Weikun; Ai, Dongmei; Liu, Xiuqin] Univ Sci &amp; Technol Beijing, Sch Math &amp; Phys, Beijing, Peoples R China</t>
  </si>
  <si>
    <t>University of Science &amp; Technology Beijing</t>
  </si>
  <si>
    <t>ProMMF_Kron: a multimodal deep learning model for immunotherapy response prediction in stomach adenocarcinoma</t>
  </si>
  <si>
    <t>microsatellite instability; ICI therapy; multimodal data; deep learning; stomach adenocarcinoma</t>
  </si>
  <si>
    <t>MICROSATELLITE INSTABILITY; CHECKPOINT BLOCKADE; CANCER-IMMUNITY; THERAPY; NIVOLUMAB; FUTURE</t>
  </si>
  <si>
    <t>FEB 10 2026</t>
  </si>
  <si>
    <t>1602846</t>
  </si>
  <si>
    <t>10.3389/fimmu.2026.1602846</t>
  </si>
  <si>
    <t>http://dx.doi.org/10.3389/fimmu.2026.1602846</t>
  </si>
  <si>
    <t>EC1AA</t>
  </si>
  <si>
    <t>41743737</t>
  </si>
  <si>
    <t>WOS:001697538000001</t>
  </si>
  <si>
    <t>Zhou, TY; Ding, WP; Chen, YP; Huang, JS; Luo, H</t>
  </si>
  <si>
    <t>Whole slide images (WSIs) contain rich tumor-microenvironment information that is crucial for cancer diagnosis and prognosis. However, existing multimodal WSI-genomics methods typically rely on one-shot static feature fusion, ignoring the stage-dependent and uncertain nature of cross-modal alignment during representation learning. In this work, we propose MMDiffuzzy, a unified memory-guided latent diffusion framework for multimodal, multitask WSI analysis. Instead of fusing modalities in a single step, we formulate multimodal learning as a stepwise diffusion-driven representation refinement process, where complementary cues are progressively injected along the denoising trajectory. Specifically, we introduce dynamic fuzzy memory particles to model multimodal evidence as an evolving fuzzy state variable coupled with diffusion dynamics, enabling soft, uncertainty-aware alignment and long-range information retention across diffusion steps. To effectively integrate this memory into the diffusion backbone, we design a fuzzy memory guidance module within the denoising U-Net, which adaptively modulates intermediate latent features based on the current memory state at each diffusion step. Experiments on TCGA datasets demonstrate that MMDiffuzzy consistently outperforms state-of-the-art unimodal and multimodal baselines in both tumor classification and survival prediction, while exhibiting strong generalization across medical imaging domains.</t>
  </si>
  <si>
    <t>Zhou, Tianyi; Ding, Weiping; Chen, Yuepeng; Huang, Jiashuang; Luo, Hui</t>
  </si>
  <si>
    <t>Ding, WP (corresponding author), Nantong Univ, Sch Artificial Intelligence &amp; Comp Sci, Nantong 226019, Jiangsu, Peoples R China.</t>
  </si>
  <si>
    <t>dwp9988@163.com</t>
  </si>
  <si>
    <t>National Key Research and Development Program of China [2024YFE0202700]; National Natural Science Foundation of China [U2433216, 62471259, 62576178]; Natural Science Foundation of Jiangsu Province [BK20231337]; Modern Agricultural Machinery Equipment and Technology Extension Project of Jiangsu Province [NJ2024-06]; Joint Program on Health Science and Technology Innovation of Hainan Province [WSJK2026ZD285]</t>
  </si>
  <si>
    <t>National Key Research and Development Program of China (National Key Research &amp; Development Program of China); National Natural Science Foundation of China (National Natural Science Foundation of China (NSFC)); Natural Science Foundation of Jiangsu Province (Natural Science Foundation of Jiangsu Province); Modern Agricultural Machinery Equipment and Technology Extension Project of Jiangsu Province; Joint Program on Health Science and Technology Innovation of Hainan Province</t>
  </si>
  <si>
    <t>This work was supported in part by the National Key Research and Development Program of China under Grant 2024YFE0202700, the National Natural Science Foundation of China under Grants U2433216, 62471259 and 62576178, the Natural Science Foundation of Jiangsu Province under Grant BK20231337, the Modern Agricultural Machinery Equipment and Technology Extension Project of Jiangsu Province under Grant NJ2024-06, and the Joint Program on Health Science and Technology Innovation of Hainan Province under Grant WSJK2026ZD285.</t>
  </si>
  <si>
    <t>[Zhou, Tianyi; Ding, Weiping; Chen, Yuepeng] Nantong Univ, Sch Artificial Intelligence &amp; Comp Sci, Nantong 226019, Jiangsu, Peoples R China; [Ding, Weiping] City Univ Macau, Fac Data Sci, Macau 999078, Peoples R China; [Luo, Hui] Guangxi Med Univ, Sch Informat &amp; Management, Nanning 530021, Guangxi, Peoples R China</t>
  </si>
  <si>
    <t>Nantong University; Guangxi Medical University</t>
  </si>
  <si>
    <t>MMDiffuzzy: Fuzzy memory guided diffusion for uncertainty-aware multimodal fusion in WSI analysis</t>
  </si>
  <si>
    <t>Fuzzy logic; Granular computing; Latent diffusion; Multimodal fusion; Multitask learning</t>
  </si>
  <si>
    <t>TUMOR-INFILTRATING LYMPHOCYTES</t>
  </si>
  <si>
    <t>Ding, Weiping/QQZ-7923-2026; Chen, Yuepeng/MCX-7082-2025</t>
  </si>
  <si>
    <t>114394</t>
  </si>
  <si>
    <t>10.1016/j.patcog.2026.114394</t>
  </si>
  <si>
    <t>http://dx.doi.org/10.1016/j.patcog.2026.114394</t>
  </si>
  <si>
    <t>LF5ID</t>
  </si>
  <si>
    <t>WOS:001823378200001</t>
  </si>
  <si>
    <t>Zhang, YN; Pei, YG; Meng, T; Wang, Y; Zhong, Y; Liang, YX</t>
  </si>
  <si>
    <t>The prediction of treatment resistance in myeloperoxidase (MPO)-anti-neutrophil cytoplasmic antibody (ANCA)-associated vasculitis (MPO-AAV) with lung involvement is critical, as a significant number of patients develop resistance to existing therapies, resulting in more severe consequences. Previous methods leverage radiomics analysis to extract features from CT images, which are then combined with clinical information for prediction. However, these methods rely on radiologists to manually delineate regions of interest (ROIs) for CT images, a process that is time-consuming and labor-intensive, and their performance is constrained by a simple linear fusion of radiomic features and clinical information. In this paper, we propose a novel multimodal learning method for predicting treatment resistance in MPO-AAV with lung involvement. We first introduce the lesion-aware re-embedding (LARE) module and the cross-slice interaction (CSI) module to adapt the powerful vision foundation model (VFM) for extracting visual representation from CT images, thereby eliminating the dependence on lesion ROIs during inference. Furthermore, we utilize Transformer to extract high-level semantic information from raw clinical data and incorporate a learnable multimodal feature fusion module (MFFM) to enhance the interaction and integration of multimodal features. We construct experiments on a dual-center dataset. The experimental results show that our proposed method achieves superior performance, exceeding previous methods by a clear margin. Additionally, we visualize the perception map of lesion ROIs generated by the LARE module and assess the importance of clinical attributes, qualitatively analyzing the performance of the proposed method. The code and trained models are publicly available at https://github.com/CVIU-CSU/PTRNet.</t>
  </si>
  <si>
    <t>Zhang, Yinan; Pei, Yigang; Meng, Ting; Wang, Yu; Zhong, Yong; Liang, Yixiong</t>
  </si>
  <si>
    <t>Zhong, Y; Liang, YX (corresponding author), Cent South Univ, Sch Comp Sci &amp; Engn, Changsha 410083, Hunan, Peoples R China.</t>
  </si>
  <si>
    <t>zhongyong121@csu.edu.cn; yxliang@csu.edu.cn</t>
  </si>
  <si>
    <t>Health Commission of Hunan Province [A202303050036]; 'YiluqihangShenmingyuanyang' Medical Development and Scientific Research Fund project on Kidney Diseases [SMYY202 20301001, kq2402227]</t>
  </si>
  <si>
    <t>Health Commission of Hunan Province; 'YiluqihangShenmingyuanyang' Medical Development and Scientific Research Fund project on Kidney Diseases</t>
  </si>
  <si>
    <t>This manuscript was supported in part by the National Key Research and Development Program of China under Grant 2023YFC3904201, the Natural Science Foundation of China under Grant 62473385, the Key Research and Development Program of Hunan Province under Grant 2023SK2029, the Natural Science Foundation of Hunan Province, China under Grant 2024JJ5444 and 2023JJ30699, the Healthcare Commission Project of Hunan Province under Grant 20233006, the Project ofHealth Commission of Hunan Province under Grant A202303050036, the 'YiluqihangShenmingyuanyang' Medical Development and Scientific Research Fund project on Kidney Diseases under Grant SMYY202 20301001, the Changsha Municipal Natural Science Foundation der Grant kq2402227. The authors wish to acknowledge the High Performance Computing Center of Central South University for computational resources.</t>
  </si>
  <si>
    <t>[Zhang, Yinan; Zhong, Yong; Liang, Yixiong] Cent South Univ, Sch Comp Sci &amp; Engn, Changsha 410083, Hunan, Peoples R China; [Pei, Yigang; Wang, Yu] Cent South Univ, XiangYa Hosp, Dept Radiol, Changsha 410008, Hunan, Peoples R China; [Pei, Yigang] Cent South Univ, Xiangya Hosp, Natl Clin Res Ctr Geriatr Disorders, Changsha 410083, Hunan, Peoples R China; [Meng, Ting; Zhong, Yong] Cent South Univ, Xiangya Hosp, Dept Nephrol, Changsha 410083, Hunan, Peoples R China; [Zhong, Yong] Cent South Univ, Xiangya Hosp, Key Lab Biol Nanotechnol, Natl Hlth Commiss, Changsha 410083, Hunan, Peoples R China; [Zhong, Yong] Hunan Int Sci &amp; Technol Cooperat Base Diag &amp; Treat, Changsha 410083, Hunan, Peoples R China</t>
  </si>
  <si>
    <t>Central South University; Central South University; Central South University; Central South University; Central South University</t>
  </si>
  <si>
    <t>A novel multimodal learning method for predicting treatment resistance in MPO-AAV with lung involvement</t>
  </si>
  <si>
    <t>Treatment resistance in MPO-AAV; Multimodal learning method; Vision foundation model; Lesion-aware re-embedding; Multimodal feature fusion</t>
  </si>
  <si>
    <t>ANTIBODY-ASSOCIATED VASCULITIS; RELAPSE; GRANULOMATOSIS; CLASSIFICATION; SYSTEM; CT</t>
  </si>
  <si>
    <t>, Yixiong/AAQ-2023-2020</t>
  </si>
  <si>
    <t>MAY 15 2026</t>
  </si>
  <si>
    <t>109643</t>
  </si>
  <si>
    <t>10.1016/j.bspc.2026.109643</t>
  </si>
  <si>
    <t>http://dx.doi.org/10.1016/j.bspc.2026.109643</t>
  </si>
  <si>
    <t>CY3RU</t>
  </si>
  <si>
    <t>WOS:001677351600001</t>
  </si>
  <si>
    <t>Wang, YH; Wang, HW; Bai, RY; Shi, YX; Chen, XC; Xu, QG</t>
  </si>
  <si>
    <t>A decision-level multimodal fusion deep learning strategy is proposed for the effective fault detection of rolling bearings based on long-term fault signals collected from multiple sensors. First, key features are extracted from the multimodal signal set using singular spectrum analysis (SSA), and these features are transformed into a composite dataset that combines short-time Fourier transform (STFT) images and time series data. Based on this, a recursive gated convolutional neural network (RGCNN) is designed to process the STFT image data, while a 1D convolutional neural network (1DCNN) is specifically optimized for training with time series data. Furthermore, decision-level multimodal feature fusion is achieved by applying a weighted average method to integrate the features from different deep learning models, aiming to obtain more comprehensive fault prediction results. The proposed method, multimodal fusion fault detection (MFFD), is validated on the Paderborn and Ottawa rolling bearing datasets, which include various typical faults. Experimental results demonstrate the effectiveness of the proposed approach. Compared to traditional single-modality deep learning models, the proposed method shows significant improvements in fault diagnosis accuracy and generalization capability.</t>
  </si>
  <si>
    <t>Wang, Yunhang; Wang, Hongwei; Bai, Ruoyang; Shi, Yuxin; Chen, Xicong; Xu, Qingang</t>
  </si>
  <si>
    <t>Wang, HW (corresponding author), Xinjiang Univ, Sch Intelligent Mfg Modern Ind, Urumqi 830046, Peoples R China.</t>
  </si>
  <si>
    <t>wanghongwei_xju@xju.edu.cn; ruoyangbai@163.com; 15091756133@163.com; shiyuxinpayne@163.com; 17852767729@163.com; xicongchenkey@163.com</t>
  </si>
  <si>
    <t>Xinjiang Uygur Autonomous Region Natural Science Foundation Project; Xinjiang Uygur Autonomous Region Key Research and Development Project [2022B02016-1]</t>
  </si>
  <si>
    <t>Xinjiang Uygur Autonomous Region Natural Science Foundation Project; Xinjiang Uygur Autonomous Region Key Research and Development Project</t>
  </si>
  <si>
    <t>This work was supported by the Xinjiang Uygur Autonomous Region Natural Science Foundation Project (2022D01C390) and partially by the Xinjiang Uygur Autonomous Region Key Research and Development Project (2022B02016-1).</t>
  </si>
  <si>
    <t>[Wang, Yunhang; Wang, Hongwei; Bai, Ruoyang; Shi, Yuxin; Chen, Xicong; Xu, Qingang] Xinjiang Univ, Sch Intelligent Mfg Modern Ind, Urumqi 830046, Peoples R China</t>
  </si>
  <si>
    <t>Enhanced Rolling Bearing Fault Diagnosis Using Multimodal Deep Learning and Singular Spectrum Analysis</t>
  </si>
  <si>
    <t>rolling bearings; fault diagnosis; decision-level multimodal fusion; singular spectrum analysis</t>
  </si>
  <si>
    <t>Bai, Ruoyang/NAZ-3864-2025; Chen, Xicong/JVD-6801-2023; xu, qingang/KRQ-4708-2024</t>
  </si>
  <si>
    <t>Wang, Hongwei/0000-0002-8598-2343; Bai, Ruoyang/0009-0005-3831-9716; Chen, Xicong/0009-0006-8992-9212; Wang, Yunhang/0009-0001-7722-7583</t>
  </si>
  <si>
    <t>68</t>
  </si>
  <si>
    <t>APR 27 2025</t>
  </si>
  <si>
    <t>4828</t>
  </si>
  <si>
    <t>10.3390/app15094828</t>
  </si>
  <si>
    <t>http://dx.doi.org/10.3390/app15094828</t>
  </si>
  <si>
    <t>2ML4M</t>
  </si>
  <si>
    <t>WOS:001486143900001</t>
  </si>
  <si>
    <t>Mao, SR; Liu, J</t>
  </si>
  <si>
    <t>Gastric cancer is a leading cause of cancer-related deaths globally. As mortality rates continue to rise, predicting cancer survival using multimodal data-including histopathological images, genomic data, and clinical information-has become increasingly crucial. However, extracting effective predictive features from this complex data has posed challenges for survival analysis due to the high dimensionality and heterogeneity of histopathology images and genomic data. Furthermore, existing methods often lack sufficient interaction between intra- and inter- modal features, significantly impacting model performance. To address these challenges, we developed a deep learning-based multimodal feature fusion model, MultiDeepsurv, designed to predict the survival of gastric cancer patients by integrating histopathological images, clinical data, and gene expression data. Our approach includes a two-branch hybrid network, GLFUnet, which leverages the attention mechanism for enhanced pathology image representation learning. Additionally, we employ a graph convolutional neural network (GCN) to extract features from gene expression data and clinical information. To capture the correlations between different modalities, we utilize the SFusion fusion strategy that employs a self-attention mechanism to learn potential correlations across modalities. Finally, these deeply processed features are fed into Cox regression models for an end-to-end survival analysis. Comprehensive experiments and analyses conducted on a gastric cancer cohort from The Cancer Genome Atlas (TCGA) demonstrate that our proposed MultiDeepsurv model outperforms other methods in terms of prognostic accuracy, with a C-index of 0.806 and an AUC of 0.842. (c) 2024 Optica Publishing Group under the terms of the Optica Open Access Publishing Agreement</t>
  </si>
  <si>
    <t>Mao, Songren; Liu, Jie</t>
  </si>
  <si>
    <t>Liu, J (corresponding author), Taiyuan Inst Technol, Comp Engn Dept, Taiyuan 030008, Peoples R China.</t>
  </si>
  <si>
    <t>liuj@tit.edu.cn</t>
  </si>
  <si>
    <t>Taiyuan Institute of Technology scientific research initial funding [2022KJ092]; Opening Foundation of Shanxi Key Laboratory of Signal Capturing Processing [2022-01]</t>
  </si>
  <si>
    <t>Taiyuan Institute of Technology scientific research initial funding; Opening Foundation of Shanxi Key Laboratory of Signal Capturing Processing</t>
  </si>
  <si>
    <t>Taiyuan Institute of Technology scientific research initial funding (2022KJ092) ; Opening Foundation of Shanxi Key Laboratory of Signal Capturing &amp; Processing (2022-01) .</t>
  </si>
  <si>
    <t>[Mao, Songren] Taiyuan Normal Univ, Coll Comp Sci &amp; Technol, Jinzhong 030619, Peoples R China; [Liu, Jie] Taiyuan Inst Technol, Comp Engn Dept, Taiyuan 030008, Peoples R China</t>
  </si>
  <si>
    <t>Taiyuan Normal University; Taiyuan Institute of Technology</t>
  </si>
  <si>
    <t>MulitDeepsurv: survival analysis of gastric cancer based on deep learning multimodal fusion models</t>
  </si>
  <si>
    <t>BIOMEDICAL OPTICS EXPRESS</t>
  </si>
  <si>
    <t>Optica Publishing Group</t>
  </si>
  <si>
    <t>2010 MASSACHUSETTS AVE NW, WASHINGTON, DC 20036 USA</t>
  </si>
  <si>
    <t>2156-7085</t>
  </si>
  <si>
    <t>BIOMED OPT EXPRESS</t>
  </si>
  <si>
    <t>Biomed. Opt. Express</t>
  </si>
  <si>
    <t>JAN 1 2025</t>
  </si>
  <si>
    <t>141</t>
  </si>
  <si>
    <t>10.1364/BOE.541570</t>
  </si>
  <si>
    <t>http://dx.doi.org/10.1364/BOE.541570</t>
  </si>
  <si>
    <t>Biochemical Research Methods; Optics; Radiology, Nuclear Medicine &amp; Medical Imaging</t>
  </si>
  <si>
    <t>Biochemistry &amp; Molecular Biology; Optics; Radiology, Nuclear Medicine &amp; Medical Imaging</t>
  </si>
  <si>
    <t>Q0H5E</t>
  </si>
  <si>
    <t>39816158</t>
  </si>
  <si>
    <t>WOS:001381605800005</t>
  </si>
  <si>
    <t>Xu, PP; He, YW; Yan, XY; Liu, W</t>
  </si>
  <si>
    <t>To extend computational communication research in the era of visual media, this study investigates scalable methods for large-scale video content analysis beyond traditional textual data. We built a massive dataset of mobile phone review videos from Bilibili and trained a customized YOLOv11 deep learning model for automatic recognition, extraction, and quantification of core visual elements in video frames, enhancing analytical efficiency. For hand-object interaction detection, we propose Hand-YOLO, a lightweight algorithm combining an HGNetv2 (High Performance GPU Network V2) backbone with a CCFM (Cross-Scale Feature Fusion Module) neck, achieving high accuracy with reduced computational cost-suitable for real-time processing of large datasets. We further integrate advanced natural language processing, employing large language models to analyze video titles and extract emotional intensity features. Correlation analyses link these multimodal variables-visual elements and textual emotion-with indicators of communication effectiveness, including views and user engagement. Statistical results reveal that mobile phone appearance frequency and image brightness are significant positive predictors of communication performance. Conversely, title emotional intensity shows a negative correlation with effectiveness, challenging common assumptions. This study offers empirical insights for optimizing visual communication strategies and presents a replicable, cost-efficient framework for multimodal video analysis. By combining computer vision and NLP in an integrated approach, it advances computational communication methodology and provides a validated paradigm for future large-scale video content research.</t>
  </si>
  <si>
    <t>Xu, Peipei; He, Yawei; Yan, Xiaoying; Liu, Wen</t>
  </si>
  <si>
    <t>He, YW (corresponding author), Shanghai Jiao Tong Univ, Sch Media &amp; Commun, Shanghai 200240, Peoples R China.</t>
  </si>
  <si>
    <t>heyawei1992@sjtu.edu.cn</t>
  </si>
  <si>
    <t>General Program of National Social Science Fund of China [22BXW040]; Shanghai Jiao Tong University Participation in Research Program [T200PRP42015]; Ministry of Education Industry-Academia Collaborative Education Program [231104575131914]</t>
  </si>
  <si>
    <t>General Program of National Social Science Fund of China; Shanghai Jiao Tong University Participation in Research Program; Ministry of Education Industry-Academia Collaborative Education Program</t>
  </si>
  <si>
    <t>This work was supported in part by the General Program of National Social Science Fund of China under Grant 22BXW040, in part by Shanghai Jiao Tong University Participation in Research Program under Grant T200PRP42015, and in part by the Ministry of Education Industry-Academia Collaborative Education Program under Grant 231104575131914.</t>
  </si>
  <si>
    <t>[Xu, Peipei; He, Yawei; Yan, Xiaoying] Shanghai Jiao Tong Univ, Sch Media &amp; Commun, Shanghai 200240, Peoples R China; [Xu, Peipei] Univ Shanghai Sci &amp; Technol, Sch Management, Dept Artificial Intelligence, Shanghai 200093, Peoples R China; [Liu, Wen] Commun Univ China, Sch Econ &amp; Management, AI Technol Innovat Grp, Beijing 100024, Peoples R China</t>
  </si>
  <si>
    <t>Shanghai Jiao Tong University; University of Shanghai for Science &amp; Technology; Communication University of China</t>
  </si>
  <si>
    <t>Multimodal Deep Learning Framework for Analyzing Mobile Video Communication Effectiveness</t>
  </si>
  <si>
    <t>Feature extraction; Videos; Visualization; Hands; Accuracy; YOLO; Real-time systems; Computational modeling; Computational efficiency; Multimodal analysis; computational communication; light object detection; communication effectiveness; video content analysis; emotional intensity; sentiment analysis; sentiment analysis</t>
  </si>
  <si>
    <t>Liu, Kelvin/0000-0001-9178-5250</t>
  </si>
  <si>
    <t>185245</t>
  </si>
  <si>
    <t>185259</t>
  </si>
  <si>
    <t>10.1109/ACCESS.2025.3626339</t>
  </si>
  <si>
    <t>http://dx.doi.org/10.1109/ACCESS.2025.3626339</t>
  </si>
  <si>
    <t>9PE8W</t>
  </si>
  <si>
    <t>WOS:001611725700001</t>
  </si>
  <si>
    <t>Liu, ST; Qin, P; Wang, ZY; Liu, Y</t>
  </si>
  <si>
    <t>Purpose: Strokes are severe cardiovascular and circulatory diseases with two main types: ischemic and hemorrhagic. Clinically, brain images such as computed tomography (CT) and computed tomography angiography (CTA) are widely used to recognize stroke types. However, few studies have combined imaging and clinical data to classify stroke or consider a factor as an Independent etiology. Methods: In this work, we propose a classification model that automatically distinguishes stroke types with hypertension as an independent etiology based on brain imaging and clinical data. We first present a preprocessing workflow for head axial CT angiograms, including noise reduction and feature enhancement of the images, followed by an extraction of regions of interest. Next, we develop a multi-scale feature fusion model that combines the location information of position features and the semantic information of deep features. Furthermore, we integrate brain imaging with clinical information through a multimodal learning model to achieve more reliable results. Results: Experimental results show our proposed models outperform state-of-the-art models on real imaging and clinical data, which reveals the potential of multimodal learning in brain disease diagnosis. Conclusion: The proposed methodologies can be extended to create AI-driven diagnostic assistance technology for categorizing strokes.</t>
  </si>
  <si>
    <t>Liu, Shuting; Qin, Pan; Wang, Zeyuan; Liu, Yi</t>
  </si>
  <si>
    <t>Liu, Y (corresponding author), Dalian Univ Technol, Cent Hosp, Dalian 116033, Liaoning, Peoples R China.</t>
  </si>
  <si>
    <t>liushuting@mail.dlut.edu.cn</t>
  </si>
  <si>
    <t>Dalian Science Innovation Project [2021JJ13SN64]; Dalian Key Specialties in Medicine ''Summit Plan''-Neuro-medicine Center [2023ZZ010]; LiaoNing Revitalization Talents Program [XLYC 1807083]</t>
  </si>
  <si>
    <t>Dalian Science Innovation Project; Dalian Key Specialties in Medicine ''Summit Plan''-Neuro-medicine Center; LiaoNing Revitalization Talents Program (Liaoning Revitalization Talents Program)</t>
  </si>
  <si>
    <t>This work was supported by the Dalian Science Innovation Project (grant number 2021JJ13SN64), Dalian Key Specialties in Medicine ''Summit Plan''-Neuro-medicine Center (grant number 2023ZZ010), and LiaoNing Revitalization Talents Program (grant number XLYC 1807083).</t>
  </si>
  <si>
    <t>[Liu, Shuting; Qin, Pan; Wang, Zeyuan] Dalian Univ Technol, Sch Control Sci &amp; Engn, Dalian 116024, Liaoning, Peoples R China; [Liu, Yi] Dalian Univ Technol, Cent Hosp, Dalian 116033, Liaoning, Peoples R China</t>
  </si>
  <si>
    <t>Dalian University of Technology; Dalian University of Technology</t>
  </si>
  <si>
    <t>Improved hypertensive stroke classification based on multi-scale feature fusion of head axial CT angiogram and multimodal learning</t>
  </si>
  <si>
    <t>PHYSICA MEDICA-EUROPEAN JOURNAL OF MEDICAL PHYSICS</t>
  </si>
  <si>
    <t>Feature extraction; Computed tomography angiography; Multimodal learning; Stroke classification</t>
  </si>
  <si>
    <t>HEMORRHAGE DETECTION; RACIAL-DIFFERENCES</t>
  </si>
  <si>
    <t>, Zeyuan/0009-0000-0669-1701; Qin, Pan/0000-0003-0545-3044; Liu, Yi/0000-0002-6835-3713</t>
  </si>
  <si>
    <t>1120-1797</t>
  </si>
  <si>
    <t>1724-191X</t>
  </si>
  <si>
    <t>PHYS MEDICA</t>
  </si>
  <si>
    <t>Phys. Medica</t>
  </si>
  <si>
    <t>121</t>
  </si>
  <si>
    <t>103359</t>
  </si>
  <si>
    <t>10.1016/j.ejmp.2024.103359</t>
  </si>
  <si>
    <t>http://dx.doi.org/10.1016/j.ejmp.2024.103359</t>
  </si>
  <si>
    <t>ST8Q6</t>
  </si>
  <si>
    <t>38688073</t>
  </si>
  <si>
    <t>WOS:001236793600001</t>
  </si>
  <si>
    <t>Ramasamy, G; Gurupriya, M; Gupta, P</t>
  </si>
  <si>
    <t>Financial forecasting in real-world settings requires integrating heterogeneous and asynchronously aligned information sources, including structured market time-series and unstructured financial text. However, existing multimodal approaches often assume perfect temporal alignment or treat all textual inputs as equally reliable, leading to degraded performance under sparse and noisy conditions. This paper proposes a Diagnostics-Guided Temporal Multimodal Fusion Network (DTMF-Net), a causality-preserving framework that explicitly models alignment reliability during multimodal fusion. The proposed method incorporates (i) a market temporal encoder for sequential dynamics, (ii) a text encoder for semantic event representation, (iii) a leakage-aware alignment mechanism that enforces strict temporal causality, and (iv) a diagnostics-guided reliability module that quantifies event coverage, temporal lag, and semantic dispersion to modulate fusion. Experiments conducted on a real-world financial dataset demonstrate that DTMF-Net achieves consistent improvements over strong baselines, with an accuracy of 59.8% and improved performance across AUC, MCC, and regression metrics. Calibration analysis shows improved reliability through lower ECE and Brier score, while uncertainty estimates exhibit meaningful association with prediction error. A leakage validation study shows that relaxed or non-causal alignment can inflate apparent forecasting performance, highlighting the necessity of strict temporal constraints in financial multimodal evaluation. Furthermore, economic backtesting demonstrates improved risk-adjusted returns, with higher Sharpe ratio and reduced drawdown compared to benchmark strategies. These results establish that reliability-aware multimodal fusion, rather than increased model complexity, is critical for robust financial forecasting under asynchronous and low signal-to-noise conditions.</t>
  </si>
  <si>
    <t>Ramasamy, Gayathri; Gurupriya, M.; Gupta, Pritam</t>
  </si>
  <si>
    <t>Ramasamy, G (corresponding author), Amrita Vishwa Vidyapeetham, Amrita Sch Comp, Dept Comp Sci &amp; Engn, Bengaluru 560035, Karnataka, India.</t>
  </si>
  <si>
    <t>r_gayathri@blr.amrita.edu</t>
  </si>
  <si>
    <t>Amrita Vishwa Vidyapeetham</t>
  </si>
  <si>
    <t>The authors gratefully acknowledge Sri Mata Amritanandamayi Devi (Amma), Chancellor, Amrita Vishwa Vidyapeetham, for her inspiration and for providing financial support toward the Article Processing Charges (APC) of this publication.</t>
  </si>
  <si>
    <t>[Ramasamy, Gayathri; Gurupriya, M.; Gupta, Pritam] Amrita Vishwa Vidyapeetham, Amrita Sch Comp, Dept Comp Sci &amp; Engn, Bengaluru 560035, Karnataka, India</t>
  </si>
  <si>
    <t>Amrita Vishwa Vidyapeetham; Amrita Vishwa Vidyapeetham Bengaluru</t>
  </si>
  <si>
    <t>DTMF-Net: Diagnostics-Guided Temporal Multimodal Fusion Network for Financial Forecasting</t>
  </si>
  <si>
    <t>Modeling; Forecasting; Timing; Windows; Uncertainty; Transformers; Metadata; Training; Learning (artificial intelligence); Computers; Multimodal financial forecasting; time-series prediction; financial text analysis; temporal alignment; cross-modal fusion; transformer models; diagnostics-guided learning; alignment reliability; market prediction; deep learning for finance</t>
  </si>
  <si>
    <t>76009</t>
  </si>
  <si>
    <t>76029</t>
  </si>
  <si>
    <t>10.1109/ACCESS.2026.3693953</t>
  </si>
  <si>
    <t>http://dx.doi.org/10.1109/ACCESS.2026.3693953</t>
  </si>
  <si>
    <t>IJ1BW</t>
  </si>
  <si>
    <t>WOS:001772893300024</t>
  </si>
  <si>
    <t>Li, L; Pan, HD; Liang, Y; Shao, MW; Xie, SL; Lu, SH; Liao, SL</t>
  </si>
  <si>
    <t>The integration of digital pathology images and genetic data is a developing field in cancer research, presenting potential opportunities for predicting survival and classifying grades through multiple source data. However, obtaining comprehensive annotations proves challenging in practical medical settings, and the extraction of features from high -resolution pathology images is hindered by inter-domain disparities. Current data fusion methods ignore the spatio-temporal incongruity among multimodal data. To address the above challenges, we propose a novel self-supervised transformer-based pathology feature extraction strategy, and construct an interpretable Progressive Multimodal Fusion Network (PMFN-SSL) for cancer diagnosis and prognosis. Our contributions are mainly divided into three aspects. Firstly, we propose a joint patch sampling strategy based on the information entropy and HSV components of an image, which reduces the demand for sample annotations and avoid image quality degradation caused by manual contamination. Secondly, a self-supervised transformerbased feature extraction module for pathology images is proposed and innovatively leverages partially weakly supervised labeling to align the extracted features with downstream medical tasks. Further, we improve the existing multimodal feature fusion model with an progressive fusion strategy to reduce the inconsistency between multimodal data due to differences in collection of temporal and spatial. Abundant ablation and comparison experiments demonstrate that the proposed data preprocessing method and multimodal fusion paradigm strengthen the quality of feature extraction and improve the prediction based on real cancer grading and prognosis. Code and trained models are made available at: https://github.com/Mercuriiio/PMFN-SSL.</t>
  </si>
  <si>
    <t>Li, Le; Pan, Hudan; Liang, Yong; Shao, Mingwen; Xie, Shengli; Lu, Shanghui; Liao, Shuilin</t>
  </si>
  <si>
    <t>Liang, Y (corresponding author), Peng Cheng Lab, Shenzhen, Peoples R China.</t>
  </si>
  <si>
    <t>yongliangresearch@gmail.com</t>
  </si>
  <si>
    <t>National Science Foundation of China [12326604]; Major key project of Peng Cheng Laboratory, China [PCL2023A09]; Young and Middle aged Teachers Research Basic Ability Improvement Project of Guangxi Universities, China [2022KY0608]</t>
  </si>
  <si>
    <t>National Science Foundation of China (National Natural Science Foundation of China (NSFC)); Major key project of Peng Cheng Laboratory, China; Young and Middle aged Teachers Research Basic Ability Improvement Project of Guangxi Universities, China</t>
  </si>
  <si>
    <t>This work was supported in part by the TianYuan funds for Mathematics of the National Science Foundation of China (Grant No. 12326604) , and the major key project of Peng Cheng Laboratory, China under grant (PCL2023A09) , Young and Middle aged Teachers Research Basic Ability Improvement Project of Guangxi Universities, China (No. 2022KY0608) .</t>
  </si>
  <si>
    <t>[Li, Le; Liang, Yong] Peng Cheng Lab, Shenzhen, Peoples R China; [Li, Le; Lu, Shanghui; Liao, Shuilin] Macau Univ Sci &amp; Technol, Sch Fac Innovat Engn, Macau, Peoples R China; [Pan, Hudan] Guangzhou Univ Chinese Med, Affiliated Hosp 2, State Key Lab Tradit Chinese Med Syndrome, Guangzhou, Peoples R China; [Liang, Yong] Pazhou Lab Huangpu, Guangzhou, Peoples R China; [Shao, Mingwen] China Univ Petr, Coll Comp Sci &amp; Technol, Qingdao, Peoples R China; [Xie, Shengli] Guangdong Univ Technol, Sch Automat, Guangzhou, Peoples R China</t>
  </si>
  <si>
    <t>Peng Cheng Laboratory; Macau University of Science and Technology; Guangzhou University of Chinese Medicine; Pazhou Lab; China University of Petroleum; Guangdong University of Technology</t>
  </si>
  <si>
    <t>PMFN-SSL: Self-supervised learning-based progressive multimodal fusion network for cancer diagnosis and prognosis</t>
  </si>
  <si>
    <t>Multimodal learning; Self-supervised learning; Survival analysis; Grade prediction</t>
  </si>
  <si>
    <t>ARTIFICIAL-INTELLIGENCE; SURVIVAL PREDICTION; CLASSIFICATION; IMAGES</t>
  </si>
  <si>
    <t>Lu, Shanghui/MIT-2027-2025</t>
  </si>
  <si>
    <t>84</t>
  </si>
  <si>
    <t>APR 8 2024</t>
  </si>
  <si>
    <t>289</t>
  </si>
  <si>
    <t>111502</t>
  </si>
  <si>
    <t>10.1016/j.knosys.2024.111502</t>
  </si>
  <si>
    <t>http://dx.doi.org/10.1016/j.knosys.2024.111502</t>
  </si>
  <si>
    <t>MN9C0</t>
  </si>
  <si>
    <t>WOS:001194408800001</t>
  </si>
  <si>
    <t>Sonuç, E; Saihood, Q; Baydilli, YY; Özcan, E</t>
  </si>
  <si>
    <t>Introduction Accurate and early classification of skin lesions is essential for the early detection of disease and improved clinical outcomes. However, automated multiclass classification is still hindered by severe class imbalance, high inter-class visual similarity, and the comparatively under-explored use of complementary clinical metadata relative to image-only pipelines, despite growing interest in such metadata fusion. In line with the growing demand for artificial intelligence (AI) tools that integrate heterogeneous data in clinical scenarios, this study presents a multimodal machine learning-based computer-aided diagnosis (ML-CAD) framework that fuses dermoscopic images with patient metadata.Methods The framework follows a five-phase pipeline. A structured multimodal balancing strategy combines class-wise Synthetic Minority Oversampling Technique for Nominal and Continuous features (SMOTENC) for metadata with controlled image augmentation. This is followed by cross-modal alignment to preserve clinical consistency. A fine-tuned Vision Transformer (ViT-B/16) at reduced input resolution performs feature extraction and late fusion with encoded metadata, yielding an 800-dimensional multimodal representation. Individual and stacked ensemble classifiers are subsequently trained on the fused features, with Bayesian optimization based on Gaussian process surrogates used for hyperparameter tuning. Gradient-weighted Class Activation Mapping (Grad-CAM) provides a visual interpretation across all seven lesion categories.Results Experiments on the HAM10000 dataset demonstrate that the proposed SVM+KNN stacking ensemble achieved an accuracy of 98.55% and a ROC-AUC of 99.88%, achieving competitive accuracy among recently reported methods under broadly similar balanced settings.Discussion The findings underscore the necessity of an AI framework that integrates imaging and clinical data to provide interpretable clinical decision support. This framework represents a step toward providing clinicians with multimodal, interpretable decision support. We emphasize, however, that external and prospective clinical validation remain necessary before translation into routine dermatological practice.</t>
  </si>
  <si>
    <t>Sonuc, Emrullah; Saihood, Qusay; Baydilli, Yusuf Yargi; Ozcan, Ender</t>
  </si>
  <si>
    <t>Sonuç, E (corresponding author), Univ Nottingham, Sch Comp Sci, Computat Optimisat &amp; Learning Lab, Nottingham, England.; Sonuç, E (corresponding author), Karabuk Univ, Dept Comp Engn, Karabuk, Turkiye.</t>
  </si>
  <si>
    <t>emrullah.sonuc@nottingham.ac.uk</t>
  </si>
  <si>
    <t>[Sonuc, Emrullah; Ozcan, Ender] Univ Nottingham, Sch Comp Sci, Computat Optimisat &amp; Learning Lab, Nottingham, England; [Sonuc, Emrullah; Saihood, Qusay] Karabuk Univ, Dept Comp Engn, Karabuk, Turkiye; [Baydilli, Yusuf Yargi] Hakkari Univ, Dept Comp Engn, Hakkari, Turkiye</t>
  </si>
  <si>
    <t>University of Nottingham; Karabuk University; Hakkari University</t>
  </si>
  <si>
    <t>Interpretable multimodal fusion for skin lesion classification using dermoscopic images and patient metadata</t>
  </si>
  <si>
    <t>Bayesian optimization; clinical decision support; computer-aided diagnosis; dermoscopic imaging; interpretable AI; multimodal data fusion; skin lesion classification; vision transformer</t>
  </si>
  <si>
    <t>JUL 29 2026</t>
  </si>
  <si>
    <t>1871689</t>
  </si>
  <si>
    <t>10.3389/fmed.2026.1871689</t>
  </si>
  <si>
    <t>http://dx.doi.org/10.3389/fmed.2026.1871689</t>
  </si>
  <si>
    <t>MM4QT</t>
  </si>
  <si>
    <t>WOS:001845731000001</t>
  </si>
  <si>
    <t>Jiang, YJ; Wang, N; Guo, Q; Li, ZY; Zhu, Y</t>
  </si>
  <si>
    <t>Electrocardiogram (ECG) analysis plays a crucial role in arrhythmia detection. However, traditional self-supervised learning methods that focus exclusively on ECG data often struggle to capture rich semantic information, resulting in suboptimal feature representations. This paper aims to address this limitation by improving the performance of arrhythmia classification through multimodal learning. We introduce MERAC (Multimodal Fusion of ECG and Clinical Report with Local-Global Encoding for Arrhythmia Classification), a novel framework that leverages both local and global encoding modules to enhance semantic transfer across modalities. The local encoding module employs fine-grained local alignment to address the coarse semantic granularity inherent in traditional global alignment approaches. Simultaneously, the global encoding module incorporates a text-guided probabilistic masking strategy to promote comprehensive feature fusion and achieve richer semantic representations. MERAC demonstrates superior performance compared to existing state-ofthe-art methods. On the CPSC2018 dataset, our approach achieves a zero-shot AUC of 89.73% and an F1 score of 56.39%. On the Chapman dataset, it attains an AUC of 90.06% and an F1 score of 61.50%. The experimental results highlight the effectiveness of our method in cardiac arrhythmia detection. The proposed MERAC framework successfully integrates ECG signals with medical reports through innovative local and global encoding strategies, demonstrating significant improvements in classification performance.</t>
  </si>
  <si>
    <t>Jiang, Yunjie; Wang, Nan; Guo, Qin; Li, Zongyu; Zhu, Yu</t>
  </si>
  <si>
    <t>Zhu, Y (corresponding author), East China Univ Sci &amp; Technol, Sch Informat Sci &amp; Engn, Shanghai, Peoples R China.</t>
  </si>
  <si>
    <t>zhuyu@ecust.edu.cn</t>
  </si>
  <si>
    <t>National Natural Science Foundation of China [62476088, 82502467]; Science and Technology Commission of Shanghai Municipality, China [20DZ22544000]</t>
  </si>
  <si>
    <t>National Natural Science Foundation of China (National Natural Science Foundation of China (NSFC)); Science and Technology Commission of Shanghai Municipality, China</t>
  </si>
  <si>
    <t>This work was supported by the National Natural Science Foundation of China under Grant 62476088 and 82502467 and the Science and Technology Commission of Shanghai Municipality, China under Grant 20DZ22544000.</t>
  </si>
  <si>
    <t>[Jiang, Yunjie; Wang, Nan; Guo, Qin; Li, Zongyu; Zhu, Yu] East China Univ Sci &amp; Technol, Sch Informat Sci &amp; Engn, Shanghai, Peoples R China</t>
  </si>
  <si>
    <t>East China University of Science and Technology</t>
  </si>
  <si>
    <t>MERAC: Multimodal fusion of ECG and clinical report with local-global encoding for arrhythmia classification</t>
  </si>
  <si>
    <t>ECG; Self-supervised learning; Multimodal learning; Local encoding; Global encoding</t>
  </si>
  <si>
    <t>DATABASE</t>
  </si>
  <si>
    <t>Jiang, Yunjie/0009-0001-4830-3321</t>
  </si>
  <si>
    <t>123</t>
  </si>
  <si>
    <t>108972</t>
  </si>
  <si>
    <t>10.1016/j.compbiolchem.2026.108972</t>
  </si>
  <si>
    <t>http://dx.doi.org/10.1016/j.compbiolchem.2026.108972</t>
  </si>
  <si>
    <t>EL5HL</t>
  </si>
  <si>
    <t>41740362</t>
  </si>
  <si>
    <t>WOS:001703935600001</t>
  </si>
  <si>
    <t>Tripathi, PC; Tabakhi, S; Suvon, MNI; Schöbs, L; Alabed, S; Swift, AJ; Zhou, S; Lu, HP</t>
  </si>
  <si>
    <t>Pulmonary Arterial Wedge Pressure (PAWP) is an essential cardiovascular hemodynamics marker to detect heart failure. In clinical practice, Right Heart Catheterization is considered a gold standard for assessing cardiac hemodynamics while non-invasive methods are often needed to screen high-risk patients from a large population. In this paper, we propose a multimodal learning pipeline to predict PAWP marker. We utilize complementary information from Cardiac Magnetic Resonance Imaging (CMR) scans (short-axis and four-chamber) and Electronic Health Records (EHRs). We extract spatio-temporal features from CMR scans using tensor-based learning. We propose a graph attention network to select important EHR features for prediction, where we model subjects as graph nodes and feature relationships as graph edges using the attention mechanism. We design four feature fusion strategies: early, intermediate, late, and hybrid fusion. With a linear classifier and linear fusion strategies, our pipeline is interpretable. We validate our pipeline on a large dataset of ${2},{641}$ subjects from our ASPIRE registry. The comparative study against state-of-the-art methods confirms the superiority of our pipeline. The decision curve analysis further validates that our pipeline can be applied to screen a large population. The code is available at https://github.com/prasunc/hemodynamics</t>
  </si>
  <si>
    <t>Tripathi, Prasun C.; Tabakhi, Sina; Suvon, Mohammod N. I.; Schobs, Lawrence; Alabed, Samer; Swift, Andrew J.; Zhou, Shuo; Lu, Haiping</t>
  </si>
  <si>
    <t>Emerging Sources Citation Index (ESCI); Science Citation Index Expanded (SCI-EXPANDED)</t>
  </si>
  <si>
    <t>Lu, HP (corresponding author), Univ Sheffield, Sch Comp Sci, Sheffield S1 4DP, England.</t>
  </si>
  <si>
    <t>h.lu@sheffield.ac.uk; lawrenceschobs@gmail.com; shuo.zhou@sheffield.ac.uk; stabakhi1@sheffield.ac.uk; a.j.swift@sheffield.ac.uk; m.suvon@sheffield.ac.uk; s.alabed@sheffield.ac.uk; prasunchandratripathi@gmail.com</t>
  </si>
  <si>
    <t>Wellcome Trust [215799/Z/19/Z, 205188/Z/16/Z]; British Heart Foundation (BHF) [FS/SCRF/24/32034]; National Institute for Health and Care Research (NIHR), Sheffield Biomedical Research Centre [NIHR203321]</t>
  </si>
  <si>
    <t>Wellcome Trust (Wellcome Trust); British Heart Foundation (BHF); National Institute for Health and Care Research (NIHR), Sheffield Biomedical Research Centre</t>
  </si>
  <si>
    <t>This work was supported in part by the Wellcome Trust under Grant 215799/Z/19/Z and Grant 205188/Z/16/Z; in part by the British Heart Foundation (BHF) under Grant FS/SCRF/24/32034; and in part by the National Institute for Health and Care Research (NIHR), Sheffield Biomedical Research Centre, under Grant NIHR203321.</t>
  </si>
  <si>
    <t>[Tripathi, Prasun C.; Tabakhi, Sina; Suvon, Mohammod N. I.; Zhou, Shuo; Lu, Haiping] Univ Sheffield, Sch Comp Sci, Sheffield S1 4DP, England; [Tripathi, Prasun C.] Univ Sheffield, Ctr Machine Intelligence, Sheffield S1 3JD, England; [Schobs, Lawrence] Inst Infrastruct Technol Res &amp; Management, Dept Elect &amp; Comp Sci Engn, Ahmadabad 380026, Gujarat, India; [Schobs, Lawrence] ViewsML, Vancouver, BC V6C 0B3, Canada; [Alabed, Samer; Swift, Andrew J.] Univ Sheffield, Sch Med &amp; Populat Hlth, Sheffield S10 2TN, England; [Alabed, Samer; Swift, Andrew J.] Univ Sheffield, Inst Sil Med INSIGNEO, Sheffield S10 2TN, England</t>
  </si>
  <si>
    <t>University of Sheffield; University of Sheffield; University of Sheffield; University of Sheffield</t>
  </si>
  <si>
    <t>Interpretable Multimodal Learning for Cardiovascular Hemodynamics Assessment</t>
  </si>
  <si>
    <t>IEEE TRANSACTIONS ON MEDICAL IMAGING</t>
  </si>
  <si>
    <t>Feeds; Filtering; Filters; Circuits and systems; Receivers; Location awareness; Mobile communication; Digital communication; DICOM; Electronic mail; Cardiac hemodynamics; feature selection; interpretable model; multimodal learning; pulmonary arterial wedge pressure; transformer</t>
  </si>
  <si>
    <t>ARTERY WEDGE PRESSURE; HEART-FAILURE; PULMONARY; SELECTION</t>
  </si>
  <si>
    <t>Mishra, Amit Kumar/0000-0002-9161-9532</t>
  </si>
  <si>
    <t>0278-0062</t>
  </si>
  <si>
    <t>1558-254X</t>
  </si>
  <si>
    <t>IEEE T MED IMAGING</t>
  </si>
  <si>
    <t>IEEE Trans. Med. Imaging</t>
  </si>
  <si>
    <t>3637</t>
  </si>
  <si>
    <t>3648</t>
  </si>
  <si>
    <t>10.1109/TMI.2026.3681722</t>
  </si>
  <si>
    <t>http://dx.doi.org/10.1109/TMI.2026.3681722</t>
  </si>
  <si>
    <t>Computer Science, Interdisciplinary Applications; Engineering, Biomedical; Engineering, Electrical &amp; Electronic; Imaging Science &amp; Photographic Technology; Radiology, Nuclear Medicine &amp; Medical Imaging</t>
  </si>
  <si>
    <t>Computer Science; Engineering; Imaging Science &amp; Photographic Technology; Radiology, Nuclear Medicine &amp; Medical Imaging</t>
  </si>
  <si>
    <t>MG2UJ</t>
  </si>
  <si>
    <t>41950128</t>
  </si>
  <si>
    <t>WOS:001841529200043</t>
  </si>
  <si>
    <t>Hou, JR; Tan, ZH; Zhang, ST; Hu, QB; Wang, P</t>
  </si>
  <si>
    <t>The proliferation of fake reviews on the internet has had significant repercussions for both consumers and businesses. However, existing research predominantly employs a binary classification approach to ascertain review authenticity, often neglecting the rich multimodal context information and nuanced intentions embedded within them. To bridge this gap, our study introduces a novel task, Fake Review Intention Detection in Review Context (FRIDRC), which aims to detect fake review intentions by leveraging both textual and visual information, and constructs a dataset comprising both manually and AI-generated fake reviews. Additionally, we develop a predictive framework encompassing modules for multimodal representation and modality fusion. These modules, while independent, are synergistic and effectively tackle the challenge of discerning fake review intentions. Our framework demonstrates outstanding performance, achieving an average F1 score exceeding 0.97 and a Macro F1 score surpassing 0.96 in this task and outperforming advanced pre-trained models. This research not only presents an effective methodology for accurately identifying and addressing fake review intentions but also underscores the efficacy of leveraging multimodal review context information in fake review detection. The dataset and code implementation are publicly available for further research.</t>
  </si>
  <si>
    <t>Hou, Jingrui; Tan, Zhihang; Zhang, Shitou; Hu, Qibiao; Wang, Ping</t>
  </si>
  <si>
    <t>Wang, P (corresponding author), Wuhan Univ, Sch Informat Management, 299 Bayi Rd, Wuhan 430072, Peoples R China.</t>
  </si>
  <si>
    <t>j.hou@lboro.ac.uk; wangping@whu.edu.cn; zhihangtan@whu.edu.cn; huqibiao@whu.edu.cn; shitouzhang@whu.edu.cn</t>
  </si>
  <si>
    <t>National Natural Science Foun-dation of China [72074171, 72374161]; China Scholarship Council</t>
  </si>
  <si>
    <t>National Natural Science Foun-dation of China (National Natural Science Foundation of China (NSFC)); China Scholarship Council (China Scholarship Council)</t>
  </si>
  <si>
    <t>This work was supported by the National Natural Science Foun-dation of China [No. 72074171 and No. 72374161] and the China Scholarship Council.</t>
  </si>
  <si>
    <t>[Hou, Jingrui] Univ Loughborough, Dept Comp Sci, Epinal Way, Loughborough LE11 3TU, England; [Tan, Zhihang; Zhang, Shitou; Hu, Qibiao; Wang, Ping] Wuhan Univ, Sch Informat Management, 299 Bayi Rd, Wuhan 430072, Peoples R China; [Wang, Ping] Wuhan Univ, Ctr Studies Informat Resources, 299 Bayi Rd, Wuhan 430072, Peoples R China</t>
  </si>
  <si>
    <t>Loughborough University; Wuhan University; Wuhan University</t>
  </si>
  <si>
    <t>Detecting fake review intentions in the review context: A multimodal deep learning approach</t>
  </si>
  <si>
    <t>ELECTRONIC COMMERCE RESEARCH AND APPLICATIONS</t>
  </si>
  <si>
    <t>Fake review; Fake review intention detection; Multimodal deep learning; Feature fusion</t>
  </si>
  <si>
    <t>Wang, Ping/AAW-8081-2021</t>
  </si>
  <si>
    <t>tan, zhihang/0009-0004-5398-5453</t>
  </si>
  <si>
    <t>1567-4223</t>
  </si>
  <si>
    <t>1873-7846</t>
  </si>
  <si>
    <t>ELECTRON COMMER R A</t>
  </si>
  <si>
    <t>Electron. Commer. Res. Appl.</t>
  </si>
  <si>
    <t>MAR-APR 2025</t>
  </si>
  <si>
    <t>101485</t>
  </si>
  <si>
    <t>10.1016/j.elerap.2025.101485</t>
  </si>
  <si>
    <t>http://dx.doi.org/10.1016/j.elerap.2025.101485</t>
  </si>
  <si>
    <t>Business; Computer Science, Information Systems; Computer Science, Interdisciplinary Applications</t>
  </si>
  <si>
    <t>Business &amp; Economics; Computer Science</t>
  </si>
  <si>
    <t>X5X8X</t>
  </si>
  <si>
    <t>WOS:001426085100001</t>
  </si>
  <si>
    <t>Su, C; Chen, ZY; Zhang, WQ; Kang, J; Wang, C; Chen, J; Yang, JW; Liu, CZ; Li, L; Wang, S; Zhang, YA</t>
  </si>
  <si>
    <t>Most traditional parametric analysis systems for manual acupuncture manipulation (MAM) fail to solve multimodal MAM recognition problems, due to the absence of robust MAM recognition models integrating both hand visual information and tactile feedback from the needle-holding (NH) fingers during MAM operations. This study attempts to fill this gap by constructing an explainable multimodal MAM recognition network using MAM video data captured by a binocular camera and tactile data from a self-developed wearable tactile array finger cot, which is worn on the acupuncturist's fingers to collect tactile feedback during MAM operations. For this recognition model, we designed feature extraction methods for two tactile (dual-channel PVDF film piezoelectric signals and accelerometer signals) and two visual (joint motion data and RGB image data of the NH hand) submodalities. Next, we constructed a tactile-visual multimodal feature fusion frame, including a gating mechanism-based feature self-interaction memory strategy for each branch submodality of respective tactile and visual modalities, an interaction attention-based fusion method to generate the corresponding respective entire features of tactile and visual modality, and a tactile and visual multimodal feature fusion method using a lowrank fusion technique. Finally, we developed a feature element fine-tuning-based interpretability mechanism for the multimodal MAM recognition model. Thirty acupuncturists from TCM medical institutions in China validated the proposed multimodal MAM acquisition system and recognition model for four typical MAM techniques. Satisfactory results were obtained, proving the proposed method's feasibility and effectiveness.</t>
  </si>
  <si>
    <t>Su, Chong; Chen, Ziyi; Zhang, Wenqi; Kang, Jian; Wang, Chen; Chen, Jie; Yang, Jingwen; Liu, Cunzhi; Li, Li; Wang, Shu; Zhang, Yanan</t>
  </si>
  <si>
    <t>Su, C (corresponding author), Beijing Univ Chem Technol, Coll Informat Sci &amp; Technol, Beijing 100029, Peoples R China.; Liu, CZ (corresponding author), Beijing Univ Chinese Med, Int Acupuncture &amp; Moxibust Innovat Inst, Sch Acupuncture Moxibust &amp; Tuina, Beijing 100029, Peoples R China.; Zhang, YA (corresponding author), Tianjin Univ Tradit Chinese Med, Teaching Hosp 1, Acupuncture Res Inst, Tianjin 300381, Peoples R China.; Zhang, YA (corresponding author), Natl Clin Res Ctr Chinese Med Acupuncture &amp; Moxib, Tianjin 300381, Peoples R China.; Zhang, YA (corresponding author), Tianjin Key Lab Acupuncture &amp; Moxibust, Tianjin 300381, Peoples R China.; Zhang, YA (corresponding author), State Adm Tradit Chinese Med, Key Lab Cerebropathy Acupuncture Therapy, Tianjin 300381, Peoples R China.</t>
  </si>
  <si>
    <t>40315139@qq.com; suchong@mail.buct.edu.cn; lcz623780@126.com</t>
  </si>
  <si>
    <t>National Natural Science Foundation of China [82374305, 82074285]; Open Project of National Clinical Research Center for Chinese Medicine Acupuncture and Moxibustion [NCRCOP2023006, NCRCOP2023002]; Beijing Traditional Chinese Medicine Technology Development Fund [BJZYYB-2023-02]</t>
  </si>
  <si>
    <t>National Natural Science Foundation of China (National Natural Science Foundation of China (NSFC)); Open Project of National Clinical Research Center for Chinese Medicine Acupuncture and Moxibustion; Beijing Traditional Chinese Medicine Technology Development Fund</t>
  </si>
  <si>
    <t>The study was financially supported by the National Natural Science Foundation of China (Grant No.82374305, and 82074285) , Open Project of National Clinical Research Center for Chinese Medicine Acupuncture and Moxibustion (Grant No. NCRCOP2023006 and NCRCOP2023002) , and the Beijing Traditional Chinese Medicine Technology Development Fund (Grant No. BJZYYB-2023-02) .</t>
  </si>
  <si>
    <t>[Su, Chong; Chen, Ziyi; Zhang, Wenqi; Kang, Jian; Wang, Chen] Beijing Univ Chem Technol, Coll Informat Sci &amp; Technol, Beijing 100029, Peoples R China; [Chen, Jie] Beijing Zhongguancun Hosp, Dept Tradit Chinese Med, Beijing 100190, Peoples R China; [Yang, Jingwen; Liu, Cunzhi] Beijing Univ Chinese Med, Int Acupuncture &amp; Moxibust Innovat Inst, Sch Acupuncture Moxibust &amp; Tuina, Beijing 100029, Peoples R China; [Li, Li; Wang, Shu; Zhang, Yanan] Tianjin Univ Tradit Chinese Med, Teaching Hosp 1, Acupuncture Res Inst, Tianjin 300381, Peoples R China; [Li, Li; Wang, Shu; Zhang, Yanan] Natl Clin Res Ctr Chinese Med Acupuncture &amp; Moxib, Tianjin 300381, Peoples R China; [Li, Li; Zhang, Yanan] Tianjin Key Lab Acupuncture &amp; Moxibust, Tianjin 300381, Peoples R China; [Zhang, Yanan] State Adm Tradit Chinese Med, Key Lab Cerebropathy Acupuncture Therapy, Tianjin 300381, Peoples R China</t>
  </si>
  <si>
    <t>Beijing University of Chemical Technology; Beijing University of Chinese Medicine; Tianjin University of Traditional Chinese Medicine</t>
  </si>
  <si>
    <t>Manual acupuncture manipulation recognition model with a multimodal fusion of tactile and visual features</t>
  </si>
  <si>
    <t>Manual acupuncture manipulation (MAM); Tactile and visual modality; Multimodal model; MAM recognition problem; Traditional Chinese medicine (TCM)</t>
  </si>
  <si>
    <t>GESTURE RECOGNITION; ELECTROACUPUNCTURE</t>
  </si>
  <si>
    <t>kang, jian/V-3055-2019; Li, Li/OOM-7711-2025; Liu, Cunzhi/J-9190-2017</t>
  </si>
  <si>
    <t>108458</t>
  </si>
  <si>
    <t>10.1016/j.bspc.2025.108458</t>
  </si>
  <si>
    <t>http://dx.doi.org/10.1016/j.bspc.2025.108458</t>
  </si>
  <si>
    <t>6TV7J</t>
  </si>
  <si>
    <t>WOS:001561880300001</t>
  </si>
  <si>
    <t>Cao, M; Chi, JN; Cao, BX; Liu, JH; Zhang, C; Wang, Y</t>
  </si>
  <si>
    <t>Continuous and reliable estimation of driver cognitive load is essential for improving road safety and supporting adaptive in-vehicle interfaces. Although multimodal methods based on EEG and eye-tracking signals show promise, most existing approaches rely on static statistical feature aggregation and shallow fusion schemes. These limitations hinder the modeling of long-range temporal patterns and the ordinal nature of cognitive load levels. To address these issues, this paper introduces TAMF-Net, a temporal-aware multimodal fusion framework for sequence-level cognitive load inference. This framework integrates three core components: a temporal convolutional encoder that captures long-range dependencies in neuro-behavioral signals, a multi-scale cross-modal fusion module that dynamically synthesizes EEG and eye-movement features, and an ordinal-aware focal loss that enforces consistent predictions across load levels. By operating directly on temporal sequences, this method preserves the evolution of cognitive dynamics rather than collapsing them into static features. Experimental results on the public CL-Drive dataset demonstrate that TAMF-Net achieves a competitive average weighted F1-score of 94.4% +/- 4.7% under subject-independent cross-validation, significantly outperforming established baselines. Furthermore, the model demonstrates strong generalization in cross-dataset testing, achieving an average F1-score of 87.7% +/- 1.3% on the SEED-VIG dataset without additional fine-tuning. These results indicate that TAMF-Net is both effective and interpretable for the real-world monitoring of driver states.</t>
  </si>
  <si>
    <t>Cao, Ming; Chi, Jiannan; Cao, Boxiang; Liu, Jiahui; Zhang, Cong; Wang, Yu</t>
  </si>
  <si>
    <t>Chi, JN (corresponding author), Univ Sci &amp; Technol Beijing, Shunde Innovat Sch, Foshan 528399, Peoples R China.</t>
  </si>
  <si>
    <t>ustbjnc@ustb.edu.cn</t>
  </si>
  <si>
    <t>National Natural Science Foundation of China [62206016]; Guangdong Basic and Applied Basic Research Foundation [2023A1515140086, 2022A1515140016]; Fundamental Research Funds for the Central Universities, China [FRF-TP-24-062A]; Project "Vice President of Science and Technology" of Changping District, Beijing [2025040040042]; Foundation of Engineering Research Center of Intelligence Perception and Autonomous Control, Ministry of Education, China [DMETKF2021023]; Open Project of the State Key Laboratory of Digital Manufacturing Equipment and Technology, Huazhong University of Science and Technology [DMETKF2021023]</t>
  </si>
  <si>
    <t>National Natural Science Foundation of China (National Natural Science Foundation of China (NSFC)); Guangdong Basic and Applied Basic Research Foundation (Guangdong Basic and Applied Basic Research Foundation); Fundamental Research Funds for the Central Universities, China (Fundamental Research Funds for the Central Universities); Project "Vice President of Science and Technology" of Changping District, Beijing; Foundation of Engineering Research Center of Intelligence Perception and Autonomous Control, Ministry of Education, China; Open Project of the State Key Laboratory of Digital Manufacturing Equipment and Technology, Huazhong University of Science and Technology</t>
  </si>
  <si>
    <t>This work was supported in part by the National Natural Science Foundation of China under Grant 62206016; in part by the Guangdong Basic and Applied Basic Research Foundation under Grants 2023A1515140086 and 2022A1515140016; in part by the Fundamental Research Funds for the Central Universities, China under Grant FRF-TP-24-062A; in part by the Project "Vice President of Science and Technology" of Changping District, Beijing under Grant 2025040040042; in part by the Foundation of Engineering Research Center of Intelligence Perception and Autonomous Control, Ministry of Education, China; and in part by the Open Project of the State Key Laboratory of Digital Manufacturing Equipment and Technology, Huazhong University of Science and Technology under Grant DMETKF2021023.</t>
  </si>
  <si>
    <t>[Cao, Ming; Chi, Jiannan; Cao, Boxiang; Liu, Jiahui; Zhang, Cong; Wang, Yu] Univ Sci &amp; Technol Beijing, Sch Automat &amp; Elect Engn, Beijing 100083, Peoples R China; [Chi, Jiannan; Liu, Jiahui] Univ Sci &amp; Technol Beijing, Shunde Innovat Sch, Foshan 528399, Peoples R China</t>
  </si>
  <si>
    <t>University of Science &amp; Technology Beijing; University of Science &amp; Technology Beijing</t>
  </si>
  <si>
    <t>TAMF-Net: Temporal-aware multimodal fusion for interpretable driver cognitive load recognition</t>
  </si>
  <si>
    <t>Cognitive load; EEG; Eye tracking; Multimodal fusion; Ordinal regression; Temporal modeling</t>
  </si>
  <si>
    <t>EEG; ATTENTION; BRAIN</t>
  </si>
  <si>
    <t>cao, ming/PCE-1565-2025; Jiahui, Liu/JEO-8250-2023</t>
  </si>
  <si>
    <t>AUG 1 2026</t>
  </si>
  <si>
    <t>110388</t>
  </si>
  <si>
    <t>10.1016/j.bspc.2026.110388</t>
  </si>
  <si>
    <t>http://dx.doi.org/10.1016/j.bspc.2026.110388</t>
  </si>
  <si>
    <t>HK4YD</t>
  </si>
  <si>
    <t>WOS:001756203600001</t>
  </si>
  <si>
    <t>Zhu, JB; Li, SY; Ma, Q; Song, JD</t>
  </si>
  <si>
    <t>Rapid and accurate prediction of onsite intensity is essential for evaluating earthquake damage to the ground and buildings in earthquake early warning (EEW). Some scholars have used a single feature (such as peak displacement) extracted from the P-wave to establish onsite intensity prediction equations or employ singlemode data (such as seismic waves) to establish machine learning prediction models. However, accurately predicting onsite intensity using one type of data and limited information is difficult. To effectively utilize the information within data of different modalities and improve the reliability of onsite intensity prediction, using earthquake events collected from the Japanese K-NET network, we propose the Multimodal Onsite Intensity Predictor (MOIPor) based on deep learning for EEW and explore the feasibility of MOIPor for onsite intensity prediction in the region of Japan. MOIPor extracts features from three different multimodal data, namely, timedomain data, spectrum data, and text data, obtained from a single station and then uses feature fusion and a multilayer perceptron to output the predicted onsite intensity. The results show that when data from 3 s after the P-wave arrival are used in the test dataset, the reliability of the onsite intensity prediction of MOIPor is greater than that of baseline models. Moreover, we applied MOIPor to the 2021 M7.3 earthquake sequence along the coast of Fukushima in Japan for offline testing, and within 5 s after P-wave arrival, the accuracy of successful alarms based on the intensity predicted by MOIPor exceeded 90 %, with no false alarms. We infer from the results that MOIPor can predict onsite intensity for EEW quickly and reliably in the Japanese region.</t>
  </si>
  <si>
    <t>Zhu, Jingbao; Li, Shanyou; Ma, Qiang; Song, Jindong</t>
  </si>
  <si>
    <t>Song, JD (corresponding author), China Earthquake Adm CEA, Inst Engn Mech IEM, 29 Xuefu Rd, Harbin 150080, Heilongjiang, Peoples R China.</t>
  </si>
  <si>
    <t>jdsong@iem.ac.cn</t>
  </si>
  <si>
    <t>Japanese National Research Institute for Earth Science and Disaster Resilience (NIED); National Key Research and Development Program of China [2023YFF0725005]</t>
  </si>
  <si>
    <t>Japanese National Research Institute for Earth Science and Disaster Resilience (NIED); National Key Research and Development Program of China (National Key Research &amp; Development Program of China)</t>
  </si>
  <si>
    <t>We would like to thank the Editor-in-Chief Ioannis Anastasopoulos, and two anonymous reviewers for their constructive comments and suggestions, which are very helpful for improving our manuscript. We wish to thank the Japanese National Research Institute for Earth Science and Disaster Resilience (NIED) for providing the K -NET seismic data to the public. We are grateful to the Python community for making everything publicly available. The authors acknowledge the financial supports from the National Key Research and Development Program of China (Grant Number: 2023YFF0725005) .</t>
  </si>
  <si>
    <t>[Zhu, Jingbao; Li, Shanyou; Ma, Qiang; Song, Jindong] China Earthquake Adm, Inst Engn Mech, Key Lab Earthquake Engn &amp; Engn Vibrat, Harbin, Peoples R China; [Zhu, Jingbao; Li, Shanyou; Ma, Qiang; Song, Jindong] Minist Emergency Management, Key Lab Earthquake Disaster Mitigat, Harbin, Peoples R China</t>
  </si>
  <si>
    <t>China Earthquake Administration; Institute of Engineering Mechanics, CEA</t>
  </si>
  <si>
    <t>Onsite intensity prediction for earthquake early warning with multimodal deep learning</t>
  </si>
  <si>
    <t>SOIL DYNAMICS AND EARTHQUAKE ENGINEERING</t>
  </si>
  <si>
    <t>Earthquake early warning; Onsite; Intensity; Multimodal; Deep learning</t>
  </si>
  <si>
    <t>RAPID RESPONSE; SYSTEM; TAIWAN; FEASIBILITY; PERFORMANCE; ALERT</t>
  </si>
  <si>
    <t>朱, 景宝/GSE-1256-2022; Song, Jindong/E-1868-2018</t>
  </si>
  <si>
    <t>Song, Jindong/0000-0003-0529-9737; Ma, Qiang/0000-0002-9768-5223</t>
  </si>
  <si>
    <t>0267-7261</t>
  </si>
  <si>
    <t>1879-341X</t>
  </si>
  <si>
    <t>SOIL DYN EARTHQ ENG</t>
  </si>
  <si>
    <t>Soil Dyn. Earthq. Eng.</t>
  </si>
  <si>
    <t>109430</t>
  </si>
  <si>
    <t>10.1016/j.soildyn.2025.109430</t>
  </si>
  <si>
    <t>http://dx.doi.org/10.1016/j.soildyn.2025.109430</t>
  </si>
  <si>
    <t>Engineering, Geological; Geosciences, Multidisciplinary</t>
  </si>
  <si>
    <t>Engineering; Geology</t>
  </si>
  <si>
    <t>1IB6P</t>
  </si>
  <si>
    <t>WOS:001465536400001</t>
  </si>
  <si>
    <t>Lu, Q; Zheng, LB; Su, JL; Ma, WM; Ma, H; Zhang, YL</t>
  </si>
  <si>
    <t>An innovative multimodal deep learning model, MCAB-GFEResNet, was developed to predict treatment response to neoadjuvant chemoradiotherapy (nCRT) in patients with locally advanced rectal cancer. The system integrates multiparametric baseline data acquired prior to nCRT initiation: (1) pre-treatment whole-slide biopsy images (WSI) obtained during initial diagnostic workup, (2) baseline magnetic resonance imaging (MRI) performed after biopsy but before nCRT commencement, and (3) pretreatment clinical biomarkers (including carcinoembryonic antigen [CEA] levels) collected contemporaneously with imaging. The architecture innovatively introduces two key components: a Multimodal Clue Attention Bridge (MCAB) fusion strategy that achieves deep feature fusion through cross-modal interaction, and a Global Feature Enhancement (GFE) module that precisely captures discriminative features in treatment response via dual-dimensional (channel and spatial) feature aggregation mechanisms. Prospective validation on 185 patients achieved 97.21% accuracy, a 5.6-20.2% absolute improvement over reference fusion methods, with 97.25% sensitivity using only pretreatment data. This enables therapeutic decisions to be made at least 4-6 weeks earlier compared to post-surgical pathology-dependent approaches. It demonstrates significant advantages in both predictive accuracy and temporal efficiency, establishing the first multimodal framework for precision prediction of nCRT response using solely pretreatment data in rectal cancer.</t>
  </si>
  <si>
    <t>Lu, Qing; Zheng, Longbo; Su, Jionglong; Ma, Weimin; Ma, Hui; Zhang, Yulin</t>
  </si>
  <si>
    <t>Zhang, YL (corresponding author), Shandong Univ Sci &amp; Technol, Coll Math &amp; Syst Sci, Qingdao 266590, Shandong, Peoples R China.</t>
  </si>
  <si>
    <t>zhangyulin@sdust.edu.cn</t>
  </si>
  <si>
    <t>National Natural Science dation of China [82300389]</t>
  </si>
  <si>
    <t>National Natural Science dation of China (National Natural Science Foundation of China (NSFC))</t>
  </si>
  <si>
    <t>This research was supported by the National Natural Science dation of China under Grant 82300389.</t>
  </si>
  <si>
    <t>[Lu, Qing; Ma, Weimin; Zhang, Yulin] Shandong Univ Sci &amp; Technol, Coll Math &amp; Syst Sci, Qingdao 266590, Shandong, Peoples R China; [Zheng, Longbo; Ma, Hui] Qingdao Univ, Affiliated Hosp, Dept Gastroenterol Surg, Qingdao 266000, Shandong, Peoples R China; [Su, Jionglong] Xian Jiaotong Liverpool Univ, XJTLU Entrepreneur Coll Taicang, Sch AI &amp; Adv Comp, Suzhou 215123, Jiangsu, Peoples R China</t>
  </si>
  <si>
    <t>Shandong University of Science &amp; Technology; Qingdao University; Xi'an Jiaotong-Liverpool University</t>
  </si>
  <si>
    <t>MCAB-GFEResNet: A multimodal fusion model for pre-treatment prediction of neoadjuvant chemoradiotherapy response in rectal cancer</t>
  </si>
  <si>
    <t>Multimodal fusion; Rectal cancer prognosis; MCAB; GFE; ResNet18</t>
  </si>
  <si>
    <t>CLASSIFICATION</t>
  </si>
  <si>
    <t>109672</t>
  </si>
  <si>
    <t>10.1016/j.bspc.2026.109672</t>
  </si>
  <si>
    <t>http://dx.doi.org/10.1016/j.bspc.2026.109672</t>
  </si>
  <si>
    <t>CY4KK</t>
  </si>
  <si>
    <t>WOS:001677400400001</t>
  </si>
  <si>
    <t>Liu, JW; Li, XH; Fan, T; Lv, ST; Shi, ML</t>
  </si>
  <si>
    <t>Millimeter wave (mmWave) communication adopts narrow beams to combat severe propagation loss, resulting in unbearable training duration and overhead. To address this problem, this article proposes a beam training scheme based on a multimodal fusion network. We investigate the feature fusion process of mmWave channel power leakage (CPL) and sub-6 GHz channel state information (CSI) to provide richer feature information. Compared with the uni-modal counterparts (mmWave only or sub-6 GHz only), the complementarity and interactivity between different modalities make the proposed network more accurate and robust. Specifically, we propose a multimodal fusion network based on the instantaneous signal received by the mmWave wide beam and sub-6 GHz CSI to estimate the optimal narrow beam. In addition, the additional mmWave narrow beam decided by the predicted probabilities is employed to calibrate beam direction further. Moreover, two optimization strategies are presented based on the proposed multimodal fusion network. Firstly, to improve the robustness to noise in wide beam training, the long and short memory (LSTM) network is employed to track the motion direction of the user and calibrate the mmWave beam. And the wide beam for training is selected according to the previous prediction probability to reduce the training overhead. Secondly, since beam training focuses on partially specific information, to focus on its related features, we introduce the self-attention mechanism to improve the global consistency of the network. Numerical results illustrate that the proposed scheme can achieve significantly more accurate results with less overhead than traditional and existing deep learning-based methods.</t>
  </si>
  <si>
    <t>Liu, Jiawen; Li, Xiaohui; Fan, Tao; Lv, Siting; Shi, Mingli</t>
  </si>
  <si>
    <t>Li, XH (corresponding author), Xidian Univ, State Key Lab Integrated Serv Networks, Xian 710071, Shaanxi, Peoples R China.</t>
  </si>
  <si>
    <t>316631694@qq.com; xhli@mail.xidian.edu.cn; 601391627@qq.com; 1392571846@qq.com; stlv_0202@stu.xidian.edu.cn</t>
  </si>
  <si>
    <t>National Key Ramp;D Program of China</t>
  </si>
  <si>
    <t>[Liu, Jiawen; Li, Xiaohui; Fan, Tao; Lv, Siting; Shi, Mingli] Xidian Univ, State Key Lab Integrated Serv Networks, Xian 710071, Shaanxi, Peoples R China</t>
  </si>
  <si>
    <t>Xidian University</t>
  </si>
  <si>
    <t>Multimodal Fusion Assisted Mmwave Beam Training in Dual-Model Networks</t>
  </si>
  <si>
    <t>IEEE TRANSACTIONS ON VEHICULAR TECHNOLOGY</t>
  </si>
  <si>
    <t>Millimeter wave communication; Training; Antenna arrays; Extrapolation; Deep learning; Tracking; Interference; Beam training; feature fusion; LSTM; self-attention mechanism; mmWave communications</t>
  </si>
  <si>
    <t>WAVE MASSIVE MIMO; MILLIMETER-WAVE; CELLULAR NETWORKS; TRACKING; INTERFERENCE; ALLOCATION; SYSTEMS; DESIGN; PREDICTION; ALIGNMENT</t>
  </si>
  <si>
    <t>fan, tao/C-3719-2008</t>
  </si>
  <si>
    <t>Liu, Jiawen/0000-0001-5666-1922</t>
  </si>
  <si>
    <t>0018-9545</t>
  </si>
  <si>
    <t>1939-9359</t>
  </si>
  <si>
    <t>IEEE T VEH TECHNOL</t>
  </si>
  <si>
    <t>IEEE Trans. Veh. Technol.</t>
  </si>
  <si>
    <t>JAN 2024</t>
  </si>
  <si>
    <t>995</t>
  </si>
  <si>
    <t>1011</t>
  </si>
  <si>
    <t>10.1109/TVT.2023.3308093</t>
  </si>
  <si>
    <t>http://dx.doi.org/10.1109/TVT.2023.3308093</t>
  </si>
  <si>
    <t>Engineering, Electrical &amp; Electronic; Telecommunications; Transportation Science &amp; Technology</t>
  </si>
  <si>
    <t>Engineering; Telecommunications; Transportation</t>
  </si>
  <si>
    <t>IM7R3</t>
  </si>
  <si>
    <t>WOS:001166813500057</t>
  </si>
  <si>
    <t>Li, SS; Zhou, Q</t>
  </si>
  <si>
    <t>Accurate grade prediction is vital in intelligent education for progress evaluation and data-driven decisions. However, the performance of existing methods is limited by inadequate integration of multi-source data and insufficient temporal modeling. To address these issues, this paper proposes the social network-enhanced multimodal feature fusion model. It integrates an attention mechanism into long short-term memory to dynamically weight semester performance data and enhance temporal feature extraction, while constructing a student social network through consumption behavior similarity and applying a graph attention network to effectively capture social relationships. A cross-modal dynamic fusion module is then used to capture interactions between local and global features, enabling comprehensive feature integration. Experiments demonstrate that the social network-enhanced multimodal feature fusion model outperforms the baseline model across all metrics, validating its effectiveness in multimodal fusion and social context utilization. The code and datasets are publicly available at https://github.com/ Snow174995/ SNE-MFF/tree/main.</t>
  </si>
  <si>
    <t>Li, Sishi; Zhou, Qi</t>
  </si>
  <si>
    <t>Li, SS (corresponding author), Guangdong Open Univ, GuangDong Polytech Inst, Sch Social Work, Guangzhou, Peoples R China.</t>
  </si>
  <si>
    <t>15521013281@163.com</t>
  </si>
  <si>
    <t>[Li, Sishi] Guangdong Open Univ, GuangDong Polytech Inst, Sch Social Work, Guangzhou, Peoples R China; [Zhou, Qi] Guangdong Open Univ, GuangDong Polytech Inst, Sch Artificial Intelligence, Guangzhou, Peoples R China</t>
  </si>
  <si>
    <t>A Social-Aware Multimodal Fusion Framework With Graph and Temporal Attention for Grade Prediction</t>
  </si>
  <si>
    <t>INTERNATIONAL JOURNAL OF INFORMATION TECHNOLOGIES AND SYSTEMS APPROACH</t>
  </si>
  <si>
    <t>Intelligent Education; Grade Prediction; Consumption Behavior Similarity; Social Network; Cross-Modal Dynamic Fusion</t>
  </si>
  <si>
    <t>LEARNING-PERFORMANCE PREDICTION</t>
  </si>
  <si>
    <t>IGI GLOBAL</t>
  </si>
  <si>
    <t>HERSHEY</t>
  </si>
  <si>
    <t>701 E CHOCOLATE AVE, STE 200, HERSHEY, PA 17033-1240 USA</t>
  </si>
  <si>
    <t>1935-570X</t>
  </si>
  <si>
    <t>1935-5718</t>
  </si>
  <si>
    <t>INT J INF TECHNOL SY</t>
  </si>
  <si>
    <t>Int. J. Inf. Technol. Syst. Approach</t>
  </si>
  <si>
    <t>393876</t>
  </si>
  <si>
    <t>10.4018/IJITSA.393876</t>
  </si>
  <si>
    <t>http://dx.doi.org/10.4018/IJITSA.393876</t>
  </si>
  <si>
    <t>CK7OF</t>
  </si>
  <si>
    <t>WOS:001668116000001</t>
  </si>
  <si>
    <t>Bu, TX; Ma, TH; Zhu, JQ; Ma, T; Huang, XM</t>
  </si>
  <si>
    <t>Accurate estimation of road visibility is critical for transportation safety and environmental monitoring. Traditional processing methods relying on single-modal information often fail to adapt effectively to dynamic and diverse environmental conditions. In this paper, we present a Multimodal Spatial-Temporal Fusion Network (MSTF-Net), which achieves robust visibility estimation by integrating time-series images and meteorological data. MSTF-Net is composed of a spatial feature extraction module, spatial-temporal feature fusion module, and multimodal feature fusion module. Using a self-conducted multimodal data set comprising 14,625 samples, each with 10 sequential images and nine types of meteorological data, we perform extensive comparative and ablation experiments. Experimental results demonstrated that MSTF-Net significantly improves prediction accuracy, achieving a low root-mean squared error (RMSE) of 0.0466 and a high R2 of 0.9221, thereby outperforming state-of-the-art methods. Our work highlights the effect of multimodal data fusion and advanced deep learning architectures in overcoming the limitations of visibility estimation for diverse environments, paving the way for more reliable and comprehensive environmental assessment tools.</t>
  </si>
  <si>
    <t>Bu, Tianxiang; Ma, Tianhao; Zhu, Junqing; Ma, Tao; Huang, Xiaoming</t>
  </si>
  <si>
    <t>Zhu, JQ (corresponding author), Southeast Univ, Sch Transportat, Nanjing 211189, Peoples R China.</t>
  </si>
  <si>
    <t>zhujq@seu.edu.cn</t>
  </si>
  <si>
    <t>National Natural Science Foundation of China [52208428]</t>
  </si>
  <si>
    <t>This work was supported in part by the National Natural Science Foundation of China under Grant No. 52208428.</t>
  </si>
  <si>
    <t>[Bu, Tianxiang; Ma, Tianhao; Zhu, Junqing; Ma, Tao; Huang, Xiaoming] Southeast Univ, Sch Transportat, Nanjing 211189, Peoples R China</t>
  </si>
  <si>
    <t>Southeast University - China</t>
  </si>
  <si>
    <t>Road Visibility Estimation Based on Multimodal Fusion of Time-Series Images and Meteorological Data</t>
  </si>
  <si>
    <t>JOURNAL OF COMPUTING IN CIVIL ENGINEERING</t>
  </si>
  <si>
    <t>Zhu, Junqing/AAD-4957-2019; Huang, Xiaoming/AAB-5658-2020; Bu, Tianxiang/ABD-4074-2022</t>
  </si>
  <si>
    <t>Zhu, Junqing/0000-0003-4134-4064; Bu, Tianxiang/0009-0009-8053-5411</t>
  </si>
  <si>
    <t>ASCE-AMER SOC CIVIL ENGINEERS</t>
  </si>
  <si>
    <t>RESTON</t>
  </si>
  <si>
    <t>1801 ALEXANDER BELL DR, RESTON, VA 20191-4400 USA</t>
  </si>
  <si>
    <t>0887-3801</t>
  </si>
  <si>
    <t>1943-5487</t>
  </si>
  <si>
    <t>J COMPUT CIVIL ENG</t>
  </si>
  <si>
    <t>J. Comput. Civil. Eng.</t>
  </si>
  <si>
    <t>JAN 1 2026</t>
  </si>
  <si>
    <t>04025124</t>
  </si>
  <si>
    <t>10.1061/JCCEE5.CPENG-7075</t>
  </si>
  <si>
    <t>http://dx.doi.org/10.1061/JCCEE5.CPENG-7075</t>
  </si>
  <si>
    <t>Computer Science, Interdisciplinary Applications; Engineering, Civil</t>
  </si>
  <si>
    <t>9YJ2C</t>
  </si>
  <si>
    <t>WOS:001617963100011</t>
  </si>
  <si>
    <t>Li, H; Liu, X; Jia, H; Ahanger, TA; Xu, LW; Alzamil, Z; Li, XW</t>
  </si>
  <si>
    <t>The intelligent processing of visual perception information is one of the core technologies of smart cities. Deep learning-based 3D multi-object tracking is important in improving the intelligence and safety of robots in smart cities. However, 3D multi-object tracking still faces many challenges due to the complexity of the environment and uncertainty of the object. In this paper, we make the most of the multimodal information of image and point cloud and propose a multimodal adaptive feature gating fusion module to improve the feature fusion effect. In the object association stage, we designed an orientation-position-aware affinity matrix (EO-IoU) by using Euclidean distance, orientation similarity, and intersection over union, which is more suitable for the association to solve the problem of association failure when there is little or no overlap between the detection box and the prediction box. At the same time, we adopt a more robust two-stage data association method to solve the trajectory fragmentation and identity switching caused by discarding low-scoring detection boxes. The results of extensive experiments on the KITTI and NuScenes benchmark datasets demonstrate that our method outperforms existing state-of-the-art methods with better robustness and accuracy.</t>
  </si>
  <si>
    <t>Li, Hui; Liu, Xiang; Jia, Hong; Ahanger, Tariq Ahamed; Xu, Lingwei; Alzamil, Zamil; Li, Xingwang</t>
  </si>
  <si>
    <t>Xu, LW (corresponding author), Qingdao Univ Sci &amp; Technol, Sch Informat Sci &amp; Technol, Qingdao, Peoples R China.; Xu, LW (corresponding author), Minist Educ, Engn Res Ctr Integrat &amp; Applicat Digital Learning, Beijing, Peoples R China.; Xu, LW (corresponding author), Xiamen Univ, Sch Informat, Fujian Key Lab Sensing &amp; Comp Smart Cities, Xiamen, Peoples R China.; Li, XW (corresponding author), Henan Polytech Univ, Sch Phys &amp; Elect Informat Engn, Jiaozuo, Peoples R China.</t>
  </si>
  <si>
    <t>xulw@qust.edu.cn; lixingwangbupt@gmail.com</t>
  </si>
  <si>
    <t>National Natural Science Foundation of China [61702295]; Innovation Foundation of Engineering Research Center of Integration and Application of Digital Learning Technology, Ministry of Education [1321012]; Opening Foundation of Fujian Key Laboratory of Sensing and Computing for Smart Cities, Xiamen University [SCSCKF202101]; Shandong Province Natural Science Foundation [ZR2020QF003]</t>
  </si>
  <si>
    <t>National Natural Science Foundation of China (National Natural Science Foundation of China (NSFC)); Innovation Foundation of Engineering Research Center of Integration and Application of Digital Learning Technology, Ministry of Education; Opening Foundation of Fujian Key Laboratory of Sensing and Computing for Smart Cities, Xiamen University; Shandong Province Natural Science Foundation (Natural Science Foundation of Shandong Province)</t>
  </si>
  <si>
    <t>Funding This research was funded by the National Natural Science Foundation of China (No. 61702295) , Innovation Foundation of Engineering Research Center of Integration and Application of Digital Learning Technology, Ministry of Education (No.1321012) , Opening Foundation of Fujian Key Laboratory of Sensing and Computing for Smart Cities, Xiamen University (No. SCSCKF202101) , and Shandong Province Natural Science Foundation (No. ZR2020QF003) .</t>
  </si>
  <si>
    <t>[Li, Hui; Liu, Xiang; Xu, Lingwei] Qingdao Univ Sci &amp; Technol, Sch Informat Sci &amp; Technol, Qingdao, Peoples R China; [Li, Hui; Xu, Lingwei] Minist Educ, Engn Res Ctr Integrat &amp; Applicat Digital Learning, Beijing, Peoples R China; [Jia, Hong; Xu, Lingwei] Xiamen Univ, Sch Informat, Fujian Key Lab Sensing &amp; Comp Smart Cities, Xiamen, Peoples R China; [Ahanger, Tariq Ahamed] Prince Sattam bin Abdulaziz Univ, Coll Comp Engn &amp; Sci, Alkharj, Saudi Arabia; [Alzamil, Zamil] Majmaah Univ, Coll Comp &amp; Informat Sci, Dept Comp Sci, Al Majmaah, Saudi Arabia; [Li, Xingwang] Henan Polytech Univ, Sch Phys &amp; Elect Informat Engn, Jiaozuo, Peoples R China</t>
  </si>
  <si>
    <t>Qingdao University of Science &amp; Technology; Xiamen University; Prince Sattam Bin Abdulaziz University; Majmaah University; Henan Polytechnic University</t>
  </si>
  <si>
    <t>Deep Learning-Based 3D Multi-Object Tracking Using Multimodal Fusion in Smart Cities</t>
  </si>
  <si>
    <t>HUMAN-CENTRIC COMPUTING AND INFORMATION SCIENCES</t>
  </si>
  <si>
    <t>Smart Cities; Visual Perception; 3D Multi-Object Tracking; Multimodal Feature Fusion; Position Affinity; Matrix; Data Association</t>
  </si>
  <si>
    <t>OBJECT DETECTION; LIDAR</t>
  </si>
  <si>
    <t>Li, Xingwang/Q-8156-2017; Ahanger, Tariq/E-8985-2016; Xu, Lingwei/I-1675-2019; /AAG-2678-2019</t>
  </si>
  <si>
    <t>Liu, Xiang/0009-0004-5755-5143</t>
  </si>
  <si>
    <t>Korea Computer Industry Assoc-KCIA</t>
  </si>
  <si>
    <t>Seoul</t>
  </si>
  <si>
    <t>C29, 7F, 11-9, Teheran-ro 77-gil, Gangnam-gu, Seoul, SOUTH KOREA</t>
  </si>
  <si>
    <t>2192-1962</t>
  </si>
  <si>
    <t>HUM-CENT COMPUT INFO</t>
  </si>
  <si>
    <t>Human-centric Comput. Inf. Sci.</t>
  </si>
  <si>
    <t>AUG 30 2024</t>
  </si>
  <si>
    <t>10.22967/HCIS.2024.14.047</t>
  </si>
  <si>
    <t>http://dx.doi.org/10.22967/HCIS.2024.14.047</t>
  </si>
  <si>
    <t>N2X2D</t>
  </si>
  <si>
    <t>WOS:001363020100001</t>
  </si>
  <si>
    <t>Du, Q; Kuang, XJ; Huang, JC; Liang, JC; Li, DL; Yang, SJ</t>
  </si>
  <si>
    <t>This study proposes a physics-guided multimodal deep learning method for predicting rock brittleness from integrated microstructural and compositional data. The multimodal framework was constructed by integrating scanning electron microscopy (SEM), energy dispersive spectroscopy (EDS), and X-ray diffraction (XRD) data. Vision Transformers were employed for microstructural image analysis, while specialized neural networks were designed for compositional data processing. Feature fusion was achieved through attention-based mechanisms to maintain physical interpretability. The multimodal approach significantly outperformed single-modality methods (R2 = 0.995, RMSE = 0.065, MAE = 0.051). Feature correlation analysis was conducted to identify key determinants, revealing Si/Al ratio, quartz content, and porosity as primary controlling factors. Laboratory validation was performed using three representative rock types (granite, red sandstone, and green sandstone) through uniaxial compression tests. The model predictions showed excellent agreement with experimental brittleness indices, demonstrating superior discrimination capability with expanded dynamic range compared to traditional methods (B1, B2). Fragmentation analysis using mean particle size (dm) provided additional validation, confirming the trend that predicted brittleness increases as post-failure particle size decreases. Granite samples exhibited the highest brittleness (Bpred = 3.62-4.87) and finest fragmentation (dm = 16.8-19.5 mm), while green sandstone showed the lowest brittleness (Bpred = 0.74-0.95) and coarsest fragmentation (dm = 21.3-30.7 mm). The results demonstrate that the proposed multimodal deep learning framework effectively captures the complex relationships between microstructural features and rock brittleness, offering significant potential for accurate brittleness prediction and enhanced understanding of rock failure mechanisms.</t>
  </si>
  <si>
    <t>Du, Qing; Kuang, Xiaoju; Huang, Jiancheng; Liang, Jincheng; Li, Danli; Yang, Shijiao</t>
  </si>
  <si>
    <t>Yang, SJ (corresponding author), Univ South China, Sch Resources Environm &amp; Safety Engn, Hengyang 421001, Peoples R China.</t>
  </si>
  <si>
    <t>15598002230@163.com</t>
  </si>
  <si>
    <t>[Du, Qing; Huang, Jiancheng; Liang, Jincheng; Yang, Shijiao] Univ South China, Sch Resources Environm &amp; Safety Engn, Hengyang 421001, Peoples R China; [Kuang, Xiaoju] Jiangnan Univ, Coll Text Sci &amp; Engn, Wuxi 214122, Peoples R China; [Li, Danli] Sichuan Univ, Coll Water Resource &amp; Hydropower, Chengdu 610065, Peoples R China</t>
  </si>
  <si>
    <t>University of South China; Jiangnan University; Sichuan University</t>
  </si>
  <si>
    <t>Physics-guided multimodal deep learning reveals determinants of rock brittleness across scales</t>
  </si>
  <si>
    <t>INTERNATIONAL JOURNAL OF ROCK MECHANICS AND MINING SCIENCES</t>
  </si>
  <si>
    <t>Rock brittleness; Multimodal data fusion; Vision transformer; Physical mechanism; Multiscale characterization</t>
  </si>
  <si>
    <t>SHALE; DISCOVERY; STRENGTH; BASIN</t>
  </si>
  <si>
    <t>Li, Danli/HKO-0235-2023</t>
  </si>
  <si>
    <t>Yang, Shijiao/0009-0004-0944-211X</t>
  </si>
  <si>
    <t>1365-1609</t>
  </si>
  <si>
    <t>1873-4545</t>
  </si>
  <si>
    <t>INT J ROCK MECH MIN</t>
  </si>
  <si>
    <t>Int. J. Rock Mech. Min. Sci.</t>
  </si>
  <si>
    <t>106225</t>
  </si>
  <si>
    <t>10.1016/j.ijrmms.2025.106225</t>
  </si>
  <si>
    <t>http://dx.doi.org/10.1016/j.ijrmms.2025.106225</t>
  </si>
  <si>
    <t>Engineering, Geological; Mining &amp; Mineral Processing</t>
  </si>
  <si>
    <t>Engineering; Mining &amp; Mineral Processing</t>
  </si>
  <si>
    <t>5VV3V</t>
  </si>
  <si>
    <t>WOS:001545545500002</t>
  </si>
  <si>
    <t>Koyner, JL; Martin, J; Carey, KA; Caskey, J; Edelson, DP; Mayampurath, A; Dligach, D; Afshar, M; Churpek, MM</t>
  </si>
  <si>
    <t>Background Prior models for the early identification of AKI have used structured data (e.g., vital signs and laboratory values). We aimed to develop and validate a deep learning model to predict moderate to severe AKI by combining structured data and information from unstructured notes. Methods Adults (18 years or older) admitted to the University of Wisconsin (2009-2020) and the University of Chicago Medicine (2016-2022) were eligible for inclusion. Patients were excluded if they had no documented serum creatinine (SCr), ESKD, an admission SCr &gt;= 3.0 mg/dl, developed &gt;= stage 2 AKI before reaching the wards or intensive care unit, or required dialysis (KRT) within the first 48 hours. Text from unstructured notes was mapped to standardized concept unique identifiers to create predictor variables, and structured data variables were also included. An intermediate fusion deep learning recurrent neural network architecture was used to predict &gt;= stage 2 AKI within the next 48 hours. This multimodal model was developed in the first 80% of the data and temporally validated in the next 20%. Results There were 339,998 admissions in the derivation cohort and 84,581 in the validation cohort, with 12,748 (3%) developing &gt;= stage 2 AKI. Patients with &gt;= stage 2 AKI were older, more likely to be male, had higher baseline SCr, and were more commonly in the intensive care unit (P &lt; 0.001 for all). The multimodal model outperformed a model based only on structured data for all outcomes, with an area under the receiver operating characteristic curve (95% confidence interval) of 0.88 (0.88 to 0.88) for predicting &gt;= stage 2 AKI and 0.93 (0.93 to 0.94) for receiving KRT. The area under the precision-recall-curve for &gt;= stage 2 AKI was 0.20. The results were similar during external validation. Conclusions We developed and validated a multimodal deep learning model using structured and unstructured data that predicts the development of severe AKI across the hospital stay for earlier intervention.</t>
  </si>
  <si>
    <t>Koyner, Jay L.; Martin, Jennie; Carey, Kyle A.; Caskey, John; Edelson, Dana P.; Mayampurath, Anoop; Dligach, Dmitriy; Afshar, Majid; Churpek, Matthew M.</t>
  </si>
  <si>
    <t>Koyner, JL (corresponding author), Univ Chicago, Dept Med, Chicago, IL 60637 USA.</t>
  </si>
  <si>
    <t>jkoyner@bsd.uchicago.edu</t>
  </si>
  <si>
    <t>National Institute of Diabetes and Digestive and Kidney Diseases</t>
  </si>
  <si>
    <t>National Institute of Diabetes and Digestive and Kidney Diseases (United States Department of Health &amp; Human Services, National Institutes of Health (NIH) - USA, NIH National Institute of Diabetes &amp; Digestive &amp; Kidney Diseases (NIDDK))</t>
  </si>
  <si>
    <t>The authors thank Madeline Oguss for her administrative support. Additionally, we are grateful to Graham Willis and Micheal Chao of UW and Soma Choudhary and John Moses of the University of Chicago for their technical assistance on this project and the clinical implementation of this risk score.</t>
  </si>
  <si>
    <t>[Koyner, Jay L.; Carey, Kyle A.; Edelson, Dana P.] Univ Chicago, Dept Med, Chicago, IL 60637 USA; [Martin, Jennie; Caskey, John; Mayampurath, Anoop; Afshar, Majid; Churpek, Matthew M.] Univ Wisconsin Madison, Dept Med, Madison, WI USA; [Mayampurath, Anoop; Afshar, Majid; Churpek, Matthew M.] Univ Wisconsin Madison, Dept Biostat &amp; Med Informat, Madison, WI USA; [Dligach, Dmitriy] Loyola Univ Chicago, Dept Comp Sci, Chicago, IL USA</t>
  </si>
  <si>
    <t>University of Chicago; University of Wisconsin System; University of Wisconsin Madison; University of Wisconsin System; University of Wisconsin Madison; Loyola University Chicago</t>
  </si>
  <si>
    <t>Multicenter Development and Validation of a Multimodal Deep Learning Model to Predict Moderate to Severe AKI</t>
  </si>
  <si>
    <t>CLINICAL JOURNAL OF THE AMERICAN SOCIETY OF NEPHROLOGY</t>
  </si>
  <si>
    <t>acute kidney failure; AKI; clinical nephrology; dialysis; kidney failure; mortality risk; renal replacement therapy; risk factors; AKI and critical care; biomarkers</t>
  </si>
  <si>
    <t>ACUTE KIDNEY INJURY; SERUM CREATININE; MORTALITY; SYSTEM; RISK</t>
  </si>
  <si>
    <t>Afshar, Majid/AAD-8365-2019</t>
  </si>
  <si>
    <t>Afshar, Majid/0000-0002-6368-4652; Churpek, Matthew/0000-0002-4030-5250; Caskey, John/0000-0001-5665-524X; Mayampurath, Anoop/0000-0002-3010-6960; koyner, jay/0000-0001-6873-8712; Martin, Jennie/0009-0004-8488-2887</t>
  </si>
  <si>
    <t>AMER SOC NEPHROLOGY</t>
  </si>
  <si>
    <t>1401 H Street NW, Suite 900, WASHINGTON, DC 20005, UNITED STATES</t>
  </si>
  <si>
    <t>1555-9041</t>
  </si>
  <si>
    <t>1555-905X</t>
  </si>
  <si>
    <t>CLIN J AM SOC NEPHRO</t>
  </si>
  <si>
    <t>Clin. J. Am. Soc. Nephrol.</t>
  </si>
  <si>
    <t>766</t>
  </si>
  <si>
    <t>778</t>
  </si>
  <si>
    <t>10.2215/CJN.0000000695</t>
  </si>
  <si>
    <t>http://dx.doi.org/10.2215/CJN.0000000695</t>
  </si>
  <si>
    <t>Urology &amp; Nephrology</t>
  </si>
  <si>
    <t>3NT4T</t>
  </si>
  <si>
    <t>40232856</t>
  </si>
  <si>
    <t>WOS:001504732600001</t>
  </si>
  <si>
    <t>Fard, RS; Agu, E; Busaranuvong, P; Kumar, D; Gautam, S; Tulu, B; Strong, D</t>
  </si>
  <si>
    <t>Chronic wounds affect 8.5 million Americans, especially the elderly and patients with diabetes. As regular care is critical for proper healing, many patients receive care in their homes from visiting nurses and caregivers with variable wound expertise. Problematic, non-healing wounds should be referred to experts in wound clinics to avoid adverse outcomes such as limb amputations. Unfortunately, due to the lack of wound expertise, referral decisions made in non-clinical settings can be erroneous, delayed or unnecessary. This paper proposes the Deep Multimodal Wound Assessment Tool (DM-WAT), a novel machine learning framework to support visiting nurses by recommending wound referral decisions from smartphone-captured wound images and associated clinical notes. DM-WAT extracts visual features from wound images using DeiT-Base-Distilled, a Vision Transformer (ViT) architecture. Distillation-based training facilitates representation learning and knowledge transfer from a larger teacher model to DeiT-Base, enabling robust performance on our small wound image dataset of 205 wound images. DM-WAT extracts text features from clinical notes using DeBERTa-base, which comprehends context by disentangling content and position information from clinical notes. Visual and text features are combined using an intermediate fusion approach. To overcome the challenges posed by a small and imbalanced dataset, DM-WAT integrates image and text augmentation along with transfer learning via pre-trained feature extractors to achieve high performance. In rigorous evaluation, DM-WAT achieved an accuracy of 77% +/- 3% and an F1 score of 70% +/- 2%, outperforming the prior state of the art and all baseline single-modality and multimodal approaches. Additionally, to interpret DM-WAT's recommendations, the Score-CAM and Captum interpretation algorithms provided insights into the specific parts of the image and text inputs that the model focused on during decision-making.</t>
  </si>
  <si>
    <t>Fard, Reza Saadati; Agu, Emmanuel; Busaranuvong, Palawat; Kumar, Deepak; Gautam, Shefalika; Tulu, Bengisu; Strong, Diane</t>
  </si>
  <si>
    <t>Fard, RS (corresponding author), Worcester Polytech Inst, Dept Comp Sci, Worcester, MA 01609 USA.</t>
  </si>
  <si>
    <t>rsaadatifard@wpi.edu</t>
  </si>
  <si>
    <t>Academic and Research Computing Group; Worcester Polytechnic Institute</t>
  </si>
  <si>
    <t>This research was performed using computational resources supported by the Academic and Research Computing Group, Worcester Polytechnic Institute.</t>
  </si>
  <si>
    <t>[Fard, Reza Saadati; Agu, Emmanuel; Kumar, Deepak] Worcester Polytech Inst, Dept Comp Sci, Worcester, MA 01609 USA; [Busaranuvong, Palawat; Gautam, Shefalika] Worcester Polytech Inst, Dept Data Sci, Worcester, MA 01609 USA; [Tulu, Bengisu; Strong, Diane] Worcester Polytech Inst, Business Sch, Worcester, MA 01609 USA</t>
  </si>
  <si>
    <t>Worcester Polytechnic Institute; Worcester Polytechnic Institute; Worcester Polytechnic Institute</t>
  </si>
  <si>
    <t>Multimodal AI for Home Wound Patient Referral Decisions From Images With Specialist Annotations</t>
  </si>
  <si>
    <t>IEEE JOURNAL OF TRANSLATIONAL ENGINEERING IN HEALTH AND MEDICINE</t>
  </si>
  <si>
    <t>Chronic wounds; wound care patient referral; machine learning</t>
  </si>
  <si>
    <t>COMPENDIUM; BURDEN</t>
  </si>
  <si>
    <t>Saadati Fard, Reza/0009-0005-9065-3084</t>
  </si>
  <si>
    <t>2168-2372</t>
  </si>
  <si>
    <t>IEEE J TRANSL ENG HE</t>
  </si>
  <si>
    <t>IEEE J. Transl. Eng. Health Med.-JTEHM</t>
  </si>
  <si>
    <t>341</t>
  </si>
  <si>
    <t>353</t>
  </si>
  <si>
    <t>10.1109/JTEHM.2025.3588427</t>
  </si>
  <si>
    <t>http://dx.doi.org/10.1109/JTEHM.2025.3588427</t>
  </si>
  <si>
    <t>FG7QM</t>
  </si>
  <si>
    <t>40740838</t>
  </si>
  <si>
    <t>WOS:001718370200001</t>
  </si>
  <si>
    <t>Tang, J; Yin, X; Lai, JY; Luo, KY; Wu, DD</t>
  </si>
  <si>
    <t>Background: Osteoporosis is a bone disease characterized by reduced bone mineral density and mass, which increase the risk of fragility fractures in patients. Artificial intelligence can mine imaging features specific to different bone densities, shapes, and structures and fuse other multimodal features for synergistic diagnosis to improve prediction accuracy. Objective: This study aims to develop a multimodal model that fuses chest X-rays and clinical parameters for opportunistic screening of osteoporosis and to compare and analyze the experimental results with existing methods. Methods: We used multimodal data, including chest X-ray images and clinical data, from a total of 1780 patients at Chongqing Daping Hospital from January 2019 to August 2024. We adopted a probability fusion strategy to construct a multimodal model. In our model, we used a convolutional neural network as the backbone network for image processing and fine-tuned it using a transfer learning technique to suit the specific task of this study. In addition, we introduced a gradient-based wavelet feature extraction method. We combined it with an attention mechanism to assist in feature fusion, which enhanced the model's focus on key regions of the image and further improved its ability to extract image features. Results: The multimodal model proposed in this paper outperforms the traditional methods in the 4 evaluation metrics of area under the curve value, accuracy, sensitivity, and specificity. Compared with using only the X-ray image model, the multimodal model improved the area under the curve value significantly from 0.951 to 0.975 (P=.004), the accuracy from 89.32% to 92.36% (P=.045), the sensitivity from 89.82% to 91.23% (P=.03), and the specificity from 88.64% to 93.92% (P=.008). Conclusions: While the multimodal model that fuses chest X-ray images and clinical data demonstrated superior performance compared to unimodal models and traditional methods, this study has several limitations. The dataset size may not be sufficient to capture the full diversity of the population. The retrospective nature of the study may introduce selection bias, and the lack of external validation limits the generalizability of the findings. Future studies should address these limitations by incorporating larger, more diverse datasets and conducting rigorous external validation to further establish the model's clinical use.</t>
  </si>
  <si>
    <t>Tang, Jun; Yin, Xiang; Lai, Jiangyuan; Luo, Keyu; Wu, Dongdong</t>
  </si>
  <si>
    <t>Wu, DD (corresponding author), Army Med Univ, Daping Hosp, Dept Informat, 10 Daping Changjiang Branch Rd, Chongqing, Peoples R China.</t>
  </si>
  <si>
    <t>604269346@qq.com</t>
  </si>
  <si>
    <t>National Natural Science Foundation of China [72374206]; Artificial Intelligence Medical Research Project of Daping Hospital in Chongqing, China [ZXAIYB015]; Basic Research Project of Daping Hospital in Chongqing, China [ZXJCYJ202414]</t>
  </si>
  <si>
    <t>National Natural Science Foundation of China (National Natural Science Foundation of China (NSFC)); Artificial Intelligence Medical Research Project of Daping Hospital in Chongqing, China; Basic Research Project of Daping Hospital in Chongqing, China</t>
  </si>
  <si>
    <t>This work was supported by the National Natural Science Foundation of China (72374206) ; the Artificial Intelligence Medical Research Project of Daping Hospital in Chongqing, China (ZXAIYB015) ; and the Basic Research Project of Daping Hospital in Chongqing, China (ZXJCYJ202414) .</t>
  </si>
  <si>
    <t>[Tang, Jun; Wu, Dongdong] Army Med Univ, Daping Hosp, Dept Informat, 10 Daping Changjiang Branch Rd, Chongqing, Peoples R China; [Yin, Xiang; Luo, Keyu] Army Med Univ, Daping Hosp, Dept Orthoped, Chongqing, Peoples R China; [Lai, Jiangyuan] Army Med Univ, Sch Basic Med, Dept Traumat Surg, Chongqing, Peoples R China</t>
  </si>
  <si>
    <t>Army Medical University; Army Medical University; Army Medical University</t>
  </si>
  <si>
    <t>Fusion of X-Ray Images and Clinical Data for a Multimodal Deep Learning Prediction Model of Osteoporosis: Algorithm Development and Validation Study</t>
  </si>
  <si>
    <t>JMIR MEDICAL INFORMATICS</t>
  </si>
  <si>
    <t>osteoporosis; chest X-ray; convolutional neural network; multimodal; attention mechanism; wavelet transform; soft attention</t>
  </si>
  <si>
    <t>Wu, Dongdong/QOA-9280-2026</t>
  </si>
  <si>
    <t>lai, jiangyuan/0009-0009-0157-7657; Wu, Dongdong/0000-0001-7826-5963</t>
  </si>
  <si>
    <t>2291-9694</t>
  </si>
  <si>
    <t>JMIR MED INF</t>
  </si>
  <si>
    <t>JMIR Med. Inf.</t>
  </si>
  <si>
    <t>e70738</t>
  </si>
  <si>
    <t>10.2196/70738</t>
  </si>
  <si>
    <t>http://dx.doi.org/10.2196/70738</t>
  </si>
  <si>
    <t>7TA0V</t>
  </si>
  <si>
    <t>40966528</t>
  </si>
  <si>
    <t>WOS:001578958700001</t>
  </si>
  <si>
    <t>Hu, ZS; Xu, GC; Wang, Y; Qu, GW; Lai, PX; Li, WZ; Yin, JH; Xie, H; Xiao, HW; Li, T; Zhang, M; Tan, QT</t>
  </si>
  <si>
    <t>Accurate and real-time monitoring of oxygen consumption dynamics during exercise is essential for optimizing training intensity, duration, and recovery strategies. However, existing methods often compromise between computational efficiency and predictive accuracy, either by employing large models for feature extraction or by oversimplifying input variables, which limits their applicability to consumer wearable devices requiring realtime and energy-efficient processing. To address these challenges, we propose a novel framework that integrates Multimodal Feature Fusion and Particle Swarm Optimization (PSO) based on wearable device data. The model utilizes Long Short-Term Memory (LSTM) networks to extract temporal features from anthropometric, physiological, and kinematic indicators, while PSO optimizes feature weights to enhance prediction accuracy. The proposed framework therefore presents a 14.3% reduction in root mean squared error and 24% reduction in model size for dynamic oxygen uptake (VO2) prediction and robust performance across various moderate intensity running speeds. This multimodal fusion approach provides an effective and efficient solution for VO2 prediction, facilitating real-time deployment on consumer wearable devices.</t>
  </si>
  <si>
    <t>Hu, Zhengsheng; Xu, Gongcheng; Wang, Yan; Qu, Guanwen; Lai, Puxiang; Li, Wenzhao; Yin, Jiahui; Xie, Hui; Xiao, Huiwen; Li, Tao; Zhang, Ming; Tan, Qitao</t>
  </si>
  <si>
    <t>Zhang, M; Tan, QT (corresponding author), Hong Kong Polytech Univ, Fac Engn, Dept Biomed Engn, Hong Kong 999077, Peoples R China.</t>
  </si>
  <si>
    <t>ming.zhang@polyu.edu.hk; qitao.tan@polyu.edu.hk</t>
  </si>
  <si>
    <t>Research Institute for Sports Science and Technology at The Hong Kong Polytechnic University [P0051374]; National Natural Science Foundation of China [82330061]; Shenzhen Research Fund [JCYJ20230807140414029]</t>
  </si>
  <si>
    <t>Research Institute for Sports Science and Technology at The Hong Kong Polytechnic University; National Natural Science Foundation of China (National Natural Science Foundation of China (NSFC)); Shenzhen Research Fund</t>
  </si>
  <si>
    <t>This work was supported by the Research Institute for Sports Science and Technology at The Hong Kong Polytechnic University [grant num-ber P0051374] ; National Natural Science Foundation of China [grant number 82330061] ; and the Shenzhen Research Fund [grant numbers JCYJ20230807140414029] .</t>
  </si>
  <si>
    <t>[Hu, Zhengsheng; Xu, Gongcheng; Wang, Yan; Qu, Guanwen; Lai, Puxiang; Li, Wenzhao; Yin, Jiahui; Xie, Hui; Xiao, Huiwen; Zhang, Ming; Tan, Qitao] Hong Kong Polytech Univ, Fac Engn, Dept Biomed Engn, Hong Kong 999077, Peoples R China; [Hu, Zhengsheng; Wang, Yan; Lai, Puxiang; Zhang, Ming; Tan, Qitao] Hong Kong Polytech Univ, Res Inst Sports Sci &amp; Technol, Hong Kong 999077, Peoples R China; [Wang, Yan; Zhang, Ming; Tan, Qitao] Hong Kong Polytech Univ, Shenzhen Res Inst, Shenzhen 518057, Peoples R China; [Lai, Puxiang] Hong Kong Polytech Univ, Joint Res Ctr Biosensing &amp; Precis Theranost, Hong Kong 999077, Peoples R China; [Li, Tao] Cent South Univ, Sch Traff &amp; Transportat Engn, Key Lab Traff Safety Track, Minist Educ, Changsha 410075, Peoples R China</t>
  </si>
  <si>
    <t>Hong Kong Polytechnic University; Hong Kong Polytechnic University; Hong Kong Polytechnic University; Hong Kong Polytechnic University; Central South University</t>
  </si>
  <si>
    <t>Multimodal fusion of optimized LSTM for estimating dynamic oxygen uptake based on consumer wearable devices</t>
  </si>
  <si>
    <t>MEASUREMENT</t>
  </si>
  <si>
    <t>Oxygen uptake prediction; Multimodal feature fusion; Long short-term memory; Particle swarm optimization</t>
  </si>
  <si>
    <t>LACTATE THRESHOLD; EXERCISE; REGRESSION</t>
  </si>
  <si>
    <t>TAN, Qitao/ACZ-8261-2022; Xu, Gongcheng/OHR-6826-2025; Lai, Puxiang/P-2311-2015; liu, Wenzhao/W-6265-2018</t>
  </si>
  <si>
    <t>Xu, Gongcheng/0000-0003-3519-2498</t>
  </si>
  <si>
    <t>0263-2241</t>
  </si>
  <si>
    <t>1873-412X</t>
  </si>
  <si>
    <t>Measurement</t>
  </si>
  <si>
    <t>MAR 17 2026</t>
  </si>
  <si>
    <t>265</t>
  </si>
  <si>
    <t>120400</t>
  </si>
  <si>
    <t>10.1016/j.measurement.2026.120400</t>
  </si>
  <si>
    <t>http://dx.doi.org/10.1016/j.measurement.2026.120400</t>
  </si>
  <si>
    <t>Engineering, Multidisciplinary; Instruments &amp; Instrumentation</t>
  </si>
  <si>
    <t>Engineering; Instruments &amp; Instrumentation</t>
  </si>
  <si>
    <t>CO8VW</t>
  </si>
  <si>
    <t>WOS:001670918600001</t>
  </si>
  <si>
    <t>Li, XQ; Liu, G; Yuan, Y; Han, Z</t>
  </si>
  <si>
    <t>Glare evaluation is crucial for indoor daylight organization at early design stage. Due to the high computational costs and the specialized expertise required for simulation tools, machine learning-based prediction techniques are increasingly used. However, the greatest drawback of these techniques in practice is their poor generalizability, as they are limited to trained spatial forms or scenario settings. This study proposes two surrogate models for indoor glare based on multimodal deep learning networks, targeting visual and quantitative metrics, aimed at improving generalizability of surrogate models. A grid-based approach is introduced to uniformly translate diverse spatial combinations and material configurations, along with a semantic mapping-based method for multi-feature fusion. By combining multiple data modalities, the models further extend their applicability to various environmental conditions. Additionally, unimodal Generative Adversarial Network and Convolutional Neural Network were specifically optimized to address the multimodal feature alignment, fusion, and weight balancing. These networks introduced the multimodal feature fusion block and the low-dimensional feature reinforcement mechanism, which deeply integrate information from various modalities and balance the impact of different dimensional features. The models' effectiveness has been validated with RPLAN database, predicting the luminance distribution matrix and DGP. The mGAN achieved an average MAE of 16.907, MAPE of 0.156, and SSIM of 0.851 on the test set. The mCNN attained an average R2 of 0.940 and MPE of 0.391 on the test set. This approach saved 73.03 % in computational time compared to simulation methods, offering strong generalizability, speed, and accuracy, the effectively supporting glare organization in early-stage design decision.</t>
  </si>
  <si>
    <t>Li, Xiaoqian; Liu, Gang; Yuan, Ye; Han, Zhen</t>
  </si>
  <si>
    <t>Han, Z (corresponding author), Tianjin Univ, Sch Architecture, Tianjin 300072, Peoples R China.; Han, Z (corresponding author), Tianjin Univ, Tianjin Int Engn Inst, Tianjin 300072, Peoples R China.; Han, Z (corresponding author), Natl Univ Singapore, Dept Architecture, Singapore 117566, Singapore.</t>
  </si>
  <si>
    <t>zhan@tju.edu.cn</t>
  </si>
  <si>
    <t>National Key Research and Development Program of China [2023YFC3807402]; National University of Singapore IT's Research Computing group</t>
  </si>
  <si>
    <t>National Key Research and Development Program of China (National Key Research &amp; Development Program of China); National University of Singapore IT's Research Computing group</t>
  </si>
  <si>
    <t>This study is supported by the National Key Research and Development Program of China (Grant No. 2023YFC3807402) . We also would like to acknowledge that computational work involved in this research work is partially supported by National University of Singapore IT's Research Computing group.</t>
  </si>
  <si>
    <t>[Li, Xiaoqian; Liu, Gang; Yuan, Ye; Han, Zhen] Tianjin Univ, Sch Architecture, Tianjin 300072, Peoples R China; [Li, Xiaoqian; Liu, Gang; Yuan, Ye; Han, Zhen] Tianjin Univ, Tianjin Int Engn Inst, Tianjin 300072, Peoples R China; [Li, Xiaoqian; Han, Zhen] Natl Univ Singapore, Dept Architecture, Singapore 117566, Singapore</t>
  </si>
  <si>
    <t>Tianjin University; Tianjin University; National University of Singapore</t>
  </si>
  <si>
    <t>Highly generalized surrogate models for indoor glare performance based on multimodal deep learning networks at the early design stage</t>
  </si>
  <si>
    <t>BUILDING AND ENVIRONMENT</t>
  </si>
  <si>
    <t>Glare prediction; Surrogate model; Multimodal model; Generative adversarial network; Convolutional neural network</t>
  </si>
  <si>
    <t>Han, Zhen/LZH-2322-2025</t>
  </si>
  <si>
    <t>Han, Zhen/0000-0002-9547-9063; Li, Xiaoqian/0009-0009-0160-6817</t>
  </si>
  <si>
    <t>0360-1323</t>
  </si>
  <si>
    <t>1873-684X</t>
  </si>
  <si>
    <t>BUILD ENVIRON</t>
  </si>
  <si>
    <t>Build. Environ.</t>
  </si>
  <si>
    <t>APR 1 2025</t>
  </si>
  <si>
    <t>273</t>
  </si>
  <si>
    <t>112706</t>
  </si>
  <si>
    <t>10.1016/j.buildenv.2025.112706</t>
  </si>
  <si>
    <t>http://dx.doi.org/10.1016/j.buildenv.2025.112706</t>
  </si>
  <si>
    <t>Construction &amp; Building Technology; Engineering, Environmental; Engineering, Civil</t>
  </si>
  <si>
    <t>Construction &amp; Building Technology; Engineering</t>
  </si>
  <si>
    <t>X9V5Y</t>
  </si>
  <si>
    <t>WOS:001428734500001</t>
  </si>
  <si>
    <t>Oaphy, MA; Khalid, A; Hu, D; Xu, HH</t>
  </si>
  <si>
    <t>As disaster imagery and social media reports become vital for crisis response, automated assessment systems must address challenges of multimodal integration, privacy-aware learning, and computational efficiency. To address these challenges, we propose TriDA, a privacy-aware and efficiency-conscious multimodal disaster classification framework that fuses image features with text representations through a late-fusion design. A classifier-head DP-SGD stage is used to report training-record-level differential privacy accounting for paired image-text samples under the stated private optimization protocol. To study efficiency-oriented simplification, structured neuron pruning reduces redundant capacity in the classification head while preserving predictive utility. Experiments on the multimodal damage identification dataset show that TriDA maintains strong classification performance, exhibits a controlled privacy-utility trade-off under increasing DP noise, and achieves quantifiable classifier-head parameter and MAC reductions through pruning. These findings position TriDA as a controlled empirical framework for privacy-aware and resource-conscious multimodal disaster assessment.</t>
  </si>
  <si>
    <t>Oaphy, Md Abdullahil; Khalid, Adeel; Hu, Da; Xu, Honghui</t>
  </si>
  <si>
    <t>Xu, HH (corresponding author), Kennesaw State Univ, Coll Comp &amp; Software Engn, Dept Informat Technol, Marietta, GA 30060 USA.</t>
  </si>
  <si>
    <t>hxu10@kennesaw.edu; akhalid2@kennesaw.edu; dhu3@kennesaw.edu; moaphy@students.kennesaw.edu</t>
  </si>
  <si>
    <t>Kennesaw State University (KSU)</t>
  </si>
  <si>
    <t>This research was funded by the Kennesaw State University (KSU) Grand Challenges Seed Grants.</t>
  </si>
  <si>
    <t>[Oaphy, Md Abdullahil; Xu, Honghui] Kennesaw State Univ, Coll Comp &amp; Software Engn, Dept Informat Technol, Marietta, GA 30060 USA; [Khalid, Adeel] Kennesaw State Univ, Southern Polytech Coll Engn &amp; Engn Technol, Dept Ind &amp; Syst Engn, Kennesaw, GA 30144 USA; [Hu, Da] Kennesaw State Univ, Southern Polytech Coll Engn &amp; Engn Technol, Dept Civil &amp; Environm Engn, Marietta, GA 30060 USA</t>
  </si>
  <si>
    <t>Kennesaw State University; University System of Georgia; Kennesaw State University; University System of Georgia; Kennesaw State University; University System of Georgia; Kennesaw State University</t>
  </si>
  <si>
    <t>TriDA: Privacy-Aware and Efficient Multimodal AI for Disaster Assessment</t>
  </si>
  <si>
    <t>disaster assessment; privacy-preserving multimodal AI; efficient AI</t>
  </si>
  <si>
    <t>IDENTIFICATION</t>
  </si>
  <si>
    <t>Hu, Da/HZH-2567-2023</t>
  </si>
  <si>
    <t>JUN 10 2026</t>
  </si>
  <si>
    <t>2064</t>
  </si>
  <si>
    <t>10.3390/math14122064</t>
  </si>
  <si>
    <t>http://dx.doi.org/10.3390/math14122064</t>
  </si>
  <si>
    <t>KB3UR</t>
  </si>
  <si>
    <t>WOS:001802929300001</t>
  </si>
  <si>
    <t>Shadid, M; Afnan, MS; Mustafa, R; Patwary, MJA</t>
  </si>
  <si>
    <t>Early detection of anxiety disorders in a non-intrusive manner is crucial, as these conditions can profoundly impact an individual's health and daily functioning. Traditional approaches relying solely on unimodal data often fall short, potentially introducing bias and inaccuracies. TI-Fusion is a novel late multimodal fusion technique that integrates text and image data for a unified reliable outcome, overcoming limitations in existing methods. The primary advantage of TI-Fusion is its non-intrusive nature, ensuring patient comfort by avoiding invasive methods while still delivering robust diagnostic capabilities. The study utilizes six advanced machine learning algorithms (Gaussian Naive Bayes, XGB Classifier, K-Neighbors, SVM, Decision-Tree, and RandomForest) for data classification, pattern recognition, and predictive accuracy. Concurrently, image data from the KDEF and CK+ datasets was processed through a Convolutional Neural Network (CNN) enhanced with a Real Gabor filter, which is particularly adept at capturing textures, edges, and complex visual patterns necessary for precise image analysis and recognition. By employing a late multimodal fusion approach, TI-Fusion integrates the outcomes of models trained on distinct data modalities, yielding a more comprehensive and accurate prediction than unimodal methods. This technique not only surpasses existing multimodal approaches but also achieves a commendable final accuracy rate of 92.38%, demonstrating its effectiveness in enhancing the early detection of anxiety disorders.</t>
  </si>
  <si>
    <t>Shadid, Mahir; Afnan, Mushfiqus Salehin; Mustafa, Rashed; Patwary, M. Jamshed Alam</t>
  </si>
  <si>
    <t>Shadid, M (corresponding author), Internat Islamic Univ Chittagong, Chittagong, Bangladesh.</t>
  </si>
  <si>
    <t>mahir.shadid@gmail.co; rashed.m@cu.ac.bd; salehinafnan@gmail.co; jamshed@cuet.ac.bd</t>
  </si>
  <si>
    <t>[Shadid, Mahir; Afnan, Mushfiqus Salehin] Internat Islamic Univ Chittagong, Chittagong, Bangladesh; [Mustafa, Rashed] Univers Chittagong, Chittagong, Bangladesh; [Patwary, M. Jamshed Alam] Chittagong Univ Engn &amp; Technol, Chittagong, Bangladesh</t>
  </si>
  <si>
    <t>Chittagong University of Engineering &amp; Technology (CUET)</t>
  </si>
  <si>
    <t>A Novel Multimodal Fusion Algorithm for Non-Intrusive Anxiety Detection</t>
  </si>
  <si>
    <t>JOURNAL OF UNIVERSAL COMPUTER SCIENCE</t>
  </si>
  <si>
    <t>Late Fusion; Anxiety Disorder; Convolutional Neural-Network; GridsearchCV; Feed-forward NN</t>
  </si>
  <si>
    <t>shadid, mahir/NLO-5346-2025; Mustafa, Rashed/AAO-8419-2020</t>
  </si>
  <si>
    <t>shadid, mahir/0000-0001-7317-1714; Patwary, M. Jamshed Alam/0000-0001-5110-4625; , Mushfiqus Salehin Afnan/0009-0009-5291-3366</t>
  </si>
  <si>
    <t>GRAZ UNIV TECHNOLGOY, INST INFORMATION SYSTEMS COMPUTER MEDIA-IICM</t>
  </si>
  <si>
    <t>GRAZ</t>
  </si>
  <si>
    <t>INFFELDGASSE 16C, GRAZ, A-8010, AUSTRIA</t>
  </si>
  <si>
    <t>0948-695X</t>
  </si>
  <si>
    <t>0948-6968</t>
  </si>
  <si>
    <t>J UNIVERS COMPUT SCI</t>
  </si>
  <si>
    <t>J. Univers. Comput. Sci.</t>
  </si>
  <si>
    <t>422</t>
  </si>
  <si>
    <t>10.3897/jucs.127703</t>
  </si>
  <si>
    <t>http://dx.doi.org/10.3897/jucs.127703</t>
  </si>
  <si>
    <t>1AT9P</t>
  </si>
  <si>
    <t>WOS:001460585800006</t>
  </si>
  <si>
    <t>Cui, DK; Meng, Y; Liu, JL; Li, LR; Zheng, YF; Yu, RX; Xia, YF; Hou, SJ; Wang, Q</t>
  </si>
  <si>
    <t>Introduction Sub-health is an intermediate state between health and disease. Early diagnosis in clinical practice is difficult, which delays timely intervention. Traditional Chinese Medicine (TCM) constitution theory divides sub-health into eight categories; however, existing diagnostic tools mainly focus on psychological assessment and lack objective phenotypic indicators. Multimodal technology provides a new direction for the objective diagnosis of sub-health by integrating objective human phenotypic images with expert experience.Methods Tongue images, facial images, and infrared thermal images were collected from 1389 participants. In the pre-experiment, Model-1 consisted of a ResNet-18 network, an extended binary classification strategy, and a cross-attention fusion mechanism. Model-2 was developed based on Model-1 by integrating expert experience via Qwen2.5 using structural prompting. Accuracy, recall, precision, specificity, and AUC were used to evaluate model performance.Results The overall performance of Model-1 was good, with most core indicators of body constitution exceeding 0.7. However, PDC (accuracy 0.722, AUC 0.682) and QDC (accuracy 0.732, AUC 0.705) showed relatively poor performance, characterized by high recall but low specificity. The core indicators of Model-2 improved further. Notably, PDC (accuracy 0.772, AUC 0.732) and QDC (accuracy 0.778, AUC 0.756) were significantly improved, and the imbalance between recall and specificity was also alleviated.Discussion Multimodal fusion is critical for improving classification performance in TCM constitution recognition. The reasonable integration of clinical expert experience effectively optimizes feature fusion efficacy, highlighting the indispensable value of empirical expertise. Rooted in the empirical characteristics of TCM, embedding expert knowledge into the data-driven framework further enhances the robustness and credibility of the screening model.Conclusion This study established an expert experience-enhanced multimodal model for sub-health and TCM constitution identification. The model achieves objective quantification and accurate classification of sub-health states, providing a valuable technical reference for population health management and early sub-health risk screening.</t>
  </si>
  <si>
    <t>Cui, Diankun; Meng, Yue; Liu, Jinlian; Li, Lingru; Zheng, Yanfei; Yu, Ruoxi; Xia, Yifan; Hou, Shujuan; Wang, Qi</t>
  </si>
  <si>
    <t>Hou, SJ; Wang, Q (corresponding author), Beijing Univ Chinese Med, Natl Inst TCM Constitut &amp; Prevent Med, Beijing 100029, Peoples R China.</t>
  </si>
  <si>
    <t>housj2009@163.com; wangqi710@126.com</t>
  </si>
  <si>
    <t>National Natural Science Foundation of China Youth Science Fund Project [82004260]; High Level Key Discipline of National Administration of Traditional Chinese Medicine - Traditional Chinese constitutional medicine; National Administration of Traditional Chinese Medicine Foundation of TCM Constitution Identification Key Laboratory [2024-JYB-KYPT-13]</t>
  </si>
  <si>
    <t>National Natural Science Foundation of China Youth Science Fund Project; High Level Key Discipline of National Administration of Traditional Chinese Medicine - Traditional Chinese constitutional medicine; National Administration of Traditional Chinese Medicine Foundation of TCM Constitution Identification Key Laboratory</t>
  </si>
  <si>
    <t>The study was funded by: National Natural Science Foundation of China Youth Science Fund Project (Grant Number: 82004260), High Level Key Discipline of National Administration of Traditional Chinese Medicine - Traditional Chinese constitutional medicine (No.ZYYZDXK-2023251), National Administration of Traditional Chinese Medicine Foundation of TCM Constitution Identification Key Laboratory (2024-JYB-KYPT-13).</t>
  </si>
  <si>
    <t>[Cui, Diankun] Beijing Univ Chinese Med, Sch Tradit Chinese Med, Beijing 100029, Peoples R China; [Meng, Yue] Beijing Univ Chinese Med, Dongzhimen Hosp, Beijing 100029, Peoples R China; [Liu, Jinlian] Inner Mongolia Med Univ, Coll Tradit Chinese Med, Hohhot 010110, Peoples R China; [Li, Lingru; Zheng, Yanfei; Yu, Ruoxi; Xia, Yifan; Hou, Shujuan; Wang, Qi] Beijing Univ Chinese Med, Natl Inst TCM Constitut &amp; Prevent Med, Beijing 100029, Peoples R China</t>
  </si>
  <si>
    <t>Beijing University of Chinese Medicine; Beijing University of Chinese Medicine; Inner Mongolia Medical University; Beijing University of Chinese Medicine</t>
  </si>
  <si>
    <t>A Multimodal Deep Learning Model for Objective Identification of Sub-health Status in Traditional Chinese Medicine</t>
  </si>
  <si>
    <t>COMBINATORIAL CHEMISTRY &amp; HIGH THROUGHPUT SCREENING</t>
  </si>
  <si>
    <t>Sub-health status; body constitution; tongue features; facial features; infrared thermal features; deep learning; traditional chinese medicine; multimodal fusion</t>
  </si>
  <si>
    <t>CONSTITUTION; TONGUE</t>
  </si>
  <si>
    <t>/ABF-3023-2020</t>
  </si>
  <si>
    <t>BENTHAM SCIENCE PUBL LTD</t>
  </si>
  <si>
    <t>SHARJAH</t>
  </si>
  <si>
    <t>EXECUTIVE STE Y-2, PO BOX 7917, SAIF ZONE, 1200 BR SHARJAH, U ARAB EMIRATES</t>
  </si>
  <si>
    <t>1386-2073</t>
  </si>
  <si>
    <t>1875-5402</t>
  </si>
  <si>
    <t>COMB CHEM HIGH T SCR</t>
  </si>
  <si>
    <t>Comb. Chem. High Throughput Screen</t>
  </si>
  <si>
    <t>10.2174/0113862073484389260528213445</t>
  </si>
  <si>
    <t>http://dx.doi.org/10.2174/0113862073484389260528213445</t>
  </si>
  <si>
    <t>Biochemical Research Methods; Chemistry, Applied; Pharmacology &amp; Pharmacy</t>
  </si>
  <si>
    <t>Biochemistry &amp; Molecular Biology; Chemistry; Pharmacology &amp; Pharmacy</t>
  </si>
  <si>
    <t>JR2RC</t>
  </si>
  <si>
    <t>42253198</t>
  </si>
  <si>
    <t>WOS:001796074900001</t>
  </si>
  <si>
    <t>Gomaa, A; Huang, YX; Hagag, A; Schmitter, C; Höfler, D; Weissmann, T; Breininger, K; Schmidt, M; Stritzelberger, J; Delev, D; Coras, R; Dörfler, A; Schnell, O; Frey, B; Gaipl, US; Semrau, S; Bert, C; Hau, P; Fietkau, R; Putz, F</t>
  </si>
  <si>
    <t>Background This research aims to improve glioblastoma survival prediction by integrating MR images, clinical, and molecular-pathologic data in a transformer-based deep learning model, addressing data heterogeneity and performance generalizability.Methods We propose and evaluate a transformer-based nonlinear and nonproportional survival prediction model. The model employs self-supervised learning techniques to effectively encode the high-dimensional MRI input for integration with nonimaging data using cross-attention. To demonstrate model generalizability, the model is assessed with the time-dependent concordance index (Cdt) in 2 training setups using 3 independent public test sets: UPenn-GBM, UCSF-PDGM, and Rio Hortega University Hospital (RHUH)-GBM, each comprising 378, 366, and 36 cases, respectively.Results The proposed transformer model achieved a promising performance for imaging as well as nonimaging data, effectively integrating both modalities for enhanced performance (UCSF-PDGM test-set, imaging Cdt 0.578, multimodal Cdt 0.672) while outperforming state-of-the-art late-fusion 3D-CNN-based models. Consistent performance was observed across the 3 independent multicenter test sets with Cdt values of 0.707 (UPenn-GBM, internal test set), 0.672 (UCSF-PDGM, first external test set), and 0.618 (RHUH-GBM, second external test set). The model achieved significant discrimination between patients with favorable and unfavorable survival for all 3 datasets (log-rank P 1.9 x 10-8, 9.7 x 10-3, and 1.2 x 10-2). Comparable results were obtained in the second setup using UCSF-PDGM for training/internal testing and UPenn-GBM and RHUH-GBM for external testing (Cdt 0.670, 0.638, and 0.621).Conclusions The proposed transformer-based survival prediction model integrates complementary information from diverse input modalities, contributing to improved glioblastoma survival prediction compared to state-of-the-art methods. Consistent performance was observed across institutions supporting model generalizability.Glioblastoma is a common and very aggressive type of brain cancer. Predicting how long a patient with glioblastoma will live is challenging. Traditional statistical models usually rely on a single type of information and make assumptions that do not always match real-life scenarios. In this study, researchers wanted to improve the accuracy of these predictions. They combined different types of information, such as the patient's age and gender, genetic details of the tumor, and MRI data, using a special computer model that avoids the assumptions made by traditional models. This new approach was able to predict patient survival times with an accuracy of about %-71% across 3 different patient groups.</t>
  </si>
  <si>
    <t>Gomaa, Ahmed; Huang, Yixing; Hagag, Amr; Schmitter, Charlotte; Hoefler, Daniel; Weissmann, Thomas; Breininger, Katharina; Schmidt, Manuel; Stritzelberger, Jenny; Delev, Daniel; Coras, Roland; Doerfler, Arnd; Schnell, Oliver; Frey, Benjamin; Gaipl, Udo S.; Semrau, Sabine; Bert, Christoph; Hau, Peter; Fietkau, Rainer; Putz, Florian</t>
  </si>
  <si>
    <t>Huang, YX (corresponding author), Univ Hosp Erlangen, Dept Radiat Oncol, Univ Str 27, D-91054 Erlangen, Germany.</t>
  </si>
  <si>
    <t>yixing.huang@uk-erlangen.de</t>
  </si>
  <si>
    <t>Bavarian Cancer Research Center (BZKF)</t>
  </si>
  <si>
    <t>This work was partially funded by a grant of the Bavarian Cancer Research Center (BZKF).</t>
  </si>
  <si>
    <t>[Gomaa, Ahmed; Huang, Yixing; Hagag, Amr; Schmitter, Charlotte; Hoefler, Daniel; Weissmann, Thomas; Frey, Benjamin; Gaipl, Udo S.; Semrau, Sabine; Bert, Christoph; Fietkau, Rainer; Putz, Florian] Friedrich Alexander Univ Erlangen Nurnberg, Univ Hosp Erlangen, Dept Radiat Oncol, Erlangen, Germany; [Gomaa, Ahmed; Huang, Yixing; Hagag, Amr; Schmitter, Charlotte; Hoefler, Daniel; Weissmann, Thomas; Schmidt, Manuel; Stritzelberger, Jenny; Delev, Daniel; Coras, Roland; Doerfler, Arnd; Schnell, Oliver; Frey, Benjamin; Gaipl, Udo S.; Semrau, Sabine; Bert, Christoph; Fietkau, Rainer; Putz, Florian] Comprehens Canc Ctr Erlangen EMN CCC ER EMN, Erlangen, Germany; [Breininger, Katharina] Friedrich Alexander Univ Erlangen Nurnberg, Dept Artificial Intelligence Biomed Engn, Erlangen, Germany; [Schmidt, Manuel; Doerfler, Arnd] Friedrich Alexander Univ Erlangen Nurnberg, Univ Hosp Erlangen, Inst Neuroradiol, Erlangen, Germany; [Stritzelberger, Jenny] Friedrich Alexander Univ Erlangen Nurnberg, Univ Hosp Erlangen, Dept Neurol, Erlangen, Germany; [Delev, Daniel; Schnell, Oliver] Friedrich Alexander Univ Erlangen Nurnberg, Univ Hosp Erlangen, Dept Neurosurg, Erlangen, Germany; [Coras, Roland] Friedrich Alexander Univ Erlangen Nurnberg, Univ Hosp Erlangen, Inst Neuropathol, Erlangen, Germany; [Gomaa, Ahmed; Huang, Yixing; Schmidt, Manuel; Hau, Peter; Putz, Florian] Bavarian Canc Res Ctr BZKF, Erlangen, Germany; [Gaipl, Udo S.] Friedrich Alexander Univ FAU Erlangen Nurnberg, FAU Profile Ctr Immunomed FAU I MED, Erlangen, Germany</t>
  </si>
  <si>
    <t>University of Erlangen Nuremberg; University of Erlangen Nuremberg; University of Erlangen Nuremberg; University of Erlangen Nuremberg; University of Erlangen Nuremberg; University of Erlangen Nuremberg; University of Erlangen Nuremberg</t>
  </si>
  <si>
    <t>Comprehensive multimodal deep learning survival prediction enabled by a transformer architecture: A multicenter study in glioblastoma</t>
  </si>
  <si>
    <t>NEURO-ONCOLOGY ADVANCES</t>
  </si>
  <si>
    <t>deep learning; glioblastoma; MRI; multimodal data; prognosis; survival prediction</t>
  </si>
  <si>
    <t>MULTIFORME; GLIOMAS; CANCER; SYSTEM</t>
  </si>
  <si>
    <t>Delev, Daniel/PQW-8707-2026; Weissmann, Thomas/OYD-3866-2025; Schmidt, Manuel/HFZ-9950-2022; Frey, Benjamin/D-9565-2017; Huang, Yixing/AAL-7343-2021; Putz, Florian/GLT-8227-2022; Bert, Christoph/C-2585-2013; Breininger, Katharina/ACE-9793-2022</t>
  </si>
  <si>
    <t>Delev, Daniel/0000-0001-9444-0178; Weissmann, Thomas/0000-0002-1443-5422; Hau, Peter/0000-0003-3894-5053; Huang, Yixing/0000-0003-2627-3077; Putz, Florian/0000-0003-3966-2872</t>
  </si>
  <si>
    <t>2632-2498</t>
  </si>
  <si>
    <t>NEURO-ONCOL ADV</t>
  </si>
  <si>
    <t>Neuro-Oncol. Adv.</t>
  </si>
  <si>
    <t>AUG 16 2024</t>
  </si>
  <si>
    <t>vdae122</t>
  </si>
  <si>
    <t>10.1093/noajnl/vdae122</t>
  </si>
  <si>
    <t>http://dx.doi.org/10.1093/noajnl/vdae122</t>
  </si>
  <si>
    <t>Oncology; Clinical Neurology</t>
  </si>
  <si>
    <t>Oncology; Neurosciences &amp; Neurology</t>
  </si>
  <si>
    <t>C7V0J</t>
  </si>
  <si>
    <t>39156618</t>
  </si>
  <si>
    <t>WOS:001291399400001</t>
  </si>
  <si>
    <t>Lu, ST; Li, XQ; Zhang, WQ; Tang, HL</t>
  </si>
  <si>
    <t>Multimodal link prediction aims to identify missing head and tail entities in the relational triples of multimodal knowledge graphs. However, each modality contains distinct information, and how to effectively fuse multimodal data has become a complex challenge. To address this issue, the rotational embedding multimodal fusion (RoEMF) model was proposed based on rotary position encoding (RoPE). The model employs a multi-head cross-attention mechanism, combined with RoPE, to enhance the representation of positional and contextual information, thereby improving the multimodal data fusion. It focuses on integrating information from different subspaces while capturing cross-modal correlations to mitigate potential data loss, enhances feature fusion, and optimizes the heterogeneity of the representation. Additionally, the cross-modal joint decision loss was proposed to reduce the model's reliance on single-modal data, aiding in the identification of missing head and tail entities, while enhancing the accuracy and generalization ability of multimodal link prediction. Experimental results on three public MMKG benchmarks demonstrate the outstanding performance of RoEMF compared with other methods in link prediction.</t>
  </si>
  <si>
    <t>Lu, Shiteng; Li, Xinqiang; Zhang, Wenqi; Tang, Huanling</t>
  </si>
  <si>
    <t>Tang, HL (corresponding author), Shandong Technol &amp; Business Univ, Sch Comp Sci &amp; Technol, Yantai 264005, Shandong, Peoples R China.; Tang, HL (corresponding author), Univ Future Intelligent Comp, Coinnovat Ctr Shandong Coll, Yantai 264005, Shandong, Peoples R China.; Tang, HL (corresponding author), Shandong Technol &amp; Business Univ, Key Lab Intelligent Informat Proc Univ Shandong, Yantai 264005, Shandong, Peoples R China.</t>
  </si>
  <si>
    <t>2023420196@sdtbu.edu.cn; iiangiiang@163.com; 2023420181@sdtbu.edu.cn; thL01@163.com</t>
  </si>
  <si>
    <t>National Natural Science Foundation of China [62341605, 62372077, 61976124]; National Natural Science Foundation of China</t>
  </si>
  <si>
    <t>National Natural Science Foundation of China (National Natural Science Foundation of China (NSFC)); National Natural Science Foundation of China (National Natural Science Foundation of China (NSFC))</t>
  </si>
  <si>
    <t>This work was supported by the National Natural Science Foundation of China (No.62341605, No.62372077, No.61976124). We are extremely grateful to Shuobin Zhang for helpful discussions and feedback on initial versions of this paper.</t>
  </si>
  <si>
    <t>[Lu, Shiteng; Zhang, Wenqi; Tang, Huanling] Shandong Technol &amp; Business Univ, Sch Comp Sci &amp; Technol, Yantai 264005, Shandong, Peoples R China; [Li, Xinqiang] Shandong Luruan Digital Technol Co Ltd, Smart Energy Branch, Jinan 250001, Shandong, Peoples R China; [Tang, Huanling] Univ Future Intelligent Comp, Coinnovat Ctr Shandong Coll, Yantai 264005, Shandong, Peoples R China; [Tang, Huanling] Shandong Technol &amp; Business Univ, Key Lab Intelligent Informat Proc Univ Shandong, Yantai 264005, Shandong, Peoples R China</t>
  </si>
  <si>
    <t>Shandong Technology &amp; Business University; Shandong Technology &amp; Business University</t>
  </si>
  <si>
    <t>RoEMF: rotational embedding multimodal fusion for link prediction</t>
  </si>
  <si>
    <t>KNOWLEDGE AND INFORMATION SYSTEMS</t>
  </si>
  <si>
    <t>Multimodal link prediction; Rotary position embedding; Multimodal cross-attention; Multimodal knowledge graph</t>
  </si>
  <si>
    <t>zhang, wenqi/JDW-5046-2023; lu, shiteng/MVY-8402-2025</t>
  </si>
  <si>
    <t>SPRINGER LONDON LTD</t>
  </si>
  <si>
    <t>236 GRAYS INN RD, 6TH FLOOR, LONDON WC1X 8HL, ENGLAND</t>
  </si>
  <si>
    <t>0219-1377</t>
  </si>
  <si>
    <t>0219-3116</t>
  </si>
  <si>
    <t>KNOWL INF SYST</t>
  </si>
  <si>
    <t>Knowl. Inf. Syst.</t>
  </si>
  <si>
    <t>4325</t>
  </si>
  <si>
    <t>4348</t>
  </si>
  <si>
    <t>10.1007/s10115-025-02386-6</t>
  </si>
  <si>
    <t>http://dx.doi.org/10.1007/s10115-025-02386-6</t>
  </si>
  <si>
    <t>Computer Science, Artificial Intelligence; Computer Science, Information Systems</t>
  </si>
  <si>
    <t>1HU2V</t>
  </si>
  <si>
    <t>WOS:001448392400001</t>
  </si>
  <si>
    <t>Lv, ZL; Yan, R; Lin, YX; Gao, L; Zhang, F; Wang, Y</t>
  </si>
  <si>
    <t>Kirsten rat sarcoma viral oncogene homolog (namely KRAS) is a key biomarker for prognostic analysis and targeted therapy of colorectal cancer. Recently, the advancement of machine learning, especially deep learning, has greatly promoted the development of KRAS mutation detection from tumor phenotype data, such as pathology slides or radiology images. However, there are still two major problems in existing studies: inadequate single-modal feature learning and lack of multimodal phenotypic feature fusion. In this paper, we propose a Disentangled Representation-based Multimodal Fusion framework integrating Pathomics and Radiomics (DRMF-PaRa) for KRAS mutation detection. Specifically, the DRMF-PaRa model consists of three parts: (1) the pathomics learning module, which introduces a tissue-guided Transformer model to extract more comprehensive and targeted pathological features; (2) the radiomics learning module, which captures the generic hand-crafted radiomics features and the task-specific deep radiomics features; (3) the disentangled representation-based multimodal fusion module, which learns factorized subspaces for each modality and provides a holistic view of the two heterogeneous phenotypic features. The proposed model is developed and evaluated on a multi modality dataset of 111 colorectal cancer patients with whole slide images and contrast-enhanced CT. The experimental results demonstrate the superiority of the proposed DRMF-PaRa model with an accuracy of 0.876 and an AUC of 0.865 for KRAS mutation detection.</t>
  </si>
  <si>
    <t>Lv, Zhilong; Yan, Rui; Lin, Yuexiao; Gao, Lin; Zhang, Fa; Wang, Ying</t>
  </si>
  <si>
    <t>Gao, L (corresponding author), Xidian Univ, Sch Comp Sci &amp; Technol, Xian 710071, Peoples R China.; Zhang, F (corresponding author), Beijing Inst Technol, Sch Med Technol, Beijing 100081, Peoples R China.; Wang, Y (corresponding author), Capital Med Univ, Beijing Chaoyang Hosp, Dept Pathol, Beijing 100020, Peoples R China.</t>
  </si>
  <si>
    <t>yanrui@ustc.edu.cn; zhangfa@bit.edu.cn; wangying_blk@126.com; lvzhilong@xidian.edu.cn; lgao@mail.xidian.edu.cn; linyuexiao2506@163.com</t>
  </si>
  <si>
    <t>National Natural Science Foundation of China [61932018, 32241027, 62072441, 62272326, 62132015, U22A2037]; Beijing Municipal Administration of Hospitals Incubating Program [PX2021013]</t>
  </si>
  <si>
    <t>National Natural Science Foundation of China (National Natural Science Foundation of China (NSFC)); Beijing Municipal Administration of Hospitals Incubating Program</t>
  </si>
  <si>
    <t>The research was supported by the National Natural Science Foundation of China (Nos. 61932018, 32241027, 62072441, 62272326, 62132015, and U22A2037) and the Beijing Municipal Administration of Hospitals Incubating Program (No. PX2021013).</t>
  </si>
  <si>
    <t>[Lv, Zhilong; Gao, Lin] Xidian Univ, Sch Comp Sci &amp; Technol, Xian 710071, Peoples R China; [Yan, Rui] Univ Sci &amp; Technol China, Sch Biomed Engn, Hefei 230026, Peoples R China; [Lin, Yuexiao] Capital Med Univ, Beijing Chaoyang Hosp, Dept Gen Surg, Beijing 100020, Peoples R China; [Zhang, Fa] Beijing Inst Technol, Sch Med Technol, Beijing 100081, Peoples R China; [Wang, Ying] Capital Med Univ, Beijing Chaoyang Hosp, Dept Pathol, Beijing 100020, Peoples R China</t>
  </si>
  <si>
    <t>Xidian University; Chinese Academy of Sciences; University of Science &amp; Technology of China, CAS; Capital Medical University; Beijing Institute of Technology; Capital Medical University</t>
  </si>
  <si>
    <t>A Disentangled Representation-Based Multimodal Fusion Framework Integrating Pathomics and Radiomics for KRAS Mutation Detection in Colorectal Cancer</t>
  </si>
  <si>
    <t>BIG DATA MINING AND ANALYTICS</t>
  </si>
  <si>
    <t>Radiomics; Feature extraction; Pathology; Tumors; Transformers; Representation learning; Predictive models; KRAS mutation detection; multimodal feature fusion; pathomics; radiomics</t>
  </si>
  <si>
    <t>PREDICTION; HISTOPATHOLOGY; CLASSIFICATION; IMAGES</t>
  </si>
  <si>
    <t>Yan, Rui/ISB-7062-2023; Gao, Lin/JNF-0375-2023; Zhang, Fa/LOS-2518-2024</t>
  </si>
  <si>
    <t>Zhang, Fa/0000-0002-2081-9369</t>
  </si>
  <si>
    <t>TSINGHUA UNIV PRESS</t>
  </si>
  <si>
    <t>BEIJING</t>
  </si>
  <si>
    <t>B605D, XUE YAN BUILDING, BEIJING, 100084, PEOPLES R CHINA</t>
  </si>
  <si>
    <t>2096-0654</t>
  </si>
  <si>
    <t>BIG DATA MIN ANAL</t>
  </si>
  <si>
    <t>Big Data Min. Anal.</t>
  </si>
  <si>
    <t>SEP 2024</t>
  </si>
  <si>
    <t>590</t>
  </si>
  <si>
    <t>602</t>
  </si>
  <si>
    <t>10.26599/BDMA.2024.9020012</t>
  </si>
  <si>
    <t>http://dx.doi.org/10.26599/BDMA.2024.9020012</t>
  </si>
  <si>
    <t>E9Y6D</t>
  </si>
  <si>
    <t>WOS:001306486900006</t>
  </si>
  <si>
    <t>Huang, YX; Wang, Z; Tang, TT; Ohtsuki, T; Gui, G</t>
  </si>
  <si>
    <t>Object detection in remote-sensing imagery plays a crucial role in providing precise geospatial information for urban planning and environmental monitoring. However, real-world remote-sensing scenarios often involve complex conditions, such as varying illumination, weather interference, and low signal-to-noise ratios, which significantly degrade the performance of traditional single-modal detection methods. To overcome these limitations, multimodal object detection has developed, demonstrating great potential by integrating complementary information from multiple modalities. Nevertheless, existing multimodal frameworks still face challenges, such as insufficient cross-modal interaction, limited learning of complementary features, and high computational costs, due to redundant fusion in complex environments. To overcome these challenges, we propose an enhanced multimodal fusion strategy aimed at maximizing cross-modal feature learning capabilities. Our method employs a dual-backbone architecture to extract mode-specific representations independently, integrating a direction attention module at an early stage of each backbone to enhance discriminative feature extraction. We then introduce a dual-stream feature fusion network to effectively fuse cross-modal features, generating rich representations for the detection head. In addition, we embed a local-global channel attention mechanism in the head stage to strengthen feature learning in the channel dimension before generating the final prediction. Extensive experiments on the widely used vehicle detection in aerial imagery multimodal remote-sensing dataset demonstrate that our method achieves state-of-the-art performance, while evaluations on single-modal datasets confirm its exceptional generalization capability.</t>
  </si>
  <si>
    <t>Huang, Youxiang; Wang, Zhuo; Tang, Tiantian; Ohtsuki, Tomoaki; Gui, Guan</t>
  </si>
  <si>
    <t>Ohtsuki, T (corresponding author), Keio Univ, Dept Informat &amp; Comp Sci, Yokohama 2238522, Japan.</t>
  </si>
  <si>
    <t>wangzhuo@keio.jp; huangyx@keio.jp; ohtsuki@keio.jp; tangtt@njupt.edu.cn; guiguan@njupt.edu.cn</t>
  </si>
  <si>
    <t>JST ASPIRE [JPMJAP2326]</t>
  </si>
  <si>
    <t>JST ASPIRE</t>
  </si>
  <si>
    <t>This work was supported by JST ASPIRE under Grant NumberJPMJAP2326.</t>
  </si>
  <si>
    <t>[Huang, Youxiang; Wang, Zhuo; Ohtsuki, Tomoaki] Keio Univ, Dept Informat &amp; Comp Sci, Yokohama 2238522, Japan; [Tang, Tiantian; Gui, Guan] Nanjing Univ Posts &amp; Telecommun, Coll Telecommun &amp; Informat Engn, Nanjing 210003, Peoples R China</t>
  </si>
  <si>
    <t>Keio University; Nanjing University of Posts &amp; Telecommunications</t>
  </si>
  <si>
    <t>Dual-Stream Multimodal Fusion With LocalGlobal Attention for Remote-Sensing Object Detection</t>
  </si>
  <si>
    <t>Feature extraction; Remote sensing; Object detection; Accuracy; Detectors; Laser radar; Synthetic aperture radar; Optical imaging; Representation learning; Radar imaging; Convolutional network; feature fusion; multimodal remote-sensing images; object detection</t>
  </si>
  <si>
    <t>TARGET DETECTION</t>
  </si>
  <si>
    <t>Huang, Youxiang/KRQ-3925-2024; Gui, Guan/AAG-3593-2019</t>
  </si>
  <si>
    <t>Tang, Tiantian/0000-0002-8596-1227; Ohtsuki, Tomoaki/0000-0003-3961-1426; Huang, Youxiang/0009-0000-0837-139X</t>
  </si>
  <si>
    <t>1691</t>
  </si>
  <si>
    <t>1702</t>
  </si>
  <si>
    <t>10.1109/JSTARS.2025.3637891</t>
  </si>
  <si>
    <t>http://dx.doi.org/10.1109/JSTARS.2025.3637891</t>
  </si>
  <si>
    <t>AJ5YC</t>
  </si>
  <si>
    <t>WOS:001649663000001</t>
  </si>
  <si>
    <t>Kanwal, S; Khan, F; Alamri, S</t>
  </si>
  <si>
    <t>Cancer becomes life-threatening when it affects vital organs and their potential to function; therefore, early discovery is crucial for prognosis management. Medical research benefits from the rapid growth of Artificial Intelligence (AI) technology, notably machine learning (ML), deep learning (DL), and rein-forcement learning (RL) which has resulted in the development of several approaches and techniques for improving cancer prediction and survival analysis. To improve cancer prognosis prediction and sur-vival analysis, a novel framework that fuses multimodal features via early and late fusion techniques using DL and RL is presented. The approach utilizes an artificial algae algorithm (AAA) to extract the most resilient features from the dataset and build a robust model for cancer prognosis and prediction. The uniqueness of this technique is illustrated by using AAA to extract valuable features from a variety of data modalities infused with Double DEEP Q-NETWORK (DDQN), Convolution eXtreme Gradient Boosting (CNN-XGBOOST), and Convolution Support Vector Machine (CNN-SVM) models for cancer prognostic prediction. The effectiveness of the proposed framework was evaluated using publicly-available datasets: Lower Grade Glioma in the Brain(BRAIN-TCGA), Prostate Cancer, Bladder Cancer, Metastatic Colorectal Cancer (MSKCC), and the METABRIC dataset. The optimum accuracy achieved was 0.99 for the BRAIN-TCGA dataset, surpassing a variety of state-of-the-art techniques. The performance assessment results reveal that the proposed model outperforms currently available cancer prognostic prediction models in terms of predictive performance. (c) 2022 The Author(s). Published by Elsevier B.V. on behalf of King Saud University. This is an open access article under the CC BY-NC-ND license (http://creativecommons.org/licenses/by-nc-nd/4.0/).</t>
  </si>
  <si>
    <t>Kanwal, Summrina; Khan, Faiza; Alamri, Sultan</t>
  </si>
  <si>
    <t>Alamri, S (corresponding author), Saudi Elect Univ, Dept Comp &amp; Informat, Riyadh 11673, Saudi Arabia.</t>
  </si>
  <si>
    <t>S.rasul@seu.edu.sa; Salamri@seu.edu.sa</t>
  </si>
  <si>
    <t>Deputyship for Research &amp; Innovation, Ministry of education in Saudi Arabia [7943]</t>
  </si>
  <si>
    <t>Deputyship for Research &amp; Innovation, Ministry of education in Saudi Arabia (Ministry of Education Saudi Arabia)</t>
  </si>
  <si>
    <t>Funding The author extends their appreciation to the Deputyship for Research &amp; Innovation, Ministry of education in Saudi Arabia for funding this research work through the project number 7943.</t>
  </si>
  <si>
    <t>[Kanwal, Summrina; Alamri, Sultan] Saudi Elect Univ, Dept Comp &amp; Informat, Riyadh 11673, Saudi Arabia; [Khan, Faiza] Riphah Int Univ, Fac Comp, Islamabad 45211, Pakistan</t>
  </si>
  <si>
    <t>Saudi Electronic University</t>
  </si>
  <si>
    <t>A multimodal deep learning infused with artificial algae algorithm-An architecture of advanced E-health system for cancer prognosis prediction</t>
  </si>
  <si>
    <t>JOURNAL OF KING SAUD UNIVERSITY-COMPUTER AND INFORMATION SCIENCES</t>
  </si>
  <si>
    <t>Cancer prognosis prediction; Multimodal data; Artificial Algae Algorithm (AAA); DDQN (Double DEEP Q-NETWORK); CNN-XGBOOST (Convolution eXtreme; Gradient Boosting); CNN-SVM (Convolution Support Vector; Machine); Reinforcement Learning (RL)</t>
  </si>
  <si>
    <t>FEATURE-SELECTION; IMMUNE NETWORK; CNN</t>
  </si>
  <si>
    <t>Kanwal, Summrina/AEL-4611-2022</t>
  </si>
  <si>
    <t>, Summrina/0000-0002-8933-7894</t>
  </si>
  <si>
    <t>SPRINGERNATURE</t>
  </si>
  <si>
    <t>CAMPUS, 4 CRINAN ST, LONDON, N1 9XW, ENGLAND</t>
  </si>
  <si>
    <t>1319-1578</t>
  </si>
  <si>
    <t>2213-1248</t>
  </si>
  <si>
    <t>J KING SAUD UNIV-COM</t>
  </si>
  <si>
    <t>J. King Saud Univ.-Comput. Inf. Sci.</t>
  </si>
  <si>
    <t>JUN 2022</t>
  </si>
  <si>
    <t>2707</t>
  </si>
  <si>
    <t>2719</t>
  </si>
  <si>
    <t>10.1016/j.jksuci.2022.03.011</t>
  </si>
  <si>
    <t>http://dx.doi.org/10.1016/j.jksuci.2022.03.011</t>
  </si>
  <si>
    <t>3L8WV</t>
  </si>
  <si>
    <t>WOS:000835043700011</t>
  </si>
  <si>
    <t>Liu, ZL; Liu, XX; Chen, S; Liu, JX; Wang, LB; Bi, CK</t>
  </si>
  <si>
    <t>Talking face generation is to synthesize a lip-synchronized talking face video by inputting an arbitrary face image and corresponding audio clips. The current talking face model can be divided into four parts: visual feature extraction, audio feature processing, multimodal feature fusion, and rendering module. For the visual feature extraction part, existing methods face the challenge of complex learning task with noisy features, this article introduces an attention-based disentanglement module to disentangle the face into Audio-face and Identity-face using speech-related facial action unit (AU) information. For the multimodal feature fusion part, existing methods ignore not only the interaction and relationship of cross-modal information but also the local driving information of the mouth muscles. This study proposes a novel generative framework that incorporates a dilated non-causal temporal convolutional self-attention network as a multimodal fusion module to enhance the learning of cross-modal features. The proposed method employs both audio- and speech-related facial AUs as driving information. Speech-related AU information can facilitate more accurate mouth movements. Given the high correlation between speech and speech-related AUs, we propose an audio-to-AU module to predict speech-related AU information. Finally, we present a diffusion model for the synthesis of talking face images. We verify the effectiveness of the proposed model on the GRID and TCD-TIMIT datasets. An ablation study is also conducted to verify the contribution of each component. The results of quantitative and qualitative experiments demonstrate that our method outperforms existing methods in terms of both image quality and lip-sync accuracy.</t>
  </si>
  <si>
    <t>Liu, Zhilei; Liu, Xiaoxing; Chen, Sen; Liu, Jiaxing; Wang, Longbiao; Bi, Chongke</t>
  </si>
  <si>
    <t>Liu, ZL (corresponding author), Tianjin Univ, Coll Intelligence &amp; Comp, Tianjin, Peoples R China.</t>
  </si>
  <si>
    <t>xiaoxingliu@tju.edu.cn; longbiao_wang@tju.edu.cn; zhileiliu@tju.edu.cn; bichongke@tju.edu.cn; senchen@tju.edu.cn</t>
  </si>
  <si>
    <t>[Liu, Zhilei; Liu, Xiaoxing; Chen, Sen; Liu, Jiaxing; Wang, Longbiao; Bi, Chongke] Tianjin Univ, Coll Intelligence &amp; Comp, Tianjin, Peoples R China</t>
  </si>
  <si>
    <t>Tianjin University</t>
  </si>
  <si>
    <t>Multimodal Fusion for Talking Face Generation Utilizing Speech-Related Facial Action Units</t>
  </si>
  <si>
    <t>ACM TRANSACTIONS ON MULTIMEDIA COMPUTING COMMUNICATIONS AND APPLICATIONS</t>
  </si>
  <si>
    <t>Facial action units; talking face animation; video synthesis; facial disentan- glement; diffusion model</t>
  </si>
  <si>
    <t>Liu, Zhilei/B-3733-2015</t>
  </si>
  <si>
    <t>Liu, Zhilei/0000-0003-1447-6256</t>
  </si>
  <si>
    <t>1551-6857</t>
  </si>
  <si>
    <t>1551-6865</t>
  </si>
  <si>
    <t>ACM T MULTIM COMPUT</t>
  </si>
  <si>
    <t>ACM Trans. Multimed. Comput. Commun. Appl.</t>
  </si>
  <si>
    <t>292</t>
  </si>
  <si>
    <t>10.1145/3672565</t>
  </si>
  <si>
    <t>http://dx.doi.org/10.1145/3672565</t>
  </si>
  <si>
    <t>Computer Science, Information Systems; Computer Science, Software Engineering; Computer Science, Theory &amp; Methods</t>
  </si>
  <si>
    <t>H8K6E</t>
  </si>
  <si>
    <t>WOS:001325876400001</t>
  </si>
  <si>
    <t>Xie, DT; Feng, QB; Xia, YJ; Huang, CZ; Liu, JC</t>
  </si>
  <si>
    <t>Resistance spot welding (RSW) quality monitoring is essential for intelligent manufacturing. Although recent deep learning methods have achieved promising results, existing approaches often rely on single-modal analysis or simple multimodal fusion and remain challenged by class imbalance in industrial datasets. To address these issues, this study proposes a lightweight multimodal fusion framework, termed Res-HAAN, based on an image-guided asymmetric cross-modal attention mechanism. Visual features are used to selectively aggregate informative temporal representations for weld quality prediction. A multi-task learning framework is further constructed to jointly optimize weld quality classification and mechanical property regression. In addition, a hybrid imbalance learning strategy integrating Feature-SMOTE, Focal Loss, and consistency regularization is introduced to improve minority-class recognition while maintaining regression performance. Experimental results on a public multimodal RSW dataset demonstrate that the proposed framework achieves a Macro-F1 score of 0.7824, outperforming the representative cross-modal fusion model CMT by 3.5 percentage points while maintaining mean absolute errors of 0.2608 mm for nugget diameter prediction and 190.37 N for tensile shear force(TSF) prediction. Moreover, the proposed framework achieves more reliable recognition of minority defect categories under class imbalance, while containing only 12.57 M parameters and achieving an inference speed of 133 FPS on a single GPU. These results demonstrate that Res-HAAN provides competitive predictive performance together with computational efficiency, indicating its potential for real-time industrial weld quality monitoring.</t>
  </si>
  <si>
    <t>Xie, Detian; Feng, Qiaobo; Xia, Yujun; Huang, Changze; Liu, Jiacheng</t>
  </si>
  <si>
    <t>Feng, QB (corresponding author), Shanghai Univ Elect Power, Sch Energy &amp; Mech Engn, 1851 Hucheng Ring Rd, Shanghai 201306, Peoples R China.</t>
  </si>
  <si>
    <t>fengqbo@163.com; cccctd@mail.shiep.edu.cn; xyjdbgt6509@sjtu.edu.cn; 18719762882@mail.shiep.edu.cn; xiedetian@mail.shiep.edu.cn</t>
  </si>
  <si>
    <t>National Natural Science Foundation of China [52175343]; Science and Technology Commission of Shanghai Municipality [19DZ2271100]</t>
  </si>
  <si>
    <t>National Natural Science Foundation of China (National Natural Science Foundation of China (NSFC)); Science and Technology Commission of Shanghai Municipality (Science &amp; Technology Commission of Shanghai Municipality (STCSM))</t>
  </si>
  <si>
    <t>This work was supported by the National Natural Science Foundation of China under Grant 52175343, and the Science and Technology Commission of Shanghai Municipality under Grant 19DZ2271100. The authors would also like to express their sincere gratitude to Dr. Luis Dominguez, Dr. Andra s Taka cs, and their research team at Universidad Autonoma de Quere taro for publicly sharing the invaluable multimodal resistance spot welding dataset, which greatly facilitated the validation of our proposed framework.</t>
  </si>
  <si>
    <t>[Xie, Detian; Feng, Qiaobo; Huang, Changze; Liu, Jiacheng] Shanghai Univ Elect Power, Sch Energy &amp; Mech Engn, 1851 Hucheng Ring Rd, Shanghai 201306, Peoples R China; [Feng, Qiaobo] Shanghai Univ Elect Power, Shanghai Key Lab Power Mat Protect &amp; New Mat, 1851 Hucheng Ring Rd, Shanghai 201306, Peoples R China; [Xia, Yujun] Shanghai Jiao Tong Univ, Shanghai Key Lab Digital Manufacture Thin Walled S, 800 Dongchuan Rd, Shanghai 200240, Peoples R China</t>
  </si>
  <si>
    <t>Shanghai University of Electric Power; Shanghai University of Electric Power; Shanghai Jiao Tong University</t>
  </si>
  <si>
    <t>Res-HAAN: a lightweight multimodal fusion framework for online resistance spot weld quality monitoring</t>
  </si>
  <si>
    <t>Resistance spot welding; Multimodal fusion; Asymmetric attention; Class imbalance; Multi-task learning</t>
  </si>
  <si>
    <t>DYNAMIC RESISTANCE; SIGNAL; STEEL</t>
  </si>
  <si>
    <t>NOV 15 2026</t>
  </si>
  <si>
    <t>290</t>
  </si>
  <si>
    <t>122694</t>
  </si>
  <si>
    <t>10.1016/j.measurement.2026.122694</t>
  </si>
  <si>
    <t>http://dx.doi.org/10.1016/j.measurement.2026.122694</t>
  </si>
  <si>
    <t>MF6PP</t>
  </si>
  <si>
    <t>WOS:001841110200001</t>
  </si>
  <si>
    <t>Bao, N; Zhang, JX; Li, ZK; Wei, SY; Zhang, JZ; Greenwald, SE; Onofrey, JA; Lu, YH; Xu, LS</t>
  </si>
  <si>
    <t>In bone cancer imaging, positron emission tomography (PET) is ideal for the diagnosis and staging of bone cancers due to its high sensitivity to malignant tumors. The diagnosis of bone cancer requires tumor analysis and localization, where accurate and automated wholebody bone segmentation (WBBS) is often needed. Current WBBS for PET imaging is based on paired Computed Tomography (CT) images. However, mismatches between CT and PET images often occur due to patient motion, which leads to erroneous bone segmentation and thus, to inaccurate tumor analysis. Furthermore, there are some instances where CT images are unavailable for WBBS. In this work, we propose a novel multimodal fusion network (MMF-Net) for WBBS of PET images, without the need for CT images. Specifically, the tracer activity (lambda-MLAA), attenuation map (mu-MLAA), and synthetic attenuation map (mu-DL) images are introduced into the training data. We first design a multi-encoder structure employed to fully learn modalityspecific encoding representations of the three PET modality images through independent encoding branches. Then, we propose a multimodal fusion module in the decoder to further integrate the complementary information across the three modalities. Additionally, we introduce revised convolution units, SE (Squeeze-and-Excitation) Normalization and deep supervision to improve segmentation performance. Extensive comparisons and ablation experiments, using 130 whole-body PET image datasets, show promising results. We conclude that the proposed method can achieve WBBS with moderate to high accuracy using PET information only, which potentially can be used to overcome the current limitations of CT-based approaches, while minimizing exposure to ionizing radiation.</t>
  </si>
  <si>
    <t>Bao, Nan; Zhang, Jiaxin; Li, Zhikun; Wei, Shiyu; Zhang, Jiazhen; Greenwald, Stephen E.; Onofrey, John A.; Lu, Yihuan; Xu, Lisheng</t>
  </si>
  <si>
    <t>Xu, LS (corresponding author), Northeastern Univ, Coll Med &amp; Biol Informat Engn, Shenyang 110167, Peoples R China.</t>
  </si>
  <si>
    <t>baonan@bmie.neu.edu.cn; s.e.greenwald@qmul.ac.uk; xuls@bmie.neu.edu.cn; john.onofrey@yale.edu; yihuan.lu@united-imaging.com; zhang_jiaxin4@dahuatech.com; 2826409254@qq.com; 363146846@qq.com; jiazhen.zhang@yale.edu</t>
  </si>
  <si>
    <t>National Natural Science Foundation of China [62273082]</t>
  </si>
  <si>
    <t>This work was supported by the National Natural Science Foundation of China under Grant 62273082.</t>
  </si>
  <si>
    <t>[Bao, Nan; Li, Zhikun; Xu, Lisheng] Northeastern Univ, Coll Med &amp; Biol Informat Engn, Shenyang 110167, Peoples R China; [Zhang, Jiaxin] Dahua Technol Co Ltd, Image Algorithm Dept, Hangzhou 310053, Peoples R China; [Wei, Shiyu] Liaoning Med Device Test Inst, Med Imaging &amp; Software Dept, Shenyang 110179, Peoples R China; [Zhang, Jiazhen] Yale Univ, Dept Biomed Engn, New Haven, CT 06512 USA; [Greenwald, Stephen E.] Queen Mary Univ London, Blizard Inst, Barts &amp; London Sch Med &amp; Dent, London E1 4NS, England; [Onofrey, John A.] Yale Univ, Dept Biomed Engn, Dept Radiol &amp; Biomed Imaging, New Haven, CT 06512 USA; [Lu, Yihuan] United Imaging Healthcare, Shanghai 201807, Peoples R China</t>
  </si>
  <si>
    <t>Northeastern University - China; Yale University; University of London; Queen Mary University London; Yale University</t>
  </si>
  <si>
    <t>CT-Less Whole-Body Bone Segmentation of PET Images Using a Multimodal Deep Learning Network</t>
  </si>
  <si>
    <t>Image segmentation; Computed tomography; Bones; Tumors; Cancer; Attenuation; Accuracy; Positron emission tomography; Image coding; Electronic mail; CT-less; deep learning; multimodal feature fusion; PET; whole-body bone segmentation</t>
  </si>
  <si>
    <t>FDG-PET; TUMORS; RECONSTRUCTION; ATTENUATION; FUSION</t>
  </si>
  <si>
    <t>Greenwald, Stephen/C-6928-2012; Onofrey, John/T-9841-2019</t>
  </si>
  <si>
    <t>Greenwald, Stephen/0000-0002-8471-7070; Onofrey, John/0000-0002-9432-0448; XU, Lisheng/0000-0001-8360-3605</t>
  </si>
  <si>
    <t>1151</t>
  </si>
  <si>
    <t>10.1109/JBHI.2024.3501386</t>
  </si>
  <si>
    <t>http://dx.doi.org/10.1109/JBHI.2024.3501386</t>
  </si>
  <si>
    <t>X8R2X</t>
  </si>
  <si>
    <t>40030243</t>
  </si>
  <si>
    <t>WOS:001427944500003</t>
  </si>
  <si>
    <t>Deepsahith, KV; Shashank, B; Kumar, B; Alphonse, S; Subburaj, B; Subramanian, G</t>
  </si>
  <si>
    <t>Diabetic retinopathy (DR) detection can be performed through both deep retinal representations and vascular biomarkers. This proposed work suggests a multimodal framework that combines deep features with vascular descriptors in transformer fusion architecture. Fundus images are preprocessed using CLAHE, Canny edge detection, Top-hat transformation, and U-Net vessel segmentation. Then, the images are passed through a convolutional block attention module (CBAM)-fused enhanced MobileNetV3 backbone for deep spatial feature extraction. In parallel, the segmented vasculature is skeletonized to create a vascular graph, and the descriptors are computed using fractal dimension analysis (FDA), artery-to-vein ratio (AVR), and gray level co-occurrence matrix (GLCM) texture. A graph neural network (GNN) then generates a global topology-aware embedding using all that information. The different modalities are integrated using a transformer-based cross-modal fusion, where the feature vectors from MobileNet and GNN-based vascular embeddings interact using multi-head cross-attention. The fused representation is then given to a Softmax classifier for DR prediction. The model demonstrates superior performance compared to traditional deep learning baselines, achieving an accuracy of 93.8%, a precision of 92.1%, a recall of 92.8%, and an AUC-ROC of 0.96 for the DR prediction in the Messidor-2 dataset. The proposed approach also achieves above 98% accuracy for Eyepacs and APTOS 2019 datasets for DR detection. The findings demonstrate that the proposed system provides a reliable framework compared with the existing state-of-the-art methods.</t>
  </si>
  <si>
    <t>Deepsahith, K. V.; Shashank, Basineni; Kumar, Bangipavan; Alphonse, Sherly; Subburaj, Brindha; Subramanian, Girish</t>
  </si>
  <si>
    <t>Alphonse, S (corresponding author), Vellore Inst Technol, Sch Comp Sci &amp; Engn, Chennai, India.</t>
  </si>
  <si>
    <t>sherly.a@vit.ac.in</t>
  </si>
  <si>
    <t>Vellore Institute of Technology, Chennai</t>
  </si>
  <si>
    <t>The author(s) declared that financial support was received for this work and/or its publication. The APC charge was supported by Vellore Institute of Technology, Chennai.</t>
  </si>
  <si>
    <t>[Deepsahith, K. V.; Shashank, Basineni; Kumar, Bangipavan; Alphonse, Sherly; Subburaj, Brindha] Vellore Inst Technol, Sch Comp Sci &amp; Engn, Chennai, India; [Subramanian, Girish] Penn State Harrisburg, Sch Business Adm, Middletown, PA USA</t>
  </si>
  <si>
    <t>Vellore Institute of Technology (VIT); VIT Chennai</t>
  </si>
  <si>
    <t>Graph-enhanced multimodal fusion of vascular biomarkers and deep features for diabetic retinopathy detection</t>
  </si>
  <si>
    <t>FRONTIERS IN ARTIFICIAL INTELLIGENCE</t>
  </si>
  <si>
    <t>contrast limited adaptive histogram equalization (CLAHE); Convolutional Neural Networks (CNNs); deep learning; MobileNetV3; retinal images</t>
  </si>
  <si>
    <t>RISK; CLASSIFICATION; CALIBER; VALIDATION; DISEASES</t>
  </si>
  <si>
    <t>2624-8212</t>
  </si>
  <si>
    <t>FRONT ARTIF INTELL</t>
  </si>
  <si>
    <t>Front. Artif. Intell.</t>
  </si>
  <si>
    <t>FEB 2 2026</t>
  </si>
  <si>
    <t>1731633</t>
  </si>
  <si>
    <t>10.3389/frai.2025.1731633</t>
  </si>
  <si>
    <t>http://dx.doi.org/10.3389/frai.2025.1731633</t>
  </si>
  <si>
    <t>DS0IX</t>
  </si>
  <si>
    <t>41704302</t>
  </si>
  <si>
    <t>WOS:001690694700001</t>
  </si>
  <si>
    <t>Garcia-Gutiérrez, F; Matias-Guiu, JA; Ayala, JL</t>
  </si>
  <si>
    <t>Introduction: Alzheimer's disease (AD) is characterized by significant variability in clinical progression; however, few studies have focused on developing models to predict cognitive decline. Anticipating these trajectories is essential for patient management, care planning, and developing new treatments. This study explores the potential of artificial intelligence (AI) techniques to model neurocognitive trajectories from multimodal neuroimaging data and further investigates different data representation frameworks. Methods: Using information from 653 participants from the Alzheimer's Disease Neuroimaging Initiative (ADNI), we developed models to predict future clinical diagnoses and cognitive decline, both quantitatively (rate of decline) and qualitatively (presence or absence of decline). Input features included structural T1-weighted magnetic resonance imaging (MRI), [F-18]-fluorodeoxyglucose positron emission tomography (FDG-PET), [F-18]-florbetapir PET (AV45-PET), neuropsychological assessments, and demographic variables. Several information representation strategies were explored, including tabular data models, convolutional neural networks (CNNs), and graph neural networks (GNNs). Furthermore, to maximize the use of all available information, we proposed a modeling framework that performed modality-specific pre-training to learn feature embeddings, which were then integrated through a late-fusion layer to produce a unified representation for downstream prediction. Results: The modeling strategies demonstrated good predictive performance for future clinical diagnoses, consistent with previous studies (F1 = 0.779). Quantitative models explained approximately 29.4%-36.0% of the variance in cognitive decline. In the qualitative analysis, the models achieved AUC values above 0.83 when predicting cognitive deterioration in the memory, language, and executive function domains. Architecturally, CNN- and GNN-based models yielded the best performance, and the proposed pre-training strategy consistently improved predictive accuracy. Conclusions: This study demonstrates that AI techniques can capture patterns of cognitive decline by exploiting multimodal neuroimaging data. These findings contribute to the development of more precise phenotyping approaches for neurodegenerative patterns in AD.</t>
  </si>
  <si>
    <t>Garcia-Gutierrez, Fernando; Matias-Guiu, Jordi A.; Ayala, Jose L.</t>
  </si>
  <si>
    <t>Garcia-Gutiérrez, F (corresponding author), Univ Complutense Madrid, Dept Comp Architecture &amp; Automat, Madrid, Spain.</t>
  </si>
  <si>
    <t>fegarc05@ucm.es</t>
  </si>
  <si>
    <t>Instituto de Salud Carlos III, Spain [INT20/00079, INT23/00017]; European Regional Development Fund "A way to make Europe"</t>
  </si>
  <si>
    <t>Instituto de Salud Carlos III, Spain (Instituto de Salud Carlos III); European Regional Development Fund "A way to make Europe"</t>
  </si>
  <si>
    <t>The author(s) declare that financial support was received for the research and/or publication of this article. Jordi A. Matias-Guiu was supported by the Instituto de Salud Carlos III, Spain through the project INT20/00079 and INT23/00017 (co-funded by European Regional Development Fund "A way to make Europe").</t>
  </si>
  <si>
    <t>[Garcia-Gutierrez, Fernando; Ayala, Jose L.] Univ Complutense Madrid, Dept Comp Architecture &amp; Automat, Madrid, Spain; [Matias-Guiu, Jordi A.] Hosp Clin San Carlos, Dept Neurol, Inst Invest Sanitaria San Carlos IdISSC, Madrid, Spain</t>
  </si>
  <si>
    <t>Complutense University of Madrid; Hospital Clinico San Carlos</t>
  </si>
  <si>
    <t>Deep multimodal learning for domain-level cognitive decline prediction in Alzheimer's disease</t>
  </si>
  <si>
    <t>automated pattern recognition; artificial intelligence; machine learning; neuroimaging; neurodegenerative diseases; Alzheimer's disease</t>
  </si>
  <si>
    <t>ASSESSMENT SCALE; COMPOSITE SCORE; PROGRESSION; IMPAIRMENT; DEMENTIA; TRIALS; PET</t>
  </si>
  <si>
    <t>83</t>
  </si>
  <si>
    <t>1731062</t>
  </si>
  <si>
    <t>10.3389/frai.2025.1731062</t>
  </si>
  <si>
    <t>http://dx.doi.org/10.3389/frai.2025.1731062</t>
  </si>
  <si>
    <t>AM4NN</t>
  </si>
  <si>
    <t>41480285</t>
  </si>
  <si>
    <t>WOS:001651595900001</t>
  </si>
  <si>
    <t>Che, JS; Sun, MM; Wang, YH; Xu, ZD</t>
  </si>
  <si>
    <t>Introduction The integration of multimodal data has become a crucial aspect of biomedical time series prediction, offering improved accuracy and robustness in clinical decision-making. Traditional approaches often rely on unimodal learning paradigms, which fail to fully exploit the complementary information across heterogeneous data sources such as physiological signals, imaging, and electronic health records. These methods suffer from modality misalignment, suboptimal feature fusion, and lack of adaptive learning mechanisms, leading to performance degradation in complex biomedical scenarios.Methods To address these challenges, we propose a novel multimodal Deep Learning framework that dynamically captures inter-modal dependencies and optimizes cross-modal interactions for time series prediction. Our approach introduces an Adaptive Multimodal Fusion Network (AMFN), which leverages attention-based alignment, graph-based representation learning, and a modality-adaptive fusion mechanism to enhance information integration. Furthermore, we develop a Dynamic Cross-Modal Learning Strategy (DCMLS) that optimally selects relevant features, mitigates modality-specific noise, and incorporates uncertainty-aware learning to improve model generalization.Results Experimental evaluations on biomedical datasets demonstrate that our method outperforms state-of-the-art techniques in predictive accuracy, robustness, and interpretability.Discussion By effectively bridging the gap between heterogeneous biomedical data sources, our framework offers a promising direction for AI-driven disease diagnosis and treatment planning.</t>
  </si>
  <si>
    <t>Che, Jinshan; Sun, Mingming; Wang, Yuhong; Xu, Zhendan</t>
  </si>
  <si>
    <t>Che, JS (corresponding author), Xinxiang Cent Hosp, Xinxiang Med Coll 4, Dept Anesthesiol &amp; Perioperat Med, Clin Coll, Xinxiang, Peoples R China.</t>
  </si>
  <si>
    <t>13569800207@163.com</t>
  </si>
  <si>
    <t>[Che, Jinshan; Sun, Mingming; Wang, Yuhong] Xinxiang Cent Hosp, Xinxiang Med Coll 4, Dept Anesthesiol &amp; Perioperat Med, Clin Coll, Xinxiang, Peoples R China; [Xu, Zhendan] Key Lab Rheumatol, Immunol Dis &amp; Chron Dis Management Xinxiang, Xinxiang, Peoples R China</t>
  </si>
  <si>
    <t>Fusion-driven multimodal learning for biomedical time series in surgical care</t>
  </si>
  <si>
    <t>FRONTIERS IN PHYSIOLOGY</t>
  </si>
  <si>
    <t>multimodal learning; deep learning; biomedical time series; adaptive fusion; uncertainty-aware learning</t>
  </si>
  <si>
    <t>1664-042X</t>
  </si>
  <si>
    <t>FRONT PHYSIOL</t>
  </si>
  <si>
    <t>Front. Physiol.</t>
  </si>
  <si>
    <t>SEP 17 2025</t>
  </si>
  <si>
    <t>1605406</t>
  </si>
  <si>
    <t>10.3389/fphys.2025.1605406</t>
  </si>
  <si>
    <t>http://dx.doi.org/10.3389/fphys.2025.1605406</t>
  </si>
  <si>
    <t>Physiology</t>
  </si>
  <si>
    <t>8BJ8U</t>
  </si>
  <si>
    <t>41041272</t>
  </si>
  <si>
    <t>WOS:001584638200001</t>
  </si>
  <si>
    <t>Guo, XF; Zhou, L; Bao, XY; Liu, SQ; Feng, JW; Zhu, YL; Jiang, Y; Zhang, SY</t>
  </si>
  <si>
    <t>Rationale and Objectives: Preoperative differentiation between follicular thyroid carcinoma (FTC) and follicular thyroid adenoma (FTA) remains challenging due to overlapping cytological and ultrasonographic features. This study aimed to develop and validate a multimodal deep learning model integrating ultrasound images, fine-needle aspiration cytology (FNAC) images, and clinical features for preoperative differentiation of FTC from FTA in patients with cytologically indeterminate follicular thyroid neoplasms. Materials and Methods: This retrospective multicenter study included 714 patients with pathologically confirmed follicular thyroid neoplasms from three medical centers. Patients were divided into training set (n = 304), internal validation set (n = 130), and two external validation sets (n = 201 and n = 79). The multimodal model employed Swin Transformer for ultrasound feature extraction (intratumoral and peritumoral regions), attention-based multiple instance learning for cytological image processing, and self-attention multilayer perceptron for clinical feature encoding. Cross-modal feature fusion was achieved through a Transformer module. Model performance was evaluated using area under the receiver operating characteristic curve (AUC), calibration curves, and decision curve analysis (DCA). Results: The multimodal fusion model achieved AUCs of 0.947, 0.933, 0.936, and 0.928 in the training set, internal validation set, external validation set 1, and external validation set 2, respectively. Compared with unimodal models, the multimodal model demonstrated significant improvements (all P &lt; 0.001): AUC increased by 0.080-0.098 versus the ultrasound model, 0.165-0.183 versus the cytological model, and 0.236-0.254 versus the clinical model. The addition of the peritumoral region improved ultrasound model AUC by 0.042-0.043 (P &lt; 0.05). Modality contribution analysis revealed that the peritumoral ultrasound weight was significantly higher in FTC than FTA cases (29.3-30.5% vs. 23.9-24.6%, P &lt; 0.001). DCA demonstrated superior net benefit of the multimodal model across threshold probabilities of 0.1-0.8. Conclusion: The multimodal deep learning model integrating ultrasound, cytological, and clinical features demonstrated favorable diagnostic performance for preoperative differentiation between FTC and FTA. The inclusion of peritumoral region provided significant incremental diagnostic value. This model may serve as an effective auxiliary tool for individualized diagnosis and treatment decisionmaking in patients with cytologically indeterminate follicular thyroid neoplasms.</t>
  </si>
  <si>
    <t>Guo, Xiao-Fei; Zhou, Li; Bao, Xin-Yi; Liu, Shui-Qing; Feng, Jia-Wei; Zhu, You-Long; Jiang, Yong; Zhang, Shu-Ying</t>
  </si>
  <si>
    <t>Zhang, SY (corresponding author), Soochow Univ, Dept Ultrasound, Affiliated Hosp 2, Suzhou, Jiangsu, Peoples R China.</t>
  </si>
  <si>
    <t>jxshuying@163.com</t>
  </si>
  <si>
    <t>[Guo, Xiao-Fei; Zhou, Li; Zhang, Shu-Ying] Soochow Univ, Dept Ultrasound, Affiliated Hosp 2, Suzhou, Jiangsu, Peoples R China; [Bao, Xin-Yi] Zhangjiagang Hosp Tradit Chinese Med, Dept Ultrasound, Nanjing, Jiangsu, Peoples R China; [Liu, Shui-Qing] Soochow Univ, Affiliated Hosp 3, Changzhou Peoples Hosp 1, Dept Ultrasound, Changzhou, Jiangsu, Peoples R China; [Feng, Jia-Wei; Jiang, Yong] Soochow Univ, Changzhou Peoples Hosp 1, Affiliated Hosp 3, Dept Thyroid Surg, Changzhou, Jiangsu, Peoples R China; [Zhu, You-Long] Southeast Univ, Affiliated Xuzhou Cent Hosp, Dept Gastrointestinal Surg, Xuzhou, Jiangsu, Peoples R China</t>
  </si>
  <si>
    <t>Soochow University - China; Soochow University - China; Soochow University - China; Southeast University - China</t>
  </si>
  <si>
    <t>Deep Learning-Based Multimodal Fusion of Ultrasound, Cytology, and Clinical Features to Distinguish Follicular Thyroid Carcinoma from Adenoma: A Multicenter Study</t>
  </si>
  <si>
    <t>Follicular thyroid carcinoma; Deep learning; Multimodal fusion; Ultrasound; Fine-needle aspiration cytology.</t>
  </si>
  <si>
    <t>2921</t>
  </si>
  <si>
    <t>2933</t>
  </si>
  <si>
    <t>10.1016/j.acra.2026.03.044</t>
  </si>
  <si>
    <t>http://dx.doi.org/10.1016/j.acra.2026.03.044</t>
  </si>
  <si>
    <t>JH6DW</t>
  </si>
  <si>
    <t>41982038</t>
  </si>
  <si>
    <t>WOS:001789528500001</t>
  </si>
  <si>
    <t>Yu, MZ; Yan, Y; Yan, TW; Xi, ZH; Zeng, JC; Huang, T; Xu, M; Ding, MY</t>
  </si>
  <si>
    <t>Thyroid cancer is the most common endocrine cancer with a steadily rising incidence. In recent years, artificial intelligence, particularly deep learning, has shown great potential in assisting with the diagnosis of thyroid nodules. Despite these advances, existing approaches still face several challenges, including limited single-modal information, inadequate multimodal feature fusion, and a scarcity of multimodal datasets. Hence, this study proposes a Two-stage Text-driven Multimodal Network (TTM-Net), a novel network designed for thyroid nodule ultrasound diagnosis. In the first stage, a Text-Driven Vision Pretraining (TDVP) strategy is introduced to align visual and textual features using large-scale unlabeled text-image pairs, thereby enhancing the visual encoder's ability to capture clinically relevant patterns from the thyroid ultrasound images. In the second stage, supervised classification training is conducted using labeled data. Visual and textual features are integrated via the Cross-Modal Concat-Attention Fusion (CMCAF) module, and a joint optimization strategy is employed to improve diagnostic performance. To overcome the limitations of TI RADS, we propose a Thyroid Nodule Ultrasound Feature Classification System for Artificial Intelligence (TNUFCS-AI), which integrates clinical domain knowledge. Based on this system, we constructed a structured multimodal thyroid dataset comprising 22,544 ultrasound images and corresponding clinical reports from 9466 patients. Experiments show that TTM-Net outperforms SOTA methods in classification accuracy, stability, and interpretability, achieving (94.98 +/- 0.15%) accuracy. In summary, TTM-Net significantly improves the diagnostic performance and increases the model robustness while alleviating the dependence on labeled data, providing a viable solution for developing high-performance, interpretable, and deployable AI-assisted diagnostic systems for thyroid nodules.</t>
  </si>
  <si>
    <t>Yu, Mengzhu; Yan, Yu; Yan, Tianwei; Xi, Zihan; Zeng, Junchao; Huang, Tao; Xu, Ming; Ding, Mingyue</t>
  </si>
  <si>
    <t>Ding, MY (corresponding author), Huazhong Univ Sci &amp; Technol, Sch Life Sci &amp; Technol, Dept Biomed Engn, Luoyu Rd 1037, Wuhan 430074, Peoples R China.; Ding, MY (corresponding author), Huazhong Univ Sci &amp; Technol, Adv Biomed Imaging Facilityy, Luoyu Rd 1037, Wuhan 430074, Hubei, Peoples R China.; Xu, M (corresponding author), Huazhong Univ Sci &amp; Technol, Union Hosp, Tongji Med Coll, Dept Breast &amp; Thyroid Surg, Hangkong Rd 13, Wuhan 430022, Hubei, Peoples R China.</t>
  </si>
  <si>
    <t>myding@hust.edu.cn; mingxuwhuh@hust.edu.cn</t>
  </si>
  <si>
    <t>Key Program of the Natural Science Foundation of Hubei Province [2021BCA142]; National Natural Science Foundation of China [82303518]</t>
  </si>
  <si>
    <t>Key Program of the Natural Science Foundation of Hubei Province; National Natural Science Foundation of China (National Natural Science Foundation of China (NSFC))</t>
  </si>
  <si>
    <t>This work was supported in part by the Key Program of the Natural Science Foundation of Hubei Province (Grant No. 2021BCA142) and the National Natural Science Foundation of China (Grant No. 82303518) .</t>
  </si>
  <si>
    <t>[Yu, Mengzhu; Zeng, Junchao; Ding, Mingyue] Huazhong Univ Sci &amp; Technol, Sch Life Sci &amp; Technol, Dept Biomed Engn, Luoyu Rd 1037, Wuhan 430074, Peoples R China; [Yu, Mengzhu; Ding, Mingyue] Huazhong Univ Sci &amp; Technol, Adv Biomed Imaging Facilityy, Luoyu Rd 1037, Wuhan 430074, Hubei, Peoples R China; [Yan, Yu; Yan, Tianwei] Huazhong Univ Sci &amp; Technol, Union Hosp, Tongji Med Coll, Dept Breast &amp; Thyroid Surg, Ultrasonog Room,Hangkong Rd 13, Wuhan 430022, Hubei, Peoples R China; [Yan, Yu; Xi, Zihan; Huang, Tao; Xu, Ming] Huazhong Univ Sci &amp; Technol, Union Hosp, Tongji Med Coll, Dept Breast &amp; Thyroid Surg, Hangkong Rd 13, Wuhan 430022, Hubei, Peoples R China</t>
  </si>
  <si>
    <t>Huazhong University of Science &amp; Technology; Huazhong University of Science &amp; Technology; Huazhong University of Science &amp; Technology; Huazhong University of Science &amp; Technology</t>
  </si>
  <si>
    <t>A two-stage multimodal learning framework based on text-driven vision pretraining and cross-modal feature fusion for thyroid ultrasound diagnosis</t>
  </si>
  <si>
    <t>Thyroid nodule diagnosis; Multimodal fusion; Unsupervised pretraining; Attention mechanism</t>
  </si>
  <si>
    <t>DATA SYSTEM; NODULES; STRATIFICATION</t>
  </si>
  <si>
    <t>ZENG, JUNCHAO/AFL-8060-2022</t>
  </si>
  <si>
    <t>65</t>
  </si>
  <si>
    <t>MAY 25 2026</t>
  </si>
  <si>
    <t>312</t>
  </si>
  <si>
    <t>131440</t>
  </si>
  <si>
    <t>10.1016/j.eswa.2026.131440</t>
  </si>
  <si>
    <t>http://dx.doi.org/10.1016/j.eswa.2026.131440</t>
  </si>
  <si>
    <t>DQ4IK</t>
  </si>
  <si>
    <t>WOS:001689609400001</t>
  </si>
  <si>
    <t>Hu, HD; Liu, J; Li, XY; Zhou, HK; He, HH</t>
  </si>
  <si>
    <t>Research interest in multimodal Emotion Recognition in Conversation (ERC) has grown significantly recently. Yet, most ERC models focus on the semantic-level context, while ignore the transference of emotions as a dynamic flow between speakers (emotional-level context), which leads to prediction failure when emotional transference occurs. Moreover, most existing studies disregard the intricate correlations and collaborative associations between modalities, failing to obtain more informative emotional representations. Additionally, existing ERC models have overlooked the issue of class imbalance in datasets, leading to the misclassification of minority emotion classes and those with semantic resemblances. In order to effectively model emotional-level context in dialogue, we develop a Correlation Aware Multimodal fusion network with Emotional Transference Capture (CAM-ETC). Specifically, we design an emotional transference capture module (EmoTrans) which utilizes reinforcement learning to enhance emotional-level context modeling by capturing explicit emotional transference in a continuous emotion flow across utterances. Then, a correlation-aware cross-modal fusion module (CrossAttn) is developed to obtain multimodal representations with richer emotional information, capturing fine-grained and nonlinear complementary and collaborative relationships between modalities. Finally, we introduce the Focused Contrastive (FC) loss, which gives harder-to-classify emotion classes greater weight during the training phase, thereby mitigating the challenge of identifying minority and semantically indistinguishable emotion classes. Through rigorous experiments on the IEMOCAP and MELD datasets, our CAM-ETC approach demonstrates a notable boost in ERC performance, outperforming state-of-the-art ERC models.</t>
  </si>
  <si>
    <t>Hu, Huadong; Liu, Jin; Li, Xingye; Zhou, Hongkun; He, Huihua</t>
  </si>
  <si>
    <t>Liu, J (corresponding author), Shanghai Maritime Univ, Coll Informat Engn, Shanghai 201306, Peoples R China.; He, HH (corresponding author), Shanghai Normal Univ, Coll Early Childhood Educ, Shanghai 200235, Peoples R China.</t>
  </si>
  <si>
    <t>jinliu@shmtu.edu.cn; 202330310230@stu.shmtu.edu.cn; zhouhongkun@stu.shmtu.edu.cn; hehuihua@shnu.edu.cn; 202340310008@stu.shmtu.edu.cn</t>
  </si>
  <si>
    <t>National Social Science Foundation of China [20ZD130]; National Key Technologies Research and Development Program of China [2021YFC2801001]</t>
  </si>
  <si>
    <t>National Social Science Foundation of China (National Office of Philosophy and Social Sciences); National Key Technologies Research and Development Program of China (National Key Research &amp; Development Program of China)</t>
  </si>
  <si>
    <t>This work was supported in part by theNational Key Technologies Research and Development Program of China underGrant 2021YFC2801001 and in part by the National Social Science Foundationof China under Grant 20&amp;ZD130.</t>
  </si>
  <si>
    <t>[Hu, Huadong; Liu, Jin; Li, Xingye; Zhou, Hongkun] Shanghai Maritime Univ, Coll Informat Engn, Shanghai 201306, Peoples R China; [He, Huihua] Shanghai Normal Univ, Coll Early Childhood Educ, Shanghai 200235, Peoples R China</t>
  </si>
  <si>
    <t>Shanghai Maritime University; Shanghai Normal University</t>
  </si>
  <si>
    <t>A Correlation Aware Multimodal Fusion Network With Emotional Transference Capture for Emotion Recognition in Conversations</t>
  </si>
  <si>
    <t>IEEE TRANSACTIONS ON AUDIO SPEECH AND LANGUAGE PROCESSING</t>
  </si>
  <si>
    <t>Emotion recognition; emotion recognition in conversations; multimodal fusion; emotional transference; reinforcement learning; emotion recognition in conversations; multimodal fusion; emotional transference; reinforcement learning</t>
  </si>
  <si>
    <t>He, Huihua/HKE-0085-2023; Liu, Jin/IWE-0030-2023</t>
  </si>
  <si>
    <t>He, Huihua/0000-0003-4628-7425; Hu, Huadong/0009-0006-9102-8288; Liu, Jin/0000-0001-7249-698X</t>
  </si>
  <si>
    <t>2998-4173</t>
  </si>
  <si>
    <t>IEEE T AUDIO SPEECH</t>
  </si>
  <si>
    <t>IEEE Trans. Audio Speech Lang. Process.</t>
  </si>
  <si>
    <t>10.1109/TASLPRO.2025.3634976</t>
  </si>
  <si>
    <t>http://dx.doi.org/10.1109/TASLPRO.2025.3634976</t>
  </si>
  <si>
    <t>Acoustics; Engineering, Electrical &amp; Electronic</t>
  </si>
  <si>
    <t>Acoustics; Engineering</t>
  </si>
  <si>
    <t>Y9635</t>
  </si>
  <si>
    <t>WOS:001642136500005</t>
  </si>
  <si>
    <t>Xu, Y; Yang, WP; Xue, Y; He, SY</t>
  </si>
  <si>
    <t>Early lung cancer diagnosis requires both accurate lesion localization and faithful three-dimensional morphological reconstruction. However, conventional pipelines typically treat detection and reconstruction as separate tasks, limiting the use of complementary information between two-dimensional imaging features and three-dimensional geometric structure. To address this issue, we propose a 3D point cloud and multimodal fusion system for early lung cancer diagnosis, built on a constraint-propagation information fusion framework that jointly optimizes lesion localization and high-fidelity reconstruction. The proposed system consists of two tightly coupled modules. First, a state-space-model-based localization network extracts long-range contextual features from lung CT images and identifies suspicious lesion regions efficiently. Second, a reconstruction module combines point cloud diffusion, triplane cross-modal fusion, and geometry-aware optimization to recover detailed three-dimensional lesion surfaces. A bidirectional constraint propagation mechanism is further introduced, where localization confidence guides adaptive point sampling and detail allocation during reconstruction, while reconstructed geometric boundaries provide feedback to refine lesion localization. Experiments on multiple public lung CT datasets demonstrate that the proposed method consistently improves both detection accuracy and reconstruction fidelity compared with sequential baselines and existing methods. These results indicate that constraint-propagation multimodal fusion offers an effective solution for early lung cancer screening, three-dimensional lesion assessment, and clinical decision support.</t>
  </si>
  <si>
    <t>Xu, Yang; Yang, Weiping; Xue, Yi; He, Shuyao</t>
  </si>
  <si>
    <t>Xu, Y (corresponding author), Chinese PLA Med Coll, Sr Dept Resp &amp; Crit Care Med, Beijing 100091, Peoples R China.</t>
  </si>
  <si>
    <t>yangxu202511@163.com</t>
  </si>
  <si>
    <t>Beijing Natural Science Foundation [26G11284]</t>
  </si>
  <si>
    <t>Beijing Natural Science Foundation (Beijing Natural Science Foundation)</t>
  </si>
  <si>
    <t>This research is supported by the Beijing Natural Science Foundation (26G11284) .</t>
  </si>
  <si>
    <t>[Xu, Yang; Xue, Yi] Chinese PLA Med Coll, Sr Dept Resp &amp; Crit Care Med, Beijing 100091, Peoples R China; [Yang, Weiping] Chinese Peoples Liberat Army Gen Hosp, Otorhinolaryngol Res Inst, Beijing 100853, Peoples R China; [He, Shuyao] Northeastern Univ, Boston, MA 02115 USA</t>
  </si>
  <si>
    <t>Chinese People's Liberation Army General Hospital; Northeastern University</t>
  </si>
  <si>
    <t>A 3D point cloud and multimodal fusion system for early lung cancer diagnosis: Constraint-propagation information fusion for coupled localization and high-fidelity reconstruction</t>
  </si>
  <si>
    <t>Information fusion; Point cloud; Cross-modal consistency; Point-based shape generation; State space models</t>
  </si>
  <si>
    <t>104384</t>
  </si>
  <si>
    <t>10.1016/j.inffus.2026.104384</t>
  </si>
  <si>
    <t>http://dx.doi.org/10.1016/j.inffus.2026.104384</t>
  </si>
  <si>
    <t>HP3WS</t>
  </si>
  <si>
    <t>WOS:001759525000001</t>
  </si>
  <si>
    <t>Xu, ZR; Gao, Y; Wang, F; Zhang, LQ; Zhang, L; Wang, JK; Shu, J</t>
  </si>
  <si>
    <t>Depression is a prevalent mental health disorder, and early detection is crucial for timely intervention. Traditional diagnostics often rely on subjective judgments, leading to variability and inefficiency. This study proposes a fusion model for automated depression detection, leveraging bimodal data from voice and text. Wav2Vec 2.0 and BERT pre-trained models were utilized for feature extraction, while a multi-scale convolutional layer and Bi-LSTM network were employed for feature fusion and classification. Adaptive pooling was used to integrate features, enabling simultaneous depression classification and PHQ-8 severity estimation within a unified system.Experiments on the CMDC and DAIC datasets demonstrate the model's effectiveness. On CMDC, the F1 score improved by 0.0103 and 0.2017 compared to voice-only and text-only models, respectively, while RMSE decreased by 0.5186. On DAIC, the F1 score increased by 0.0645 and 0.2589, with RMSE reduced by 1.9901. These results highlight the proposed method's ability to capture and integrate multi-level information across modalities, significantly improving the accuracy and reliability of automated depression detection and severity prediction.</t>
  </si>
  <si>
    <t>Xu, Zhenrong; Gao, Yuan; Wang, Fang; Zhang, Longqian; Zhang, Li; Wang, Junke; Shu, Jie</t>
  </si>
  <si>
    <t>Zhang, L (corresponding author), South Cent Minzu Univ, Sch Biomed Engn, Wuhan 430074, Peoples R China.</t>
  </si>
  <si>
    <t>zhangli1996@163.com</t>
  </si>
  <si>
    <t>South-Central University for Nationalities</t>
  </si>
  <si>
    <t>The authors would like to thank Zhengzheng Lin and Yilong Liao for their generous assistance during the preparation of the paper.</t>
  </si>
  <si>
    <t>[Xu, Zhenrong; Gao, Yuan; Wang, Fang; Zhang, Longqian; Zhang, Li; Wang, Junke; Shu, Jie] South Cent Minzu Univ, Sch Biomed Engn, Wuhan 430074, Peoples R China</t>
  </si>
  <si>
    <t>South Central Minzu University</t>
  </si>
  <si>
    <t>Depression detection methods based on multimodal fusion of voice and text</t>
  </si>
  <si>
    <t>Depression; Deep learning; Multi-modal fusion; CMDC; DAIZ-WOZ</t>
  </si>
  <si>
    <t>DISORDER; AUDIO</t>
  </si>
  <si>
    <t>Gao, Yuan/L-2216-2016; bill, maroch/HTS-0565-2023</t>
  </si>
  <si>
    <t>Gao, Yuan/0000-0002-3011-9761</t>
  </si>
  <si>
    <t>JUL 1 2025</t>
  </si>
  <si>
    <t>21907</t>
  </si>
  <si>
    <t>10.1038/s41598-025-03524-4</t>
  </si>
  <si>
    <t>http://dx.doi.org/10.1038/s41598-025-03524-4</t>
  </si>
  <si>
    <t>4OQ2G</t>
  </si>
  <si>
    <t>40593978</t>
  </si>
  <si>
    <t>WOS:001522988600008</t>
  </si>
  <si>
    <t>Qiu, Z; Fan, SF; Liang, HB; Liu, JC</t>
  </si>
  <si>
    <t>In practical industrial production environments, the collection of fault signals is often accompanied by significant background noise. The presence of substantial noise makes feature extraction from fault signals very challenging, thereby reducing fault diagnosis performance. To address this issue, this paper proposes a multimodal fusion fault diagnosis method based on a multiscale stacked denoising autoencoder and dual-branch feature fusion network (MSSDAE-DBFFN). First, the noisy vibration signals are denoised using the MSSDAE. Then, the denoised vibration signals are divided into two branches for feature extraction and fusion. In one branch, the vibration signals are converted into gramian angular summation field (GASF) images using the GASF, and feature extraction is performed with a multiscale convolutional network. In the other branch, the waveforms are subjected to feature extraction using a wavelet scattering network. Finally, the fused features are sent to a classifier to complete the fault diagnosis task. To demonstrate the effectiveness of the proposed method, it is compared with four different denoising methods and five different classification methods across two datasets. The experimental results show that MSSDAE-DBFFN outperforms the other methods in both denoising and classification across five different signal-to-noise ratios (SNR). At an SNR of -10 dB, the SNRs after denoising are 4.582 dB and 5.489 dB, respectively, while the accuracy rates are 89.33 % and 91.67 %, respectively.</t>
  </si>
  <si>
    <t>Qiu, Zhi; Fan, Shanfei; Liang, Haibo; Liu, Jincai</t>
  </si>
  <si>
    <t>Qiu, Z (corresponding author), Southwest Petr Univ, Sch Mechatron Engn, Chengdu 610500, Sichuan, Peoples R China.</t>
  </si>
  <si>
    <t>yallym@163.com</t>
  </si>
  <si>
    <t>Sichuan Scienceand Technology Plan Project [2023NSFSC1981]</t>
  </si>
  <si>
    <t>Sichuan Scienceand Technology Plan Project</t>
  </si>
  <si>
    <t>This work is supported in partby the Sichuan Scienceand Technology Plan Project (2023NSFSC1981)</t>
  </si>
  <si>
    <t>[Qiu, Zhi; Fan, Shanfei; Liang, Haibo; Liu, Jincai] Southwest Petr Univ, Sch Mechatron Engn, Chengdu 610500, Sichuan, Peoples R China</t>
  </si>
  <si>
    <t>Southwest Petroleum University</t>
  </si>
  <si>
    <t>Multimodal fusion fault diagnosis method under noise interference</t>
  </si>
  <si>
    <t>APPLIED ACOUSTICS</t>
  </si>
  <si>
    <t>Rotating machinery; Fault diagnosis; Multimodal fusion; Feature extraction</t>
  </si>
  <si>
    <t>0003-682X</t>
  </si>
  <si>
    <t>1872-910X</t>
  </si>
  <si>
    <t>APPL ACOUST</t>
  </si>
  <si>
    <t>Appl. Acoust.</t>
  </si>
  <si>
    <t>JAN 15 2025</t>
  </si>
  <si>
    <t>228</t>
  </si>
  <si>
    <t>110301</t>
  </si>
  <si>
    <t>10.1016/j.apacoust.2024.110301</t>
  </si>
  <si>
    <t>http://dx.doi.org/10.1016/j.apacoust.2024.110301</t>
  </si>
  <si>
    <t>Acoustics</t>
  </si>
  <si>
    <t>I5Y9N</t>
  </si>
  <si>
    <t>WOS:001331025000001</t>
  </si>
  <si>
    <t>Yuan, ZY; Huang, ZD; Li, CJ; Li, SR; Ren, QG; Xia, XN; Jiang, QJ; Zhang, DQ; Zhu, Q; Meng, XS</t>
  </si>
  <si>
    <t>Objectives To propose a multimodal functional brain network (FBN) and structural brain network (SBN) topological feature fusion technique based on resting-state functional magnetic resonance imaging (rs-fMRI), diffusion tensor imaging (DTI), 3D-T1-weighted imaging (3D-T1WI), and demographic characteristics to diagnose mild cognitive impairment (MCI) in patients with unilateral middle cerebral artery (MCA) steno-occlusive disease.Methods The performances of different algorithms on the MCI dataset were evaluated using 5-fold cross-validation. The diagnostic results of the multimodal performance were evaluated using t-distributed stochastic neighbor embedding (t-SNE) analysis. The four-modal analysis method proposed in this study was applied to identify brain regions and connections associated with MCI, thus confirming its validity.Results Based on the fusion of the topological features of the multimodal FBN and SBN, the accuracy for the diagnosis of MCI in patients with unilateral MCA steno-occlusive disease reached 90.00%. The accuracy, recall, sensitivity, and F1-score were higher than those of the other methods, as was the diagnostic efficacy (AUC = 0.9149).Conclusion The multimodal FBN and SBN topological feature fusion technique, which incorporates rs-fMRI, DTI, 3D-T1WI, and demographic characteristics, obtains the most discriminative features of MCI in patients with unilateral MCA steno-occlusive disease and can effectively identify disease-related brain areas and connections. Efficient automated diagnosis facilitates the early and accurate detection of MCI and timely intervention and treatment to delay or prevent disease progression.</t>
  </si>
  <si>
    <t>Yuan, Ziyi; Huang, Zhaodi; Li, Chaojun; Li, Shengrong; Ren, Qingguo; Xia, Xiaona; Jiang, Qingjun; Zhang, Daoqiang; Zhu, Qi; Meng, Xiangshui</t>
  </si>
  <si>
    <t>Zhu, Q (corresponding author), Nanjing Univ Aeronaut &amp; Astronaut, Coll Artificial Intelligence, Key Lab Brain Machine Intelligence Technol, Minist Educ, Nanjing, Peoples R China.; Meng, XS (corresponding author), Shandong Univ, Qilu Hosp Qingdao, Cheeloo Coll Med, Dept Radiol, Qingdao, Peoples R China.; Meng, XS (corresponding author), Med Imaging &amp; Engn Intersect Key Lab Qingdao, Qingdao, Peoples R China.</t>
  </si>
  <si>
    <t>zhuqi@nuaa.edu.cn; mengxiangshui2021@126.com</t>
  </si>
  <si>
    <t>Natural Science Foundation of Shandong province [ZR2023MH042]; Qingdao key clinical specialty project fund [QDZDZK-2022-097]; Natural Science Foundation of Qingdao [23-2-1-201-zyyd-jch, 24-4-4-zrjj-153-jch]</t>
  </si>
  <si>
    <t>Natural Science Foundation of Shandong province (Natural Science Foundation of Shandong Province); Qingdao key clinical specialty project fund; Natural Science Foundation of Qingdao</t>
  </si>
  <si>
    <t>The author(s) declare that financial support was received for the research, authorship, and/or publication of this article. This research was supported by the Natural Science Foundation of Shandong province (ZR2023MH042), Qingdao key clinical specialty project fund (QDZDZK-2022-097), and the Natural Science Foundation of Qingdao (23-2-1-201-zyyd-jch, 24-4-4-zrjj-153-jch).</t>
  </si>
  <si>
    <t>[Yuan, Ziyi] Shandong Univ, Cheeloo Coll Med, Sch Med, Jinan, Peoples R China; [Huang, Zhaodi] Fujian Med Univ, Dept Radiol, Meng Chao Hepatobiliary Hosp, Fuzhou, Fujian, Peoples R China; [Li, Chaojun; Li, Shengrong; Zhang, Daoqiang; Zhu, Qi] Nanjing Univ Aeronaut &amp; Astronaut, Coll Artificial Intelligence, Key Lab Brain Machine Intelligence Technol, Minist Educ, Nanjing, Peoples R China; [Ren, Qingguo; Xia, Xiaona; Jiang, Qingjun; Meng, Xiangshui] Shandong Univ, Qilu Hosp Qingdao, Cheeloo Coll Med, Dept Radiol, Qingdao, Peoples R China; [Meng, Xiangshui] Med Imaging &amp; Engn Intersect Key Lab Qingdao, Qingdao, Peoples R China</t>
  </si>
  <si>
    <t>Shandong University; Fujian Medical University; Nanjing University of Aeronautics &amp; Astronautics; Shandong University</t>
  </si>
  <si>
    <t>Multimodal fusion model for diagnosing mild cognitive impairment in unilateral middle cerebral artery steno-occlusive disease</t>
  </si>
  <si>
    <t>FRONTIERS IN AGING NEUROSCIENCE</t>
  </si>
  <si>
    <t>middle cerebral artery; stenosis; multimodality imaging; mild cognitive impairment; Montreal cognitive assessment</t>
  </si>
  <si>
    <t>VOXEL-BASED MORPHOMETRY; FUNCTIONAL ARCHITECTURE; INTRACRANIAL STENOSIS; ALZHEIMER-DISEASE; BRAIN; CORTEX; METAANALYSIS; ATROPHY; GYRUS</t>
  </si>
  <si>
    <t>Li, Shengrong/JGM-9826-2023; Zhu, Qi/JFS-3870-2023; Zhang, Daoqiang/D-3754-2011; Huang, Zhaodi/HIR-9441-2022</t>
  </si>
  <si>
    <t>1663-4365</t>
  </si>
  <si>
    <t>FRONT AGING NEUROSCI</t>
  </si>
  <si>
    <t>Front. Aging Neurosci.</t>
  </si>
  <si>
    <t>FEB 12 2025</t>
  </si>
  <si>
    <t>1527323</t>
  </si>
  <si>
    <t>10.3389/fnagi.2025.1527323</t>
  </si>
  <si>
    <t>http://dx.doi.org/10.3389/fnagi.2025.1527323</t>
  </si>
  <si>
    <t>Geriatrics &amp; Gerontology; Neurosciences</t>
  </si>
  <si>
    <t>Geriatrics &amp; Gerontology; Neurosciences &amp; Neurology</t>
  </si>
  <si>
    <t>Y3R3D</t>
  </si>
  <si>
    <t>40013095</t>
  </si>
  <si>
    <t>WOS:001431332300001</t>
  </si>
  <si>
    <t>Li, T; Lou, X; Yang, ZQ; Fan, CJ; Gong, BL; Xie, GQ; Zhang, J; Wang, K; Zhang, HH; Peng, Y</t>
  </si>
  <si>
    <t>The issue of air pollution from transportation sources remains a major concern, particularly the emissions from heavy-duty diesel vehicles, which pose serious threats to ecosystems and human health. China VI emission standards mandate On-Board Diagnostics (OBD) systems in heavy-duty diesel vehicles for real-time data transmission, yet the current data quality, especially concerning crucial parameters like NOx output, remains inadequate for effective regulation. To address this, a novel approach integrating Multimodal Feature Fusion with Particle Swarm Optimization (OBD-PSOMFF) is proposed. This network employs Long Short-Term Memory (LSTM) networks to extract features from OBD indicators, capturing temporal dependencies. PSO optimizes feature weights, enhancing prediction accuracy. Testing on 23 heavy-duty vehicles demonstrates significant improvements in predicting NOx and CO2 mass emission rates, with mean squared errors reduced by 65.205 % and 70.936 % respectively compared to basic LSTM models. This innovative multimodal fusion method offers a robust framework for emission prediction, crucial for effective vehicle emission regulation and environmental preservation.</t>
  </si>
  <si>
    <t>Li, Tao; Lou, Xin; Yang, Zhuoqian; Fan, Chaojie; Gong, Baoli; Xie, Guoquan; Zhang, Jing; Wang, Kui; Zhang, Honghao; Peng, Yong</t>
  </si>
  <si>
    <t>Peng, Y (corresponding author), Cent South Univ, Sch Traff &amp; Transportat Engn, Key Lab Traff Safety Track, Minist Educ, Changsha 410000, Peoples R China.</t>
  </si>
  <si>
    <t>yong_peng@csu.edu.cn</t>
  </si>
  <si>
    <t>National Key Research and Development Program of China [2022YFB4300300]; Fund of Chongqing Key Laboratory of Vehicle Emission and Economizing Energy [PFJN-13]; Hunan Science Foundation for Distinguished Young Scholars of China [2021JJ110059]; National Natural Science Foundation of China [52105523, 52075553]; Natural Science Foundation of Shandong [ZR2021QE249]; China Postdoctoral Science Foundation [2021 M703559]</t>
  </si>
  <si>
    <t>National Key Research and Development Program of China (National Key Research &amp; Development Program of China); Fund of Chongqing Key Laboratory of Vehicle Emission and Economizing Energy; Hunan Science Foundation for Distinguished Young Scholars of China; National Natural Science Foundation of China (National Natural Science Foundation of China (NSFC)); Natural Science Foundation of Shandong (Natural Science Foundation of Shandong Province); China Postdoctoral Science Foundation (China Postdoctoral Science Foundation)</t>
  </si>
  <si>
    <t>This research is funded by the National Key Research and Development Program of China [2022YFB4300300] ; the Fund of Chongqing Key Laboratory of Vehicle Emission and Economizing Energy [grant number PFJN-13] ; the Hunan Science Foundation for Distinguished Young Scholars of China [grant number 2021JJ110059] ; the National Natural Science Foundation of China [grant number 52105523, 52075553] ; the Natural Science Foundation of Shandong [grant number ZR2021QE249] ; and the China Postdoctoral Science Foundation Funded Project [grant number 2021 M703559] .</t>
  </si>
  <si>
    <t>[Li, Tao; Lou, Xin; Fan, Chaojie; Gong, Baoli; Xie, Guoquan; Zhang, Jing; Wang, Kui; Peng, Yong] Cent South Univ, Sch Traff &amp; Transportat Engn, Key Lab Traff Safety Track, Minist Educ, Changsha 410000, Peoples R China; [Gong, Baoli] China Automot Engn Res Inst, Chongqing Key Lab Vehicle Emiss &amp; Economizing Ener, Chongqing 401122, Peoples R China; [Yang, Zhuoqian] Southwest Jiaotong Univ, Sch Transportat &amp; Logist, Chengdu 610031, Peoples R China; [Zhang, Honghao] Shandong Univ, Sch Mech Engn, Key Lab High Efficiency &amp; Clean Mech Manufacture, Minist Educ, Jinan 250061, Peoples R China</t>
  </si>
  <si>
    <t>Central South University; Southwest Jiaotong University; Shandong University</t>
  </si>
  <si>
    <t>Clarifying the impact of engine operating parameters of heavy-duty diesel vehicles on NOx and CO2 emissions using multimodal fusion methods</t>
  </si>
  <si>
    <t>SCIENCE OF THE TOTAL ENVIRONMENT</t>
  </si>
  <si>
    <t>Road transport emissions; Heavy-duty diesel vehicles; On-board diagnostics; Multimodal feature fusion; Long short-term memory; Particle swarm optimization</t>
  </si>
  <si>
    <t>MODEL; NETWORKS; TIME</t>
  </si>
  <si>
    <t>Yang, Zhuoqian/LDG-5743-2024; Peng, Yong/ACP-0394-2022</t>
  </si>
  <si>
    <t>Zhang, Jing/0009-0008-5227-0981; Yang, Zhuoqian/0000-0002-9646-3581</t>
  </si>
  <si>
    <t>0048-9697</t>
  </si>
  <si>
    <t>1879-1026</t>
  </si>
  <si>
    <t>SCI TOTAL ENVIRON</t>
  </si>
  <si>
    <t>Sci. Total Environ.</t>
  </si>
  <si>
    <t>DEC 1 2024</t>
  </si>
  <si>
    <t>954</t>
  </si>
  <si>
    <t>176598</t>
  </si>
  <si>
    <t>10.1016/j.scitotenv.2024.176598</t>
  </si>
  <si>
    <t>http://dx.doi.org/10.1016/j.scitotenv.2024.176598</t>
  </si>
  <si>
    <t>Environmental Sciences</t>
  </si>
  <si>
    <t>I8L0R</t>
  </si>
  <si>
    <t>39349205</t>
  </si>
  <si>
    <t>WOS:001332704500001</t>
  </si>
  <si>
    <t>Wu, ZX; Wang, WK; Li, SX; Guo, DH</t>
  </si>
  <si>
    <t>To address the challenges of non-stationary signals, strong noise, and data heterogeneity in industrial fault diagnosis, this paper proposes a multimodal feature fusion model based on RepLKNet and BiGRU. The model uses a dual-channel structure to simultaneously process time-frequency images and time-series signals, thereby fully exploiting their complementary advantages. In the image branch, the large convolution kernel RepLKNet is introduced to extract the global frequency domain features. In the temporal branch, BiGRU is combined with the global attention mechanism to enhance the modeling ability of critical moments. Experiments are carried out on CWRU and HUST bearing datasets. The results show that the proposed method is superior to the existing methods in complex fault recognition and generalization performance, and has good engineering application prospects.</t>
  </si>
  <si>
    <t>Wu, Zaixin; Wang, Wenkang; Li, Shixiao; Guo, Dehong</t>
  </si>
  <si>
    <t>Wang, WK (corresponding author), Lanzhou Univ Technol, Sch Mech &amp; Elect Engn, Lanzhou 730050, Gansu, Peoples R China.</t>
  </si>
  <si>
    <t>wwk163wwk@163.com</t>
  </si>
  <si>
    <t>[Wu, Zaixin; Wang, Wenkang; Li, Shixiao; Guo, Dehong] Lanzhou Univ Technol, Sch Mech &amp; Elect Engn, Lanzhou 730050, Gansu, Peoples R China</t>
  </si>
  <si>
    <t>Lanzhou University of Technology</t>
  </si>
  <si>
    <t>Multimodal fusion of large-kernel convolution and BiGRU for bearing fault diagnosis</t>
  </si>
  <si>
    <t>JOURNAL OF MECHANICAL SCIENCE AND TECHNOLOGY</t>
  </si>
  <si>
    <t>Multimodal fusion; RepLKNet; BiGRU; Attention mechanism; Bearing fault diagnosis</t>
  </si>
  <si>
    <t>KOREAN SOC MECHANICAL ENGINEERS</t>
  </si>
  <si>
    <t>KSTC NEW BLD. 7TH FLOOR, 635-4 YEOKSAM-DONG KANGNAM-KU, SEOUL 135-703, SOUTH KOREA</t>
  </si>
  <si>
    <t>1738-494X</t>
  </si>
  <si>
    <t>1976-3824</t>
  </si>
  <si>
    <t>J MECH SCI TECHNOL</t>
  </si>
  <si>
    <t>J. Mech. Sci. Technol.</t>
  </si>
  <si>
    <t>5653</t>
  </si>
  <si>
    <t>5663</t>
  </si>
  <si>
    <t>10.1007/s12206-026-0705-z</t>
  </si>
  <si>
    <t>http://dx.doi.org/10.1007/s12206-026-0705-z</t>
  </si>
  <si>
    <t>Engineering, Mechanical</t>
  </si>
  <si>
    <t>MX0CG</t>
  </si>
  <si>
    <t>WOS:001841956400001</t>
  </si>
  <si>
    <t>Hu, C; Sun, CF; Wang, YR</t>
  </si>
  <si>
    <t>Gearboxes are crucial for reliable power transmission in rotating machinery. Single-modal diagnostic methods limit feature expression, while multimodal methods, while improving accuracy, are still limited by insufficient cross-modal feature mining and inadequate representation of multi-scale fault features. To address this issue, this paper proposes a multimodal time-frequency feature fusion network (MFFNet). This network efficiently extracts fault signatures by collaboratively analyzing short-time Fourier transform (STFT) time-frequency graphs and Markov transition field (MTF) state transition features. First, feature mode decomposition (FMD) based on finite impulse response (FIR) filters is used to adaptively extract fault-sensitive modes from the raw vibration signal. Then, a dual-channel time-frequency representation is constructed using the STFT and MTF to encode the time-frequency and state transition features of the time series. To enhance feature integration, a feature fusion module (FFM) combining a cross-modal self-attention mechanism and an adaptive weighted fusion strategy was designed, as well as a multi-scale fusion module (MFM) for cross-resolution feature alignment. This enhanced the model's ability to model fault information in complex non-stationary vibration signals and ensured the integrity of fault feature extraction. Finally, an adaptive decision-level fusion strategy was employed to integrate multi-branch diagnosis results. Experimental results demonstrate that MFFNet outperforms the comparison models on the planetary gearbox vibration dataset, achieving a fault diagnosis accuracy of 99.50 %. This demonstrates the method's excellent diagnostic performance and generalizability under diverse operating conditions.</t>
  </si>
  <si>
    <t>Hu, Cheng; Sun, CanFei; Wang, Youren</t>
  </si>
  <si>
    <t>Sun, CF (corresponding author), Shanghai Univ Engn Sci, Sch Air Transportat, Shanghai 201620, Peoples R China.</t>
  </si>
  <si>
    <t>38220001@sues.edu.cn</t>
  </si>
  <si>
    <t>National Natural Science Foundation of China [52372430]; Aeronautical Science Foundation of China [20230033052002, 2024AI005]</t>
  </si>
  <si>
    <t>National Natural Science Foundation of China (National Natural Science Foundation of China (NSFC)); Aeronautical Science Foundation of China (Aeronautical Science Foundation of China (ASFC))</t>
  </si>
  <si>
    <t>This study was co-supported by the National Natural Science Foundation of China (No. 52372430), the Aeronautical Science Foundation of China (No. 20230033052002), and Artificial intelligence promotes reforms in scientific research paradigms and empowers projects aimed at advancing academic disciplines (No. 2024AI005).</t>
  </si>
  <si>
    <t>[Hu, Cheng; Sun, CanFei] Shanghai Univ Engn Sci, Sch Air Transportat, Shanghai 201620, Peoples R China; [Wang, Youren] Nanjing Univ Aeronaut &amp; Astronaut, Coll Automat Engn, Nanjing 211106, Peoples R China</t>
  </si>
  <si>
    <t>Shanghai University of Engineering Science; Nanjing University of Aeronautics &amp; Astronautics</t>
  </si>
  <si>
    <t>MFFNet: An adaptive dual-channel multimodal fusion network based on time-frequency representations for fault diagnosis of variable-speed gearboxes</t>
  </si>
  <si>
    <t>Feature fusion; Feature mode decomposition; Markov transition field; Mechanical fault diagnosis; Multi-scale fusion; Short-time Fourier transform</t>
  </si>
  <si>
    <t>wang, youren/LKK-5694-2024</t>
  </si>
  <si>
    <t>4175</t>
  </si>
  <si>
    <t>4190</t>
  </si>
  <si>
    <t>10.1007/s12206-026-0513-5</t>
  </si>
  <si>
    <t>http://dx.doi.org/10.1007/s12206-026-0513-5</t>
  </si>
  <si>
    <t>JI1HC</t>
  </si>
  <si>
    <t>WOS:001783157700001</t>
  </si>
  <si>
    <t>Liu, WZ; Li, TY; Chen, YJ</t>
  </si>
  <si>
    <t>Multimodal Emotion Recognition in Conversation (MERC) aims to predict the emotional state of each utterance in a dialogue by leveraging contextual cues and multiple modalities. Consequently, the effective modeling of multimodal contextual information is central to this task. However, existing MERC approaches often conflate the modeling of intra- and inter-modal interactions across utterances and fail to effectively model the global comprehensive interactions among all modalities, thereby limiting the accuracy of MERC. To address these problems, we propose a novel dual-branch multimodal fusion network based on graph and attention (DFGAnet) for MERC, which primarily comprises two parallel branches, namely the unimodal branch multi graph propagation network (UMGPN) and the cross-modal branch multi attention interaction network (CMAIN). UMGPN focuses on adaptively modeling intra-modal interactions across utterances to extract diverse intra-modal contextual information. Meanwhile, CMAIN is specialized in modeling the global comprehensive interactions among all modalities to sufficiently extract inter-modal complementary information. Such a parallel learning architecture alleviates fusion conflicts and information redundancy, while preserving both unimodal and cross-modal features at the final fusion stage, thus promoting comprehensive multimodal integration. Furthermore, an auxiliary cross-modal fusion loss (ACFL) is introduced to further promote cross-modal representation learning. Finally, the IEMOCAP and MELD datasets are adopted to estimate the model performance and results indicate that the proposed method outperforms the comparative methods.</t>
  </si>
  <si>
    <t>Liu, Wenzhuo; Li, Taoying; Chen, Yijia</t>
  </si>
  <si>
    <t>Li, TY (corresponding author), Dalian Maritime Univ, Sch Maritime Econ &amp; Management, Dalian 116026, Liaoning, Peoples R China.</t>
  </si>
  <si>
    <t>2220212766@dlmu.edu.cn; lwzhuo2023@dlmu.edu.cn; litaoying@dlmu.edu.cn</t>
  </si>
  <si>
    <t>Humanities and Social Sciences Foundation of Ministry of Education [21YJC630066]</t>
  </si>
  <si>
    <t>Humanities and Social Sciences Foundation of Ministry of Education</t>
  </si>
  <si>
    <t>This work is partially supported by the Humanities and Social Sciences Foundation of Ministry of Education (21YJC630066).</t>
  </si>
  <si>
    <t>[Liu, Wenzhuo; Li, Taoying; Chen, Yijia] Dalian Maritime Univ, Sch Maritime Econ &amp; Management, Dalian 116026, Liaoning, Peoples R China</t>
  </si>
  <si>
    <t>Dalian Maritime University</t>
  </si>
  <si>
    <t>DFGAnet: a dual-branch multimodal fusion network based on graph and attention for emotion recognition in conversation</t>
  </si>
  <si>
    <t>Emotion recognition in conversation; Multimodal fusion; Graph neural networks; Multi-head attention mechanism</t>
  </si>
  <si>
    <t>DEC 4 2025</t>
  </si>
  <si>
    <t>10.1007/s00530-025-02088-7</t>
  </si>
  <si>
    <t>http://dx.doi.org/10.1007/s00530-025-02088-7</t>
  </si>
  <si>
    <t>N5921</t>
  </si>
  <si>
    <t>WOS:001631727700008</t>
  </si>
  <si>
    <t>Oulia, F; Charton, P; Kabir, M; Gardebien, F; Damour, C; Cadet, F</t>
  </si>
  <si>
    <t>Glioblastoma multiforme (GBM) is the most aggressive primary brain tumor in adults, with a median survival of 14.6 months under standard radiotherapy and temozolomide (TMZ) chemotherapy. The methylation status of the O-6-methylguanine-DNA methyltransferase (MGMT) promoter is a critical biomarker predicting TMZ response; however, its determination currently requires invasive tissue sampling. Non-invasive prediction of MGMT promoter methylation from multiparametric MRI (mpMRI) through deep learning represents a compelling alternative, yet its clinical feasibility remains unresolved. Using the BraTS 2021 dataset (582 patients, four MRI sequences: FLAIR, T1w, T1wCE, T2w), we conducted a systematic comparative study of unimodal and multimodal deep learning approaches based on VGG-16, exploring 1,380 experimental configurations (unimodal: 192; multimodal: 1,188) across three imaging planes, eight slice counts, and three multimodal fusion strategies (early, intermediate, and late fusion). In the unimodal setting, the best model trained on T2w coronal images (32 slices, no transfer learning) achieved an accuracy of 0.6458 and an AUC of 0.6422 on the validation set, but dropped to 0.5586 and 0.5533 on the independent test set, revealing substantial overfitting attributable to limited dataset size. Strikingly, multimodal fusion consistently failed to outperform the best unimodal model, with all three fusion strategies plateauing at similar to 0.64 accuracy and similar to 0.64 AUC on validation data. Transfer learning improved generalization across train/test distributions at the cost of peak performance. These findings suggest, for the tested framework in this study, that MGMT methylation status prediction from mpMRI remains fundamentally constrained by dataset heterogeneity and size, irrespective of modality combination strategy, and that T2w coronal acquisitions could be more interesting in future data collection efforts.</t>
  </si>
  <si>
    <t>Oulia, Freddy; Charton, Philippe; Kabir, Muhammad; Gardebien, Fabrice; Damour, Cedric; Cadet, Frederic</t>
  </si>
  <si>
    <t>Cadet, F (corresponding author), Univ Paris City, BIGR, Inserm, U1134, Paris, France.; Cadet, F (corresponding author), Univ Reun, Fac Sci &amp; Technol, DSIMB,U1134, BIGR,Inserm, St Denis, France.; Cadet, F (corresponding author), PEACCEL, AI Biol, Paris, France.</t>
  </si>
  <si>
    <t>cedric.damour@univ-reunion.fr</t>
  </si>
  <si>
    <t>Region Reunion and European Union (FEDER) under European Operational Program FEDER-FSE+ REUNION euro;" 2021/2027 [2021037, tiers 227180]</t>
  </si>
  <si>
    <t>Region Reunion and European Union (FEDER) under European Operational Program FEDER-FSE+ REUNION euro;" 2021/2027</t>
  </si>
  <si>
    <t>Freddy Oulia is supported by a PhD grant from the Region Reunion and European Union (FEDER) under European Operational Program FEDER-FSE+ REUNION -2021/2027 file number 2021037, tiers 227180. The funders had no role in study design, data collection and analysis, decision to publish, or preparation of the manuscript.</t>
  </si>
  <si>
    <t>[Oulia, Freddy; Charton, Philippe; Gardebien, Fabrice; Cadet, Frederic] Univ Paris City, BIGR, Inserm, U1134, Paris, France; [Oulia, Freddy; Charton, Philippe; Gardebien, Fabrice; Cadet, Frederic] Univ Reun, Fac Sci &amp; Technol, DSIMB,U1134, BIGR,Inserm, St Denis, France; [Kabir, Muhammad] Univ Management &amp; Technol, Dept Comp Sci, Lahore, Pakistan; [Damour, Cedric] Univ Reunion, Fac Sci &amp; Technol, ENERGYLab, St Denis, France; [Cadet, Frederic] PEACCEL, AI Biol, Paris, France</t>
  </si>
  <si>
    <t>Institut National de la Sante et de la Recherche Medicale (Inserm); Universite Paris Cite; Institut National de la Sante et de la Recherche Medicale (Inserm); Universite Paris Cite; University of Management &amp; Technology (UMT); University of La Reunion</t>
  </si>
  <si>
    <t>Unimodal vs. multimodal deep learning for non-invasive MGMT promoter methylation prediction in glioblastoma: A systematic evaluation on the BraTS 2021 dataset</t>
  </si>
  <si>
    <t>PLOS ONE</t>
  </si>
  <si>
    <t>MALIGNANT GLIOMAS; MRI; CLASSIFICATION; TEMOZOLOMIDE</t>
  </si>
  <si>
    <t>/D-8923-2013; Kabir, Muhammad/P-3384-2016</t>
  </si>
  <si>
    <t>OULIA, Freddy/0000-0003-2497-6983</t>
  </si>
  <si>
    <t>1932-6203</t>
  </si>
  <si>
    <t>PLoS One</t>
  </si>
  <si>
    <t>e0351405</t>
  </si>
  <si>
    <t>10.1371/journal.pone.0351405</t>
  </si>
  <si>
    <t>http://dx.doi.org/10.1371/journal.pone.0351405</t>
  </si>
  <si>
    <t>JM0ZK</t>
  </si>
  <si>
    <t>42284289</t>
  </si>
  <si>
    <t>WOS:001792566300026</t>
  </si>
  <si>
    <t>Liu, ZG; Song, YF; Liu, AR; Meng, X; Liu, C; Li, SS; Wang, XQ; Teng, GF</t>
  </si>
  <si>
    <t>Accurate and non-destructive evaluation of grape quality is crucial for intelligent viticulture, yet most existing approaches address cultivar classification and soluble solid content (SSC) prediction as independent tasks based on single-modality data, limiting robustness and practical applicability. This study proposes DualStream-RTNet, a unified multimodal deep learning framework that simultaneously performs grape cultivar classification and SSC prediction by integrating RGB-HSV fused images and PCA-compressed hyperspectral spectra. The dual-stream architecture enables the complementary learning of external chromatic-textural cues and internal physicochemical information, while a Transformer-enhanced fusion module strengthens global representation and cross-modal correlation. A dataset of 864 berries from five grape cultivars was used to validate the model. DualStream-RTNet achieved 93.64% classification accuracy, outperforming ResNet18 and other CNN baselines, and produced more compact and consistent confusion-matrix patterns. For SSC prediction, it consistently yielded the highest performance across cultivars, with R2p values up to 0.9693 and RMSE as low as 0.2567, surpassing the PLSR, SVR, LSTM, and Transformer regression models. These results demonstrate the superiority of the proposed framework in capturing both visual and spectral characteristics. DualStream-RTNet provides an efficient and scalable solution for comprehensive grape quality assessment, offering strong potential for real-time sorting, precision grading, and smart agricultural applications.</t>
  </si>
  <si>
    <t>Liu, Zhiguo; Song, Yufei; Liu, Aoran; Meng, Xi; Liu, Chang; Li, Shanshan; Wang, Xiangqing; Teng, Guifa</t>
  </si>
  <si>
    <t>Teng, GF (corresponding author), Hebei Agr Univ, Coll Informat Sci &amp; Technol, Baoding 071001, Peoples R China.; Song, YF (corresponding author), Shijiazhuang Univ, Sch Future Informat Technol, Hebei Key Lab IoT Blockchain Integrat, Shijiazhuang 050037, Peoples R China.</t>
  </si>
  <si>
    <t>lliuchang1122@163.com; wangxiangqing@sjzc.edu.cn; sjzlzg@163.com; mengxi19930511@163.com; 13223450412@163.com; liss@sjzc.edu.cn; songyufei0311@163.com; tguifa@hebau.edu.cn</t>
  </si>
  <si>
    <t>Higher Education Research Project of Hebei Province [BJ2025097]; Central Government's Guidance Fund for Local Science and Technology Development [246Z0309G]; Hebei Province Doctoral Student Innovation Capability Training Fund [CXZZBS2024073]</t>
  </si>
  <si>
    <t>Higher Education Research Project of Hebei Province; Central Government's Guidance Fund for Local Science and Technology Development; Hebei Province Doctoral Student Innovation Capability Training Fund</t>
  </si>
  <si>
    <t>This research was financially supported by the Central Government's Guidance Fund for Local Science and Technology Development (246Z0309G), the Higher Education Research Project of Hebei Province (BJ2025097), the Higher Education Research Project of Hebei Province (BJ2026072), and the Hebei Province Doctoral Student Innovation Capability Training Fund (CXZZBS2024073), China.</t>
  </si>
  <si>
    <t>[Liu, Zhiguo; Teng, Guifa] Hebei Agr Univ, Coll Informat Sci &amp; Technol, Baoding 071001, Peoples R China; [Liu, Zhiguo; Song, Yufei; Liu, Aoran; Meng, Xi; Liu, Chang; Li, Shanshan; Wang, Xiangqing] Shijiazhuang Univ, Sch Future Informat Technol, Hebei Key Lab IoT Blockchain Integrat, Shijiazhuang 050037, Peoples R China; [Liu, Aoran] Hebei Normal Univ, Hebei Prov Engn Res Ctr Supply Chain Big Data Anal, Hebei Prov Key Lab Network &amp; Informat Secur, Sch Coll Comp &amp; Cyber Secur, Shijiazhuang 050025, Peoples R China</t>
  </si>
  <si>
    <t>Hebei Agricultural University; Shijiazhuang University; Hebei Normal University</t>
  </si>
  <si>
    <t>DualStream-RTNet: A Multimodal Deep Learning Framework for Grape Cultivar Classification and Soluble Solid Content Prediction</t>
  </si>
  <si>
    <t>FOODS</t>
  </si>
  <si>
    <t>multimodal fusion; hyperspectral imaging; multi-task deep learning; RGB-HSV feature fusion</t>
  </si>
  <si>
    <t>2304-8158</t>
  </si>
  <si>
    <t>Foods</t>
  </si>
  <si>
    <t>MAR 20 2026</t>
  </si>
  <si>
    <t>1095</t>
  </si>
  <si>
    <t>10.3390/foods15061095</t>
  </si>
  <si>
    <t>http://dx.doi.org/10.3390/foods15061095</t>
  </si>
  <si>
    <t>Food Science &amp; Technology</t>
  </si>
  <si>
    <t>FS1YE</t>
  </si>
  <si>
    <t>41897816</t>
  </si>
  <si>
    <t>WOS:001726132700001</t>
  </si>
  <si>
    <t>Safarov, F; Khojamuratova, U; Komoliddin, M; Ismailovich, XI; Cho, YI</t>
  </si>
  <si>
    <t>Accurate quantification of above-ground biomass (AGB) and carbon sequestration is vital for monitoring terrestrial ecosystem dynamics, informing climate policy, and supporting carbon neutrality initiatives. However, conventional methods-ranging from manual field surveys to remote sensing techniques based solely on 2D vegetation indices-often fail to capture the intricate spectral and structural heterogeneity of forest canopies, particularly at fine spatial resolutions. To address these limitations, we introduce ForestIQNet, a novel end-to-end multimodal deep learning framework designed to estimate AGB and associated carbon stocks from UAV-acquired imagery with high spatial fidelity. ForestIQNet combines dual-stream encoders for processing multispectral UAV imagery and a voxelized Canopy Height Model (CHM), fused via a Cross-Attentional Feature Fusion (CAFF) module, enabling fine-grained interaction between spectral reflectance and 3D structure. A lightweight Transformer-based regression head then performs multitask prediction of AGB and CO2e, capturing long-range spatial dependencies and enhancing generalization. Proposed method achieves an R2 of 0.93 and RMSE of 6.1 kg for AGB prediction, compared to 0.78 R2 and 11.7 kg RMSE for XGBoost and 0.73 R2 and 13.2 kg RMSE for Random Forest. Despite its architectural complexity, ForestIQNet maintains a low inference cost (27 ms per patch) and generalizes well across species, terrain, and canopy structures. These results establish a new benchmark for UAV-enabled biomass estimation and provide scalable, interpretable tools for climate monitoring and forest management.</t>
  </si>
  <si>
    <t>Safarov, Furkat; Khojamuratova, Ugiloy; Komoliddin, Misirov; Ibragim Ismailovich, Xusinov; Cho, Young Im</t>
  </si>
  <si>
    <t>Cho, YI (corresponding author), Gachon Univ, Dept Comp Engn, 1342 Seongnam Daero, Seongnam Si 13120, South Korea.</t>
  </si>
  <si>
    <t>ugiloy.khojamuratova48@qmail.cuny.edu; yicho@gachon.ac.kr; misirovkomoliddin0218@tsue.uz; safarov@gachon.ac.kr; i.khusinov@tsue.uz</t>
  </si>
  <si>
    <t>Gachon University; Korean Agency for Technology and Standard under Ministry of Trade, Industry and Energy [20022362 (2410003714)]</t>
  </si>
  <si>
    <t>Gachon University; Korean Agency for Technology and Standard under Ministry of Trade, Industry and Energy</t>
  </si>
  <si>
    <t>This paper was supported by the Gachon University on 2024 (project number: 202404050001) and the Korean Agency for Technology and Standard under Ministry of Trade, Industry and Energy in 2024, project number 20022362 (2410003714, Establishment of standardization basis for BCI and AI Interoperability).</t>
  </si>
  <si>
    <t>[Safarov, Furkat; Cho, Young Im] Gachon Univ, Dept Comp Engn, 1342 Seongnam Daero, Seongnam Si 13120, South Korea; [Khojamuratova, Ugiloy] CUNY, Dept Comp Sci, Queens Coll, 65-30 Kissena Blvd Flushing, New York, NY 11374 USA; [Komoliddin, Misirov; Ibragim Ismailovich, Xusinov] Tashkent State Univ Econ, Dept Financial Accounting &amp; Reporting, Tashkent 100066, Uzbekistan</t>
  </si>
  <si>
    <t>Gachon University; City University of New York (CUNY) System; Queens College NY (CUNY); Tashkent State University of Economics</t>
  </si>
  <si>
    <t>A Multimodal Deep Learning Framework for Accurate Biomass and Carbon Sequestration Estimation from UAV Imagery</t>
  </si>
  <si>
    <t>DRONES</t>
  </si>
  <si>
    <t>forest biomass estimation; carbon sequestration; UAV remote sensing; 3D canopy modeling; vegetation indices; AGB prediction</t>
  </si>
  <si>
    <t>Safarov, Furkat/LQJ-5265-2024</t>
  </si>
  <si>
    <t>Safarov, Furkat/0000-0002-6612-8176; Cho, Young Im/0000-0003-0184-7599</t>
  </si>
  <si>
    <t>2504-446X</t>
  </si>
  <si>
    <t>DRONES-BASEL</t>
  </si>
  <si>
    <t>Drones-Basel</t>
  </si>
  <si>
    <t>JUL 14 2025</t>
  </si>
  <si>
    <t>496</t>
  </si>
  <si>
    <t>10.3390/drones9070496</t>
  </si>
  <si>
    <t>http://dx.doi.org/10.3390/drones9070496</t>
  </si>
  <si>
    <t>Remote Sensing</t>
  </si>
  <si>
    <t>5HM6R</t>
  </si>
  <si>
    <t>WOS:001535809100001</t>
  </si>
  <si>
    <t>Song, L; Wang, DL; Liu, XW; Yin, AJ; Long, ZD</t>
  </si>
  <si>
    <t>Efficient and accurate measurement of material mechanical properties is important for material development. The mechanical properties of materials are comprehensively affected by factors such as material composition and microstructure. The existing single-mode prediction methods have the problems of poor mapping integrity and low prediction accuracy. In this paper, a multimodal fusion prediction model integrating material microstructure information and material composition information is proposed. Firstly, Convolutional neural network(CNN) is used to extract the material microstructure features, and Multilayer perceptron(MLP) is used to extract the component features. Then, the adaptive feature vector fusion module designed to adjust the influence of different modal information on the mechanical properties is used to achieve high-level feature fusion, and neural network is used to complete the mechanical properties prediction. The method is verified on the data of an alternative composite material. The method proposed provides a promising solution for the measurement and prediction of material properties.</t>
  </si>
  <si>
    <t>Song, Lei; Wang, Donglei; Liu, Xuwang; Yin, Aijun; Long, Zhendong</t>
  </si>
  <si>
    <t>Yin, AJ (corresponding author), Main teaching Bldg 1508,174 Shazhengjie,Shapingba, Chongqing 400044, Peoples R China.</t>
  </si>
  <si>
    <t>aijun.yin@cqu.edu.cn</t>
  </si>
  <si>
    <t>National Natural Science Foundation of China [52275518]</t>
  </si>
  <si>
    <t>This work was supported by the National Natural Science Foundation of China under grant (52275518) .</t>
  </si>
  <si>
    <t>[Song, Lei; Yin, Aijun; Long, Zhendong] Chongqing Univ, Coll Mech &amp; Vehicle Engn, Chongqing 400044, Peoples R China; [Wang, Donglei; Liu, Xuwang] China Acad Engn Phys, Inst Chem Mat Res, Mianyang 621900, Sichuan, Peoples R China; [Yin, Aijun] Main teaching Bldg 1508,174 Shazhengjie,Shapingba, Chongqing 400044, Peoples R China</t>
  </si>
  <si>
    <t>Chongqing University; Chinese Academy of Engineering Physics</t>
  </si>
  <si>
    <t>Prediction of mechanical properties of composite materials using multimodal fusion learning</t>
  </si>
  <si>
    <t>SENSORS AND ACTUATORS A-PHYSICAL</t>
  </si>
  <si>
    <t>Composite material; Mechanical properties prediction; Deep learning; Multimodal fusion</t>
  </si>
  <si>
    <t>DEEP; CLASSIFICATION</t>
  </si>
  <si>
    <t>Song, Lei/X-6573-2019; Long, Zhendong/HCI-0072-2022</t>
  </si>
  <si>
    <t>Long, Zhendong/0000-0001-9607-0983</t>
  </si>
  <si>
    <t>ELSEVIER SCIENCE SA</t>
  </si>
  <si>
    <t>PO BOX 564, 1001 LAUSANNE, SWITZERLAND</t>
  </si>
  <si>
    <t>0924-4247</t>
  </si>
  <si>
    <t>1873-3069</t>
  </si>
  <si>
    <t>SENSOR ACTUAT A-PHYS</t>
  </si>
  <si>
    <t>Sens. Actuator A-Phys.</t>
  </si>
  <si>
    <t>AUG 16 2023</t>
  </si>
  <si>
    <t>358</t>
  </si>
  <si>
    <t>114433</t>
  </si>
  <si>
    <t>10.1016/j.sna.2023.114433</t>
  </si>
  <si>
    <t>http://dx.doi.org/10.1016/j.sna.2023.114433</t>
  </si>
  <si>
    <t>MAY 2023</t>
  </si>
  <si>
    <t>Engineering, Electrical &amp; Electronic; Instruments &amp; Instrumentation</t>
  </si>
  <si>
    <t>I8RY6</t>
  </si>
  <si>
    <t>WOS:001005413600001</t>
  </si>
  <si>
    <t>Shi, WZ; Chen, XP; Yao, BY; Wen, Y; Sheng, B</t>
  </si>
  <si>
    <t>Emotion recognition in conversations (ERC) is a crucial aspect of human-computer interaction and plays an important role in various domains, including healthcare, entertainment, and education. Since the conversation data in the form of multimodal sequences is well suited to be constructed into graphs, the methods based on graph convolutional network (GCN) show incomparable advantages. However, existing methods attempt to model the highly uncertain emotional relationships between different speakers, which is not an easy task and may even introduce interference information. Therefore, we propose an identity and modality attributes driven multimodality fusion network (dubbed IMDNet) for emotion recognition in conversations. Specifically, we construct a speaker-centric graph that only connects nodes of the same speaker within modalities to each other, reducing the interference between the emotions of different speakers. We also introduce the attribute embedding mechanism, which facilitates the correct calculation of correlations between nodes for better multimodal feature fusion. Considering that the emotional correlation between utterances will decrease over time, we present an utterance distance attention to make the fusion network pay more attention to the adjacent utterances. Furthermore, we explore the solution to the data imbalance problem suitable for conversation scenarios. Given the presence of possible anomalous samples in the dataset, we opt for the BoundaryFocalLoss. Experiments on the IEMOCAP and MELD datasets show that our IMDNet outperforms the state-of-the-art methods.</t>
  </si>
  <si>
    <t>Shi, Wuzhen; Chen, Xuping; Yao, Biyun; Wen, Yang; Sheng, Bin</t>
  </si>
  <si>
    <t>Wen, Y (corresponding author), Shenzhen Univ, Coll Elect &amp; Informat Engn, Guangdong Prov Engn Lab Digital Creat Technol, Guangdong Prov Key Lab Intelligent Informat Proc, Shenzhen 518060, Peoples R China.</t>
  </si>
  <si>
    <t>wzhshi@szu.edu.cn; chenxuping2023@email.szu.edu.cn; shengbin@sjtu.edu.cn; wen_yang@szu.edu.cn; yaobiyun2021@email.szu.edu.cn</t>
  </si>
  <si>
    <t>National Natural Science Foundation of China [62101346, 62301330]; Guangdong Basic and Applied Basic Research Foundation [2024A1515010496, 2022A1515110101]; Shenzhen Science and Technology Program [JCYJ20240813141358076, 20231121103807001]; Guangdong Provincial Key Laboratory [2023B1212060076]</t>
  </si>
  <si>
    <t>National Natural Science Foundation of China (National Natural Science Foundation of China (NSFC)); Guangdong Basic and Applied Basic Research Foundation (Guangdong Basic and Applied Basic Research Foundation); Shenzhen Science and Technology Program; Guangdong Provincial Key Laboratory</t>
  </si>
  <si>
    <t>This work was supported in part by the National Natural Science Foundation of China under Grant 62101346 and Grant 62301330, in part by Guangdong Basic and Applied Basic Research Foundation under Grant 2024A1515010496 and Grant 2022A1515110101, in part by Shenzhen Science and Technology Program under Grant JCYJ20240813141358076 and Grant 20231121103807001, and in part by Guangdong Provincial Key Laboratory under Grant 2023B1212060076.</t>
  </si>
  <si>
    <t>[Shi, Wuzhen; Chen, Xuping; Yao, Biyun; Wen, Yang] Shenzhen Univ, Coll Elect &amp; Informat Engn, Guangdong Prov Engn Lab Digital Creat Technol, Guangdong Prov Key Lab Intelligent Informat Proc, Shenzhen 518060, Peoples R China; [Sheng, Bin] Shanghai Jiao Tong Univ, Dept Comp Sci &amp; Engn, Shanghai 200240, Peoples R China</t>
  </si>
  <si>
    <t>Shenzhen University; Shanghai Jiao Tong University</t>
  </si>
  <si>
    <t>Identity and Modality Attributes Driven Multimodal Fusion Networks for Emotion Recognition in Conversations</t>
  </si>
  <si>
    <t>IEEE TRANSACTIONS ON MULTIMEDIA</t>
  </si>
  <si>
    <t>Emotion recognition; Long short term memory; Oral communication; Feature extraction; Speech recognition; Correlation; Text recognition; Interference; Graph convolutional networks; Encoding; Multimodal emotion recognition; emotion recognition in conversations; graph convolutional network; multimodal fusion</t>
  </si>
  <si>
    <t>Sheng, Bin/LMO-9532-2024</t>
  </si>
  <si>
    <t>wen, yang/0000-0001-6303-8178; Sheng, Bin/0000-0001-8678-2784</t>
  </si>
  <si>
    <t>1520-9210</t>
  </si>
  <si>
    <t>1941-0077</t>
  </si>
  <si>
    <t>IEEE T MULTIMEDIA</t>
  </si>
  <si>
    <t>IEEE Trans. Multimedia</t>
  </si>
  <si>
    <t>4361</t>
  </si>
  <si>
    <t>4371</t>
  </si>
  <si>
    <t>10.1109/TMM.2025.3535347</t>
  </si>
  <si>
    <t>http://dx.doi.org/10.1109/TMM.2025.3535347</t>
  </si>
  <si>
    <t>Computer Science, Information Systems; Computer Science, Software Engineering; Telecommunications</t>
  </si>
  <si>
    <t>Computer Science; Telecommunications</t>
  </si>
  <si>
    <t>4SK8A</t>
  </si>
  <si>
    <t>WOS:001525570100030</t>
  </si>
  <si>
    <t>Dai, ZD</t>
  </si>
  <si>
    <t>Additively manufactured biomechanical models are increasingly being used in sports training simulations to evaluate athletes in terms of loading, risk of injury and performance optimisation. Their structural maintenance without destructive testing, however, is a major challenge and especially when their defects occur due to complicated interactions between materials and processes. The research introduces a fully non-invasive evaluation framework based on deep learning and capable of evaluating printed biomechanical structures with multimodal sensing and feature fusion. A multi-stage adaptive sensor fusion denoiser (MASFD) enhances deformation maps, displacement fields, strain contours, vibration spectra, bone-weighted dynamic fields and thermal gradients by removing modality-specific noise while preserving defect-sensitive features. The refined data are processed by a Hybrid Convolutional - Transformer Neural Network (HCTN-Net) integrating modality-specific CNN encoders, cross-modal attention fusion and dual-task prediction heads for defect classification and mechanical property regression. Experimental results demonstrate superior defect detection accuracy (96.8%), high F1-score (96.6%) and significantly reduced regression error (RMSE = 0.072, R2 = 0.97) compared to baseline models. The proposed system enables reliable, contact-free, real-time structural assessment, supporting rapid design feedback and enhanced safety of sports training components.</t>
  </si>
  <si>
    <t>Dai, Zhidong</t>
  </si>
  <si>
    <t>Dai, ZD (corresponding author), Shandong Sport Univ, Rizhao, Shandong, Peoples R China.</t>
  </si>
  <si>
    <t>khjss123456@163.com</t>
  </si>
  <si>
    <t>[Dai, Zhidong] Shandong Sport Univ, Rizhao, Shandong, Peoples R China</t>
  </si>
  <si>
    <t>Shandong Sport University</t>
  </si>
  <si>
    <t>Real-time multimodal deep learning system for noninvasive evaluation of 3D-printed biomechanical models in sports training</t>
  </si>
  <si>
    <t>NONDESTRUCTIVE TESTING AND EVALUATION</t>
  </si>
  <si>
    <t>Adaptive sensor fusion; biomechanical models; cross-modal attention; multimodal sensor fusion; MASFD denoising; non-invasive evaluation</t>
  </si>
  <si>
    <t>TAYLOR &amp; FRANCIS LTD</t>
  </si>
  <si>
    <t>ABINGDON</t>
  </si>
  <si>
    <t>2-4 PARK SQUARE, MILTON PARK, ABINGDON OR14 4RN, OXON, ENGLAND</t>
  </si>
  <si>
    <t>1058-9759</t>
  </si>
  <si>
    <t>1477-2671</t>
  </si>
  <si>
    <t>NONDESTRUCT TEST EVA</t>
  </si>
  <si>
    <t>Nondestruct. Test. Eval.</t>
  </si>
  <si>
    <t>10.1080/10589759.2026.2651926</t>
  </si>
  <si>
    <t>http://dx.doi.org/10.1080/10589759.2026.2651926</t>
  </si>
  <si>
    <t>Materials Science, Characterization &amp; Testing</t>
  </si>
  <si>
    <t>Materials Science</t>
  </si>
  <si>
    <t>GM5WD</t>
  </si>
  <si>
    <t>WOS:001739970000001</t>
  </si>
  <si>
    <t>Asik, S; Yazici, A; Asçi, M; Okumuser, I</t>
  </si>
  <si>
    <t>Background/Objectives: Rotator cuff tears are a leading cause of shoulder disability. While multi-sequence MRI is standard, the optimal deep learning integration of heterogeneous image series and clinical metadata remains unresolved. This study evaluated a hierarchical, sequence-aware multimodal framework for patient-level binary rotator cuff tear classification. Methods: A single-center cohort of 199 patients (100 tears, 99 controls) was analyzed across four MRI sequences (T1 coronal, T2 fat-suppressed sagittal, and proton density [PD] fat-suppressed coronal and transverse/axial) and nine demographic features. Under a patient-level stratified three-fold cross-validation scheme preventing data leakage, we evaluated ResNet50 and Vision Transformer baselines (Study 0), full-protocol fusion topologies (Study 1), and systematically mapped sequence-subset combinations with or without metadata (Study 2). Results: In Study 0, the PD coronal ResNet50 model was the top baseline (AUC = 0.9834, F1 = 0.9515). In Study 1, late decision fusion yielded the highest AUC (0.9909), while feature concatenation optimized threshold balance (F1 = 0.9502). In Study 2, a streamlined three-sequence subset with metadata (C14M: T2 + PDc + PDt) achieved peak performance (AUC = 0.9961, 95% CI: 0.9823-0.9987, F1 = 0.9618, MCC = 0.9238), outperforming the full protocol (AUC = 0.9909, F1 = 0.9355). Metadata utility was configuration-dependent, assisting only fluid-sensitive combinations. Conclusions: Rather than indiscriminately aggregating entire clinical protocols, multimodal fusion is optimized by selecting complementary imaging series. For binary classification, excluding non-fat-suppressed T1 images in favor of a streamlined T2 and PD set stabilized by clinical demographics maximized classification performance in this internally validated, single-center cohort.</t>
  </si>
  <si>
    <t>Asik, Sergen; Yazici, Ahmet; Asci, Murat; Okumuser, Irfan</t>
  </si>
  <si>
    <t>Asik, S (corresponding author), Eskisehir Osmangazi Univ, Fac Engn &amp; Architecture, Dept Software Engn, TR-26040 Eskisehir, Turkiye.; Asik, S (corresponding author), Eskisehir Osmangazi Univ, Ctr Intelligent Syst Applicat Res, TR-26040 Eskisehir, Turkiye.</t>
  </si>
  <si>
    <t>sergen.asik@ogu.edu.tr; muratasci55@gmail.com; ayazici@ogu.edu.tr; irfanokumuser@hotmail.com</t>
  </si>
  <si>
    <t>Scientific and Technological Research Council of Turkey (TUBITAK) [22AG040]</t>
  </si>
  <si>
    <t>Scientific and Technological Research Council of Turkey (TUBITAK) (Turkiye Bilimsel ve Teknolojik Arastirma Kurumu (TUBITAK))</t>
  </si>
  <si>
    <t>This study was supported by Scientific and Technological Research Council of Turkey (TUBITAK) under the Grant Number 22AG040. The authors thank to TUBITAK for their supports.</t>
  </si>
  <si>
    <t>[Asik, Sergen] Eskisehir Osmangazi Univ, Fac Engn &amp; Architecture, Dept Software Engn, TR-26040 Eskisehir, Turkiye; [Asik, Sergen; Yazici, Ahmet] Eskisehir Osmangazi Univ, Ctr Intelligent Syst Applicat Res, TR-26040 Eskisehir, Turkiye; [Yazici, Ahmet] Eskisehir Osmangazi Univ, Fac Engn &amp; Architecture, Dept Comp Engn, TR-26040 Eskisehir, Turkiye; [Asci, Murat] Bilecik Seyh Edebali Univ, Fac Med, Dept Orthoped &amp; Traumatol, TR-11230 Bilecik, Turkiye; [Okumuser, Irfan] Yunus Emre State Hosp, Dept Radiol, Minist Hlth, TR-26190 Eskisehir, Turkiye</t>
  </si>
  <si>
    <t>Anadolu University; Eskisehir Osmangazi University; Eskisehir Osmangazi University; Anadolu University; Eskisehir Osmangazi University; Bilecik Seyh Edebali University; Eskisehir Yunus Emre State Hospital; Ministry of Health - Turkey</t>
  </si>
  <si>
    <t>Hierarchical Multimodal Fusion of Multi-Sequence MRI and Clinical Metadata for the Classification of Rotator Cuff Tears</t>
  </si>
  <si>
    <t>JOURNAL OF CLINICAL MEDICINE</t>
  </si>
  <si>
    <t>rotator cuff tear; shoulder MRI; multi-sequence MRI; deep learning; convolutional neural network; vision transformer; multimodal fusion; clinical metadata; sequence selection</t>
  </si>
  <si>
    <t>ARTHROGRAPHY; ACCURACY</t>
  </si>
  <si>
    <t>Yazıcı, Ahmet/ABE-9333-2021; ASCI, MURAT/JKI-9962-2023</t>
  </si>
  <si>
    <t>2077-0383</t>
  </si>
  <si>
    <t>J CLIN MED</t>
  </si>
  <si>
    <t>J. Clin. Med.</t>
  </si>
  <si>
    <t>JUL 14 2026</t>
  </si>
  <si>
    <t>5525</t>
  </si>
  <si>
    <t>10.3390/jcm15145525</t>
  </si>
  <si>
    <t>http://dx.doi.org/10.3390/jcm15145525</t>
  </si>
  <si>
    <t>LS5TY</t>
  </si>
  <si>
    <t>42513439</t>
  </si>
  <si>
    <t>WOS:001832223300001</t>
  </si>
  <si>
    <t>Li, XF; Zhang, GC; Ye, WJ; Peng, B; Yao, Y</t>
  </si>
  <si>
    <t>Difficult airway management poses significant risks in anesthesia and emergency medicine, including hypoxemia and airway injury. While image-based methods have improved airway assessment, they often fail to capture functional information like airway patency and vocal cord movement. To address this, we propose voice-assisted multimodal fusion network (VAMF-Net), which integrates three-view airway images with voice data to improve difficult airway evaluation accuracy. VAMF-Net employs an early fusion strategy of multi-view image features with contrastive learning pretraining, enabling early interaction between views to capture complementary information. Furthermore, We introduce a voice-assisted cross-attention module, which prioritizes image data as the primary source while using voice data as supplementary input. A dataset of 1,106 samples (89 difficult and 1017 easy cases) was constructed, with each sample including three airway images (frontal open mouth, frontal tongue extended, and side head tilted back) and voice data. VAMF-Net achieved an AUC of 0.917, sensitivity of 0.931, and specificity of 0.815, demonstrating superior performance compared to existing methods.</t>
  </si>
  <si>
    <t>Li, Xiaofan; Zhang, Guangchao; Ye, Wenjin; Peng, Bo; Yao, Yuan</t>
  </si>
  <si>
    <t>Peng, B (corresponding author), Southwest Jiaotong Univ, Sch Comp &amp; Artificial Intelligence, Chengdu 611756, Peoples R China.</t>
  </si>
  <si>
    <t>xfl@my.swjtu.edu.cn; bpeng@swjtu.edu.cn; 18227195808@163.com; zhangguangchao@wchscu.cn; yaoyuan@wchscu.cn</t>
  </si>
  <si>
    <t>Sichuan Provincial Science and Technology Support Program [2024YFHZ0059]; Sichuan Science and Technology Program</t>
  </si>
  <si>
    <t>Sichuan Provincial Science and Technology Support Program; Sichuan Science and Technology Program</t>
  </si>
  <si>
    <t>This work was supported by Sichuan Science and Technology Program (Nos. 2024YFHZ0059).</t>
  </si>
  <si>
    <t>[Li, Xiaofan; Ye, Wenjin; Peng, Bo] Southwest Jiaotong Univ, Sch Comp &amp; Artificial Intelligence, Chengdu 611756, Peoples R China; [Zhang, Guangchao] Sichuan Univ, West China Hosp, Dept Anesthesiol, Chengdu 610044, Peoples R China; [Yao, Yuan] Sichuan Univ, West China Hosp, Gen Practice Med Ctr, Chengdu 610044, Peoples R China</t>
  </si>
  <si>
    <t>Southwest Jiaotong University; Sichuan University; Sichuan University</t>
  </si>
  <si>
    <t>Voice-assisted multimodal fusion network for difficult airway assessment</t>
  </si>
  <si>
    <t>SIGNAL IMAGE AND VIDEO PROCESSING</t>
  </si>
  <si>
    <t>Difficult airway; Multi-modal learning; Self-attention mechanism</t>
  </si>
  <si>
    <t>CLASSIFICATION; PREDICTION; MANAGEMENT; COHORT</t>
  </si>
  <si>
    <t>Yao, Yuan/IUP-1156-2023</t>
  </si>
  <si>
    <t>Yao, Yuan/0000-0001-6026-1382; Li, Xiaofan/0000-0002-5011-6314</t>
  </si>
  <si>
    <t>1863-1703</t>
  </si>
  <si>
    <t>1863-1711</t>
  </si>
  <si>
    <t>SIGNAL IMAGE VIDEO P</t>
  </si>
  <si>
    <t>Signal Image Video Process.</t>
  </si>
  <si>
    <t>MAR 10 2025</t>
  </si>
  <si>
    <t>381</t>
  </si>
  <si>
    <t>10.1007/s11760-025-03916-z</t>
  </si>
  <si>
    <t>http://dx.doi.org/10.1007/s11760-025-03916-z</t>
  </si>
  <si>
    <t>Engineering, Electrical &amp; Electronic; Imaging Science &amp; Photographic Technology</t>
  </si>
  <si>
    <t>Engineering; Imaging Science &amp; Photographic Technology</t>
  </si>
  <si>
    <t>Z8J6B</t>
  </si>
  <si>
    <t>WOS:001441305500016</t>
  </si>
  <si>
    <t>Zhou, WJ; Luo, WC; Gong, L; Peng, B</t>
  </si>
  <si>
    <t>Multimodal neuroimaging offers essential complementary information for the accurate early diagnosis of Alzheimer's disease (AD). However, the inherent variability among different neuroimaging modalities poses challenges to the effective fusion of multimodal features. Additionally, achieving reliable and interpretable diagnoses in multimodal fusion remains difficult. To address these challenges, we propose a novel diagnostic network based on multimodal and contrastive learning, termed HybridCA-Net. This model integrates multimodal contrastive learning and cross-modal attention mechanisms to diagnose AD. The multimodal contrastive learning mechanism enhances the model's ability to understand complex intra-and inter-modal relationships, thereby uncovering deeper feature associations. Meanwhile, the cross-modal attention module highlights the most relevant features for the task while reducing the influence of irrelevant information. Furthermore, we design a lightweight recovery block that can be inserted to a trained model to handle different modality-missing sce-narios. We evaluated the HybridCA-Net model using two imaging modalities (sMRI and fMRI) from the ADNI database. This method is tested on ADNI data sets, and the classification accuracy is over 90%, which is better than the existing methods. For details, see the code at https://github.com/Luo-Star/HybridCA-Net/tree/main.</t>
  </si>
  <si>
    <t>Zhou, Wenjun; Luo, Weicheng; Gong, Liang; Peng, Bo</t>
  </si>
  <si>
    <t>Gong, L (corresponding author), Chengdu Second Peoples Hosp, Dept Neurol, Chengdu, Peoples R China.</t>
  </si>
  <si>
    <t>seugongliang@hotmail.com; bopeng@swpu.edu.cn; wcLuopost@gmail.com; zhouwenjun@swpu.edu.cn</t>
  </si>
  <si>
    <t>Natural Science Foundation of Sichuan, China [2023NS-FSC0504]; Sichuan Provincial Science and Technology Department project in China [2024ZYD0136]; Chengdu Science and Technology Department project [2024-YF05-00958-SN]; Alzheimer's Disease Neuroimaging Initiative (ADNI) (National Institutes of Health) [U01 AG024904]; DOD ADNI (Department of Defense) [W81XWH-12-2-0012]; National Institute on Aging; National Institute of Biomedical Imaging and Bioengineering; Alzheimer's Association; Alzheimer's Drug Discovery Foundation; Araclon Biotech; Biogen; Bristol-Myers Squibb Company; CereSpir, Inc.; Cogstate; Elan Pharmaceuticals, Inc.; Eli Lilly and Company; EuroImmun; F. Hoffmann-La Roche Ltd; Fujirebio; IX-ICO Ltd.; Johnson &amp; Johnson Pharmaceutical Research &amp; Development LLC.; Merck Co., Inc.; Meso Scale Diagnostics; NeuroRx Research; Novartis Pharmaceuticals Corporation; Pfizer Inc.; Piramal Imaging; Takeda Pharmaceutical Company; Canadian Institutes of Health Research; ADNI clinical sites in Canada; Foundation for the National Institutes of Health; Northern California Institute for Research and Education; Laboratory for Neuro Imaging at the University of Southern California</t>
  </si>
  <si>
    <t>Natural Science Foundation of Sichuan, China; Sichuan Provincial Science and Technology Department project in China; Chengdu Science and Technology Department project; Alzheimer's Disease Neuroimaging Initiative (ADNI) (National Institutes of Health) (United States Department of Health &amp; Human Services, National Institutes of Health (NIH) - USA, NIH National Institute of Neurological Disorders &amp; Stroke (NINDS)); DOD ADNI (Department of Defense) (United States Department of Defense); National Institute on Aging (United States Department of Health &amp; Human Services, National Institutes of Health (NIH) - USA, NIH National Institute on Aging (NIA)); National Institute of Biomedical Imaging and Bioengineering (United States Department of Health &amp; Human Services, National Institutes of Health (NIH) - USA, NIH National Institute of Biomedical Imaging &amp; Bioengineering (NIBIB)); Alzheimer's Association (Alzheimer's Association); Alzheimer's Drug Discovery Foundation; Araclon Biotech; Biogen (Biogen); Bristol-Myers Squibb Company (Bristol-Myers Squibb); CereSpir, Inc.; Cogstate (CogState Limited); Elan Pharmaceuticals, Inc.; Eli Lilly and Company (Eli Lilly); EuroImmun; F. Hoffmann-La Roche Ltd (Roche Holding); Fujirebio; IX-ICO Ltd.; Johnson &amp; Johnson Pharmaceutical Research &amp; Development LLC. (Johnson &amp; Johnson, Johnson &amp; Johnson USA); Merck Co., Inc. (Merck &amp; Company); Meso Scale Diagnostics; NeuroRx Research; Novartis Pharmaceuticals Corporation (Novartis); Pfizer Inc. (Pfizer); Piramal Imaging; Takeda Pharmaceutical Company (Takeda Pharmaceutical Company Ltd); Canadian Institutes of Health Research (Canadian Institutes of Health Research (CIHR)); ADNI clinical sites in Canada; Foundation for the National Institutes of Health; Northern California Institute for Research and Education; Laboratory for Neuro Imaging at the University of Southern California</t>
  </si>
  <si>
    <t>Natural Science Foundation of Sichuan, China under Grant 2023NS-FSC0504, Sichuan Provincial Science and Technology Department project in China, No. 2024ZYD0136; Chengdu Science and Technology Department project, No. 2024-YF05-00958-SN. Data collection and sharing for this project was funded by the Alzheimer's Disease Neuroimaging Initiative (ADNI) (National Institutes of Health Grant U01 AG024904) and DOD ADNI (Department of Defense award number W81XWH-12-2-0012) . ADNI is funded by the National Institute on Aging, the National Institute of Biomedical Imaging and Bioengineering, and through generous contributions from the following: AbbVie, Alzheimer's Association; Alzheimer's Drug Discovery Foundation; Araclon Biotech; BioClinica, Inc.; Biogen; Bristol-Myers Squibb Company; CereSpir, Inc.; Cogstate; Eisai Inc.; Elan Pharmaceuticals, Inc.; Eli Lilly and Company; EuroImmun; F. Hoffmann-La Roche Ltd and its affiliated company Genentech, Inc.; Fujirebio; GE Healthcare; IX-ICO Ltd.; Janssen Alzheimer Immunotherapy Research &amp; Development, LLC.; Johnson &amp; Johnson Pharmaceutical Research &amp; Development LLC.; Lumosity; Lundbeck; Merck &amp; Co., Inc.; Meso Scale Diagnostics, LLC.; NeuroRx Research; Neurotrack Technologies; Novartis Pharmaceuticals Corporation; Pfizer Inc.; Piramal Imaging; Servier; Takeda Pharmaceutical Company; and Transition Therapeutics. The Canadian Institutes of Health Research is providing funds to support ADNI clinical sites in Canada. Private sector contributions are facilitated by the Foundation for the National Institutes of Health ( www.fnih.org) . The grantee organization is the Northern California Institute for Research and Education, and the study is coordinated by the Alzheimer's Therapeutic Research Institute at the University of Southern California. ADNI data are disseminated by the Laboratory for Neuro Imaging at the University of Southern California. We thank the Southwest Petroleum University high performance computing platform for providing computational resources for this project.</t>
  </si>
  <si>
    <t>[Zhou, Wenjun; Luo, Weicheng; Peng, Bo] Southwest Petr Univ, Sch Comp Sci &amp; Software Engn, Chengdu, Peoples R China; [Gong, Liang] Chengdu Second Peoples Hosp, Dept Neurol, Chengdu, Peoples R China</t>
  </si>
  <si>
    <t>Southwest Petroleum University; Sichuan University</t>
  </si>
  <si>
    <t>Enhanced early diagnosis of Alzheimer's disease with HybridCA-Net: A multimodal fusion approach</t>
  </si>
  <si>
    <t>Alzheimer's disease diagnosis; 3D multimodal fusion network; sMRI; fMRI</t>
  </si>
  <si>
    <t>Peng, Bo/KCY-0532-2024; ZHOU, WENJUN/AAE-3095-2020</t>
  </si>
  <si>
    <t>ZHOU, WENJUN/0000-0001-5357-9237</t>
  </si>
  <si>
    <t>NOV 1 2025</t>
  </si>
  <si>
    <t>128580</t>
  </si>
  <si>
    <t>10.1016/j.eswa.2025.128580</t>
  </si>
  <si>
    <t>http://dx.doi.org/10.1016/j.eswa.2025.128580</t>
  </si>
  <si>
    <t>4EQ9Z</t>
  </si>
  <si>
    <t>WOS:001516216900002</t>
  </si>
  <si>
    <t>Chen, G; Sun, KX</t>
  </si>
  <si>
    <t>Introduction The evolving landscape of artificial intelligence in drug discovery necessitates increasingly sophisticated approaches to predict drug-target interactions (DTIs) with high precision and generalizability. In alignment with the current surge of interest in AI-driven pharmacological modeling and integrative biomedical data analysis, this study introduces a multimodal framework for enhancing DTI prediction by fusing heterogeneous data sources. While conventional methods typically rely on unimodal inputs such as chemical structures or protein sequences, they fall short in capturing the complex, multi-faceted nature of biochemical interactions and are often limited in adaptability across different tasks or incomplete datasets. These limitations impede the model's capability to generalize beyond narrow benchmarks and reduce interpretability when modalities are missing or noisy.Methods To address these challenges, we propose a comprehensive multimodal learning pipeline composed of three principal innovations. The Unified Multimodal Molecule Encoder (UMME) jointly embeds molecular graphs, textual descriptions, transcriptomics, protein sequences, and bioassay data using modality-specific enc followed by a hierarchical attention-based fusion strategy. This encoder is capable of aligning intra- and inter-modal representations while retaining high-level semantic features critical for interaction prediction. We introduce a robust training strategy named Adaptive Curriculum-guided Modality Optimization (ACMO), which dynamically prioritizes more reliable or informative modalities during early training and gradually incorporates less certain data via a curriculum mechanism. This allows the model to maintain strong performance even when faced with modality absence or noise, thereby mimicking realistic drug screening conditions. We employ a novel cross-modal contrastive alignment loss and modality dropout scheduling, which together enforce consistency and encourage generalization across diverse data settings.Results Experiments on multiple benchmark datasets demonstrate that our framework achieves state-of-the-art performance in drug-target affinity estimation and binding prediction tasks, particularly under conditions of partial data availability.Discussion Ablation studies confirm the effectiveness of both UMME and ACMO components in improving accuracy and robustness.</t>
  </si>
  <si>
    <t>Chen, Guo; Sun, Kaixin</t>
  </si>
  <si>
    <t>Chen, G (corresponding author), Southern Med Univ, Affiliated Hosp 7, Dept Spine Surg, Dept Orthoped, Foshan, Peoples R China.</t>
  </si>
  <si>
    <t>pasemhannay@hotmail.com</t>
  </si>
  <si>
    <t>[Chen, Guo] Southern Med Univ, Affiliated Hosp 7, Dept Spine Surg, Dept Orthoped, Foshan, Peoples R China; [Sun, Kaixin] North China Elect Power Univ, Beijing, Peoples R China</t>
  </si>
  <si>
    <t>Southern Medical University - China; North China Electric Power University</t>
  </si>
  <si>
    <t>Leveraging multimodal learning for enhanced drug-target interaction prediction</t>
  </si>
  <si>
    <t>FRONTIERS IN PHARMACOLOGY</t>
  </si>
  <si>
    <t>multimodal learning; drug-target interaction; molecular encoding; curriculum learning; biomedical data fusion</t>
  </si>
  <si>
    <t>1663-9812</t>
  </si>
  <si>
    <t>FRONT PHARMACOL</t>
  </si>
  <si>
    <t>Front. Pharmacol.</t>
  </si>
  <si>
    <t>NOV 19 2025</t>
  </si>
  <si>
    <t>1639979</t>
  </si>
  <si>
    <t>10.3389/fphar.2025.1639979</t>
  </si>
  <si>
    <t>http://dx.doi.org/10.3389/fphar.2025.1639979</t>
  </si>
  <si>
    <t>Pharmacology &amp; Pharmacy</t>
  </si>
  <si>
    <t>L4092</t>
  </si>
  <si>
    <t>41347164</t>
  </si>
  <si>
    <t>WOS:001629533600001</t>
  </si>
  <si>
    <t>Roy, MC; Bisoy, SK; Das, PK</t>
  </si>
  <si>
    <t>Sarcasm, a complex form of figurative expression, often conveys meanings that deviate from its literal interpretation. Detecting sarcasm in online communication presents unique challenges due to the intricate relationships between textual and visual elements. Existing multimodal sarcasm detection models primarily focus on localized inconsistencies but fail to capture deeper contextual and semantic dependencies between text and images. To address these limitations, this study introduces the multimodal sarcasm-aware fusion network (MSAFN), an advanced framework that integrates multiple novel components for enhanced sarcasm recognition. The proposed model incorporates a context-aware multimodal alignment module (CMAM), which dynamically refines text-image feature interactions to improve sarcasm-related pattern recognition. Additionally, a graph-driven sentiment discrepancy module (GSDM) leverages graph-based sentiment analysis and syntactic dependency structures to enhance sentiment-text coherence, improving the identification of multimodal inconsistencies. Using the SenticNet knowledge base gives the model prior emotional understanding, helping it align text and image information more effectively. A Unified Cross-Attention Transformer (X-Former) facilitates efficient multimodal fusion by aligning textual and visual features at both global and local levels. Furthermore, an image captioning mechanism is integrated to reinforce the alignment of semantic and emotional cues between modalities, strengthening the contextual coherence of sarcasm interpretation. Experimental evaluations on benchmark datasets show that MSAFN consistently outperforms previous state-of-the-art models. By effectively integrating global multimodal relationships with fine-grained sentiment-inconsistency modeling, the proposed framework enhances cross-modal sarcasm prediction robustness. These findings highlight the potential of multimodal fusion strategies in advancing sentiment analysis, particularly in social media monitoring, automated content moderation, and sentiment-aware AI systems.</t>
  </si>
  <si>
    <t>Roy, Manish Chandra; Bisoy, Sukant Kishoro; Das, Pradipta Kumar</t>
  </si>
  <si>
    <t>Roy, MC (corresponding author), CV Raman Global Univ, Dept Comp Sci &amp; Engn, Bhubaneswar 752054, Odisha, India.</t>
  </si>
  <si>
    <t>daspradipta78@gmail.com; manishroy@ravenshawuniversity.ac.in; sukantabisoyi@cgu-odisha.ac.in</t>
  </si>
  <si>
    <t>[Roy, Manish Chandra; Bisoy, Sukant Kishoro] CV Raman Global Univ, Dept Comp Sci &amp; Engn, Bhubaneswar 752054, Odisha, India; [Das, Pradipta Kumar] Veer Surendra Sai Univ Technol, Dept Informat Technol, Burla 768018, Odisha, India</t>
  </si>
  <si>
    <t>Veer Surendra Sai University of Technology</t>
  </si>
  <si>
    <t>A Diffusion Driven Multimodal Fusion Framework for Context Aware Sarcasm Detection via Sentiment Syntax Graph Modeling</t>
  </si>
  <si>
    <t>ARABIAN JOURNAL FOR SCIENCE AND ENGINEERING</t>
  </si>
  <si>
    <t>Multimodal sarcasm detection; Cross-modal fusion; Graph neural networks; Diffusion-based representation learning; Context-aware sarcasm recognition; Natural language processing</t>
  </si>
  <si>
    <t>/AAT-4466-2020</t>
  </si>
  <si>
    <t>Roy, Manish Chandra/0000-0002-3087-4265</t>
  </si>
  <si>
    <t>TIERGARTENSTRASSE 17, D-69121 HEIDELBERG, GERMANY</t>
  </si>
  <si>
    <t>2193-567X</t>
  </si>
  <si>
    <t>2191-4281</t>
  </si>
  <si>
    <t>ARAB J SCI ENG</t>
  </si>
  <si>
    <t>Arab. J. Sci. Eng.</t>
  </si>
  <si>
    <t>6791</t>
  </si>
  <si>
    <t>6813</t>
  </si>
  <si>
    <t>10.1007/s13369-025-10848-w</t>
  </si>
  <si>
    <t>http://dx.doi.org/10.1007/s13369-025-10848-w</t>
  </si>
  <si>
    <t>GW4YH</t>
  </si>
  <si>
    <t>WOS:001613162900001</t>
  </si>
  <si>
    <t>Zhang, J; Zhang, ZW; Tan, X; Ling, J; Deng, QJ</t>
  </si>
  <si>
    <t>Power transmission corridors face growing intrusion risks from unmanned aerial vehicles (UAVs), construction machinery, and wind-borne debris. Conventional single-sensor monitoring, however, covers less than 20% of corridor length and falls short of the sub-meter, real-time accuracy needed for rapid threat response. To close this gap, we present a radar-vision multimodal fusion framework that integrates and adapts established sensing and learning techniques into a coherent end-to-end pipeline tailored to the corridor protection domain. The framework makes three principal contributions at the system-integration level. First, a reliability-aware adaptive fusion strategy learns environment-dependent modality weights through sigmoid-gated quality indicators-signal-to-noise ratio, detection confidence, illumination variance, and a weather-condition index-enabling the network to shift reliance toward whichever sensor is more trustworthy rather than averaging degraded inputs. Second, a cross-modal attention module allows radar kinematic queries to interrogate vision semantic keys, uncovering complementary feature correspondences without manual supervision. Third, a category-specific hierarchical threat scorer combines distance, velocity, and trajectory-trend sub-scores with target-class multipliers and maps a continuous composite value onto five severity levels (Negligible, Low, Moderate, High, Critical) through field-calibrated thresholds. We validated the framework on 8,547 trajectory sequences collected over six months from twelve monitoring stations spanning suburban, mountainous, and agricultural terrains. Mean Absolute Error (MAE) of predicted positions reached 1.62 m at a 3-second horizon and 3.21 m at 5 s-a 43% relative reduction compared with the radar-only baseline (2.84 m at 3 s). Threat-level classification achieved 89.6% precision, 87.3% recall, and an 88.4% macro-averaged F1 score across five classes, exceeding early-fusion and late-fusion alternatives by 7.4 and 9.8% points respectively. Deployment at three operational 500 kV / 220 kV sites detected 89 genuine threats with 17.8 s mean warning lead time, 3.2% false-alarm rate, and 99.4% system uptime. Operator workload-measured as person-hours of continuous manual surveillance-fell by 67%, while instrumented detection coverage expanded from 18% to 94% of corridor length.</t>
  </si>
  <si>
    <t>Zhang, Jun; Zhang, Zhiwei; Tan, Xiao; Ling, Jin; Deng, Qing Jie</t>
  </si>
  <si>
    <t>Deng, QJ (corresponding author), State Grid Corp Jiangsu Prov, Nanjing 215004, Jiangsu, Peoples R China.</t>
  </si>
  <si>
    <t>deng123450427@163.com</t>
  </si>
  <si>
    <t>Incubation Project of State Grid Jiangsu Electric Power Co., Ltd., titled "Spatio-temporal Multi-Target Perception and Reasoning Based on Multimodal Data" [JF2025013]</t>
  </si>
  <si>
    <t>Incubation Project of State Grid Jiangsu Electric Power Co., Ltd., titled "Spatio-temporal Multi-Target Perception and Reasoning Based on Multimodal Data"</t>
  </si>
  <si>
    <t>This work was supported by the Incubation Project of State Grid Jiangsu Electric Power Co., Ltd., titled "Spatio-temporal Multi-Target Perception and Reasoning Based on Multimodal Data" (Project No. JF2025013).</t>
  </si>
  <si>
    <t>[Zhang, Jun; Zhang, Zhiwei; Deng, Qing Jie] State Grid Corp Jiangsu Prov, Nanjing 215004, Jiangsu, Peoples R China; [Tan, Xiao] State Grid Jiangsu Elect Power Co Ltd, Res Inst, Nanjing 225008, Jiangsu, Peoples R China; [Ling, Jin] Jiangsu Elect Power Informat Technol Co Ltd, Nanjing 210029, Jiangsu, Peoples R China</t>
  </si>
  <si>
    <t>State Grid Corporation of China</t>
  </si>
  <si>
    <t>Radar-vision multimodal fusion for dynamic target trajectory prediction and threat assessment in power transmission corridors</t>
  </si>
  <si>
    <t>Power transmission corridor; Multimodal fusion; Trajectory prediction; Threat assessment; Radar-vision integration; Cross-modal attention</t>
  </si>
  <si>
    <t>MAY 7 2026</t>
  </si>
  <si>
    <t>20968</t>
  </si>
  <si>
    <t>10.1038/s41598-026-48978-2</t>
  </si>
  <si>
    <t>http://dx.doi.org/10.1038/s41598-026-48978-2</t>
  </si>
  <si>
    <t>KS5KT</t>
  </si>
  <si>
    <t>42098252</t>
  </si>
  <si>
    <t>WOS:001814572200001</t>
  </si>
  <si>
    <t>Liu, PZ</t>
  </si>
  <si>
    <t>Significant advancements in remote sensing semantic segmentation using many image modalities have been accomplished since the multimodal fusion technique was developed. Nevertheless, existing methods have struggled to consider information from small objects effectively and have been prone to introducing feature noise into the fusion process due to the high number of small objects and the complex architectural textures and color range present in Very High-Resolution (VHR) images. To address these challenges, we have proposed an end-toend Multi-Modal Fusion Network (MMFNet), which is based on a three-branch fusion framework for leveraging VHR remote sensing images and Digital Surface Model (DSM) data. Recognizing that remote sensing data exhibit a wide variety of colors and intricate textures and that different modalities convey different color and texture information, we have proposed a Local-Global Feature Fusion (LGFF) module to integrate information from different modalities. We have tackled the difficulty of segmenting easily overlooked small objects with limited pixel coverage by devising an Multi-Level Feature Learning (MLFL) module to capture different-level feature representations. Ultimately, the single-modal and multimodal segmentation information are fused in MMFNet to determine the prediction information jointly. Our proposed model attains excellent miou scores of 84.12 % and 86.13 % on the Vaihingen and Potsdam datasets, respectively, effectively establishing a new state-of-the-art benchmark in multimodal image segmentation tasks. These results underscore not only the model's superior performance but also its significant competitiveness in this domain, marking a notable advancement in the field.</t>
  </si>
  <si>
    <t>Liu, Pingzhu</t>
  </si>
  <si>
    <t>Liu, PZ (corresponding author), Tsinghua Univ, Grad Sch Shenzhen, Shenzhen, Peoples R China.</t>
  </si>
  <si>
    <t>kevin_ailover@163.com</t>
  </si>
  <si>
    <t>Innovation and Entrepreneurship Training Program for College Students project [202310410022]</t>
  </si>
  <si>
    <t>Innovation and Entrepreneurship Training Program for College Students project</t>
  </si>
  <si>
    <t>Innovation and Entrepreneurship Training Program for College Students project grant number 202310410022</t>
  </si>
  <si>
    <t>[Liu, Pingzhu] Tsinghua Univ, Grad Sch Shenzhen, Shenzhen, Peoples R China</t>
  </si>
  <si>
    <t>Tsinghua University; Tsinghua Shenzhen International Graduate School</t>
  </si>
  <si>
    <t>A multimodal fusion framework for semantic segmentation of remote sensing based on multilevel feature fusion learning</t>
  </si>
  <si>
    <t>Remote Sensing; Semantic Segmentation; Multimodal Fusion; High-Resolution Image</t>
  </si>
  <si>
    <t>NETWORK; CLASSIFICATION</t>
  </si>
  <si>
    <t>NOV 7 2025</t>
  </si>
  <si>
    <t>653</t>
  </si>
  <si>
    <t>131233</t>
  </si>
  <si>
    <t>10.1016/j.neucom.2025.131233</t>
  </si>
  <si>
    <t>http://dx.doi.org/10.1016/j.neucom.2025.131233</t>
  </si>
  <si>
    <t>DW7CH</t>
  </si>
  <si>
    <t>WOS:001693872300013</t>
  </si>
  <si>
    <t>Wang, J; Fu, LY; Li, X; Luo, HC; Guo, ZF</t>
  </si>
  <si>
    <t>Imperfect information games require agents to make decisions under uncertainty, presenting significant challenges yet offering broad applicability in real-world scenarios. DouDizhu, a representative example, features complex cooperative-competitive dynamics, imperfect information, and a large strategy space. To address these challenges, a strategic decision-making algorithm is developed by integrating multi-agent credit allocation with information prediction. Specifically, an explicit credit allocation mechanism based on team reward decomposition improves cooperative behavior among peasant agents by enabling more stable and targeted policy updates. Meanwhile, combining long short-term memory networks and multi-head attention enhances the prediction of hidden opponent information through multimodal feature fusion. Moreover, convolutional neural networks are incorporated into the DouZero framework to extract high-level features and reduce the policy solution space. The resulting CAPRE_DMC significantly improves agent performance in adversarial settings. Extensive evaluations demonstrate that CAPRE_DMC outperforms baseline DouDizhu agents, achieving substantial gains in point margin and win percentage. Additionally, evaluations on benchmark multi-agent cooperative tasks demonstrate the framework's scalability and generality in large-scale imperfect-information environments.</t>
  </si>
  <si>
    <t>Wang, Jiao; Fu, Longyue; Li, Xiang; Luo, Hongchen; Guo, Zhifen</t>
  </si>
  <si>
    <t>Wang, J (corresponding author), Northeastern Univ, Coll Informat Sci &amp; Engn, 3-11 Wenhua Rd, Shenyang 110819, Liaoning, Peoples R China.</t>
  </si>
  <si>
    <t>2210301@stu.neu.edu.cn; 2110329@stu.neu.edu.cn; luohongchen@ise.neu.edu.cn; 2100773@stu.neu.edu.cn; wangjiao@mail.neu.edu.cn</t>
  </si>
  <si>
    <t>National Natural Science Foundation of China [61836011]</t>
  </si>
  <si>
    <t>The work was supported in part by the National Natural Science Foundation of China under Grant 61836011.</t>
  </si>
  <si>
    <t>[Wang, Jiao; Fu, Longyue; Li, Xiang; Luo, Hongchen; Guo, Zhifen] Northeastern Univ, Coll Informat Sci &amp; Engn, 3-11 Wenhua Rd, Shenyang 110819, Liaoning, Peoples R China</t>
  </si>
  <si>
    <t>Northeastern University - China</t>
  </si>
  <si>
    <t>Explicit cooperation mechanism and multimodal fusion prediction model empower DouDizhu agents</t>
  </si>
  <si>
    <t>DouDizhu; Opponent prediction modeling; Credit allocation; Deep Monte Carlo; Multi-agent reinforcement learning</t>
  </si>
  <si>
    <t>LEVEL; POKER; GAME</t>
  </si>
  <si>
    <t>Fu, Longyue/LBH-4283-2024; Luo, Hongchen/LIG-2952-2024</t>
  </si>
  <si>
    <t>Wang, Jiao/0000-0003-3131-7740; Fu, Longyue/0000-0002-9999-2796; Luo, Hongchen/0000-0003-0744-2074; Guo, Zhifen/0000-0001-7829-9135</t>
  </si>
  <si>
    <t>184</t>
  </si>
  <si>
    <t>113823</t>
  </si>
  <si>
    <t>10.1016/j.asoc.2025.113823</t>
  </si>
  <si>
    <t>http://dx.doi.org/10.1016/j.asoc.2025.113823</t>
  </si>
  <si>
    <t>7XS9K</t>
  </si>
  <si>
    <t>WOS:001582156200001</t>
  </si>
  <si>
    <t>Li, ZQ; Xue, J; Zhu, YY; Jiang, X; Cai, YL; Dong, XJ; Wu, H; Zheng, QY; Chi, C; Liu, X</t>
  </si>
  <si>
    <t>Accurate prediction of compound-protein interactions (CPI) is critical for accelerating drug discovery and repurposing. However, existing computational methods often suffer from limited predictive accuracy and generalizability, particularly in cold-start scenarios involving unseen compounds or proteins. To address this challenge, we propose MM-CPI, a multimodal deep learning framework that integrates comprehensive compound representations, including molecular fingerprints, language model-based representation, and Graph Convolutional Networks (GCN)-derived structural features, with rich protein features derived from sequence, physicochemical properties, and protein language models. MM-CPI learns discriminative interaction patterns through effective feature fusion and classification, enabling robust performance on unseen entities. Experimental results on multiple public datasets demonstrate that MM-CPI achieves outstanding predictive performance, significantly outperforming state-of-the-art methods in accuracy, robustness, and generalization. In a case study on Fabry disease, we applied MM-CPI to drug repurposing and identified several candidate drugs, which were further validated via molecular docking. To facilitate practical use, we developed an interactive web platform (available at http://1.94.102.146:8501/MM-CPI) and released all source code and dataset at https://github.com/flyinsk y6/MM-CPI.</t>
  </si>
  <si>
    <t>Li, Zhiqiang; Xue, Jia; Zhu, Yanyan; Jiang, Xiang; Cai, Yaling; Dong, Xiujuan; Wu, Hao; Zheng, Qingyuan; Chi, Cheng; Liu, Xin</t>
  </si>
  <si>
    <t>Liu, X (corresponding author), Xuzhou Med Univ, Sch Med Informat &amp; Engn, Xuzhou 221004, Peoples R China.</t>
  </si>
  <si>
    <t>jx_0908@qq.com; 18914870639@163.com; liuxin@xzhmu.edu.cn; 2436445076@qq.com; lzq.work@foxmail.com; elliott2994@163.com; 15251836964@163.com; 3137963087@qq.com; 1091395464@qq.com; 18014058688@163.com</t>
  </si>
  <si>
    <t>Joint Project of Industry University Research of Jiangsu Province [BY20230198]; Jiangsu Training Program of Innovation and Entrepre-neurship for undergraduates [202410313100Y, S202510313081, S202510313085]</t>
  </si>
  <si>
    <t>Joint Project of Industry University Research of Jiangsu Province; Jiangsu Training Program of Innovation and Entrepre-neurship for undergraduates</t>
  </si>
  <si>
    <t>Funding Joint Project of Industry University Research of Jiangsu Province (BY20230198) ; Jiangsu Training Program of Innovation and Entrepre-neurship for undergraduates (202410313100Y, S202510313081, S202510313085) .</t>
  </si>
  <si>
    <t>[Li, Zhiqiang; Xue, Jia; Zhu, Yanyan; Jiang, Xiang; Cai, Yaling; Dong, Xiujuan; Chi, Cheng; Liu, Xin] Xuzhou Med Univ, Sch Med Informat &amp; Engn, Xuzhou 221004, Peoples R China; [Wu, Hao; Zheng, Qingyuan] Xuzhou Med Univ, Sch Life Sci, Xuzhou 221004, Peoples R China</t>
  </si>
  <si>
    <t>Xuzhou Medical University; Xuzhou Medical University</t>
  </si>
  <si>
    <t>MM-CPI: A multimodal fusion framework for compound-protein interaction prediction</t>
  </si>
  <si>
    <t>INTERNATIONAL JOURNAL OF BIOLOGICAL MACROMOLECULES</t>
  </si>
  <si>
    <t>Compound-protein interactions (CPI); Graph convolutional networks (GCN); Deep learning</t>
  </si>
  <si>
    <t>0141-8130</t>
  </si>
  <si>
    <t>1879-0003</t>
  </si>
  <si>
    <t>INT J BIOL MACROMOL</t>
  </si>
  <si>
    <t>Int. J. Biol. Macromol.</t>
  </si>
  <si>
    <t>359</t>
  </si>
  <si>
    <t>151617</t>
  </si>
  <si>
    <t>10.1016/j.ijbiomac.2026.151617</t>
  </si>
  <si>
    <t>http://dx.doi.org/10.1016/j.ijbiomac.2026.151617</t>
  </si>
  <si>
    <t>Biochemistry &amp; Molecular Biology; Chemistry, Applied; Polymer Science</t>
  </si>
  <si>
    <t>Biochemistry &amp; Molecular Biology; Chemistry; Polymer Science</t>
  </si>
  <si>
    <t>GM7QX</t>
  </si>
  <si>
    <t>41921797</t>
  </si>
  <si>
    <t>WOS:001740093000001</t>
  </si>
  <si>
    <t>Xu, NC; Wang, C; Peng, L; Zhou, XH; Chen, JY; Cheng, Z; Hou, ZG</t>
  </si>
  <si>
    <t>Freezing of Gait (FOG) is a significant symptom contributing to gait dysfunction in Parkinson's disease (PD) patients. Most current methods for assessing FOG severity often overlook the interpretability of the extracted gait features. In this study, we design a multimodal gait feature dataset with rich physical significance, including kinematics, kinetics, and spatiotemporal modalities. We also propose a graph-based multimodal fusion framework (GMFF) to accurately quantify FOG severity. GMFF employs the graph attention mechanism to extract modality-specific features and utilizes the generalized canonical correlation analysis (GCCA) algorithm as the core of the feature fusion module. We provide the double-hurdle output module to address the impact of the zero-inflation problem on the performance of GMFF. We evaluate the performance of GMFF on a public PD gait database using five-fold cross-validation. The results demonstrate that GMFF achieves an accuracy of 0.978 in identifying patients with FOG and a root mean square error of 0.449 in quantifying FOG severity. Using the interpretability of GMFF, we identify the gait feature set that effectively characterizes the gait patterns of PD patients and then explore the impact of FOG symptoms on their walking ability under both the "ON" and "OFF" medication states. Thus, this study has the potential to provide valuable insights into the clinical monitoring and management of PD patients.</t>
  </si>
  <si>
    <t>Xu, Ningcun; Wang, Chen; Peng, Liang; Zhou, Xiao-Hu; Chen, Jingyao; Cheng, Zhi; Hou, Zeng-Guang</t>
  </si>
  <si>
    <t>Peng, L; Hou, ZG (corresponding author), Chinese Acad Sci, Inst Automation, State Key Lab Multimodal Artificial Intelligence S, Beijing 100190, Peoples R China.; Hou, ZG (corresponding author), Univ Chinese Acad Sci, Sch Artificial Intelligence, Beijing 100049, Peoples R China.</t>
  </si>
  <si>
    <t>2202853nmi30001@student.must.edu.mo; liang.peng@ia.ac.cn; zengguang.hou@ia.ac.cn</t>
  </si>
  <si>
    <t>National Key Research and Development Program of China [2022YFC3601200]; National Natural Science Foundation of China [62203441, U21A20479]; Beijing Natural Science Foundation [4252055, L222013]; Inner Mongolia Autonomous Region Science and Technology Plan [2023YFDZ0042]</t>
  </si>
  <si>
    <t>National Key Research and Development Program of China (National Key Research &amp; Development Program of China); National Natural Science Foundation of China (National Natural Science Foundation of China (NSFC)); Beijing Natural Science Foundation (Beijing Natural Science Foundation); Inner Mongolia Autonomous Region Science and Technology Plan</t>
  </si>
  <si>
    <t>This work was supported in part by the National Key Research and Development Program of China under Grant 2022YFC3601200, in part by the National Natural Science Foundation of China under Grant 62203441 and Grant U21A20479, in part by Beijing Natural Science Foundation under Grant 4252055 and Grant L222013, and in part by Inner Mongolia Autonomous Region Science and Technology Plan under Grant 2023YFDZ0042.</t>
  </si>
  <si>
    <t>[Xu, Ningcun; Chen, Jingyao; Cheng, Zhi] Macau Univ Sci &amp; Technol, Fac Innovat Engn, CASIA MUST Joint Lab Intelligence Sci &amp; Technol, Macau 999078, Peoples R China; [Xu, Ningcun; Wang, Chen; Peng, Liang; Zhou, Xiao-Hu; Chen, Jingyao; Cheng, Zhi; Hou, Zeng-Guang] Chinese Acad Sci, Inst Automation, State Key Lab Multimodal Artificial Intelligence S, Beijing 100190, Peoples R China; [Hou, Zeng-Guang] Univ Chinese Acad Sci, Sch Artificial Intelligence, Beijing 100049, Peoples R China</t>
  </si>
  <si>
    <t>Macau University of Science and Technology; Chinese Academy of Sciences; Institute of Automation, CAS; Chinese Academy of Sciences; University of Chinese Academy of Sciences, CAS</t>
  </si>
  <si>
    <t>A Graph-Based Multimodal Fusion Framework for Assessment of Freezing of Gait in Parkinson's Disease</t>
  </si>
  <si>
    <t>Feature extraction; Kinematics; Spatiotemporal phenomena; Kinetic theory; Legged locomotion; Diseases; Databases; Accuracy; Harmonic analysis; Force; Parkinson's disease; freezing of gait; gait analysis; quantification assessment; multimodal features fusion; medication states</t>
  </si>
  <si>
    <t>Xu, Ning/ABC-5292-2022</t>
  </si>
  <si>
    <t>彭, 亮/0000-0001-6531-7517; 周, 小虎/0000-0002-7602-4848</t>
  </si>
  <si>
    <t>1539</t>
  </si>
  <si>
    <t>1549</t>
  </si>
  <si>
    <t>10.1109/TNSRE.2025.3561942</t>
  </si>
  <si>
    <t>http://dx.doi.org/10.1109/TNSRE.2025.3561942</t>
  </si>
  <si>
    <t>2CN3G</t>
  </si>
  <si>
    <t>40244843</t>
  </si>
  <si>
    <t>WOS:001479397100003</t>
  </si>
  <si>
    <t>Li, M; Sun, WQ; Xu, L; He, P; Chen, MM</t>
  </si>
  <si>
    <t>Coronal mass ejections (CMEs) can trigger severe space weather disturbances, disrupting Earth's magnetic field and impairing communication systems. Accurately predicting CME arrival time is therefore of critical importance. Existing methods typically rely on either CME physical parameters alone or a single CME image. However, CME propagation is a dynamic process, and neither a single image nor an isolated physical parameter provides sufficient information for high-accuracy prediction. To address this limitation, we propose a novel approach that simultaneously extracts and fuses features from CME image sequences and physical parameters. The method comprises three key modules. First, the image sequence feature extraction network leverages the sparsity characteristics of CMEs to extract dynamic information from sequential images, laying a foundation for efficient arrival time prediction. Second, the physical parameter feature extraction network extracts meaningful features from CME physical parameters, including speed, size, and density, which are directly relevant to propagation dynamics. Finally, the multimodal feature fusion network integrates features from both modalities using graph convolutional networks. It models each modality's features as individual nodes, captures intermodal correlations, and performs adaptive feature fusion. By incorporating both static CME physical parameters and evolutionary visual information of sequential images, this approach yields a more informative representation of CME characteristics, thereby significantly enhancing the accuracy of CME arrival time prediction. The experimental results demonstrate that our method achieves a mean absolute error (MAE) of 10.765 hr for CME arrival time prediction, which is competitive with state-of-the-art methods.</t>
  </si>
  <si>
    <t>Li, Mi; Sun, Wenqing; Xu, Long; He, Peican; Chen, Meryl Mooyan</t>
  </si>
  <si>
    <t>Sun, WQ (corresponding author), Ningbo Univ, Fac Informat Sci &amp; Engn, Ningbo 315211, Peoples R China.</t>
  </si>
  <si>
    <t>sunwenqing@nbu.edu.cn; lxu@nao.cas.cn</t>
  </si>
  <si>
    <t>MOST divided by National Natural Science Foundation of China (NSFC) [62576180]</t>
  </si>
  <si>
    <t>MOST divided by National Natural Science Foundation of China (NSFC) (National Natural Science Foundation of China (NSFC))</t>
  </si>
  <si>
    <t>This work was supported by the National Key R&amp;D Program of China (No. 2021YFA1600504) and the National Natural Science Foundation of China (NSFC) (Nos. 62576180 and 11790305).</t>
  </si>
  <si>
    <t>[Li, Mi; Sun, Wenqing; Xu, Long] Ningbo Univ, Fac Informat Sci &amp; Engn, Ningbo 315211, Peoples R China; [He, Peican] Shaanxi Univ Sci &amp; Technol, Xianyang 710021, Shanxi, Peoples R China; [Chen, Meryl Mooyan] Del Norte High Sch, San Diego, CA USA</t>
  </si>
  <si>
    <t>Ningbo University</t>
  </si>
  <si>
    <t>Graph Convolutional Network-augmented Multimodal Fusion for Coronal Mass Ejection Arrival-time Prediction Using Transformer Feature Extraction</t>
  </si>
  <si>
    <t>ASTROPHYSICAL JOURNAL SUPPLEMENT SERIES</t>
  </si>
  <si>
    <t>SOLAR; MODEL</t>
  </si>
  <si>
    <t>0067-0049</t>
  </si>
  <si>
    <t>1538-4365</t>
  </si>
  <si>
    <t>ASTROPHYS J SUPPL S</t>
  </si>
  <si>
    <t>Astrophys. J. Suppl. Ser.</t>
  </si>
  <si>
    <t>SEP 1 2026</t>
  </si>
  <si>
    <t>286</t>
  </si>
  <si>
    <t>10.3847/1538-4365/ae88f7</t>
  </si>
  <si>
    <t>http://dx.doi.org/10.3847/1538-4365/ae88f7</t>
  </si>
  <si>
    <t>Astronomy &amp; Astrophysics</t>
  </si>
  <si>
    <t>MJ3EN</t>
  </si>
  <si>
    <t>WOS:001843595800001</t>
  </si>
  <si>
    <t>Redwan, K; Datto, S; Ahmed, M; Masum, HR; Al Sohan, MFA; Shufian, A</t>
  </si>
  <si>
    <t>Accurate product price prediction is a major challenge in modern e-commerce. Product value depends on images, textual descriptions, and categorical attributes, yet many methods under utilize these modalities jointly. This paper presents a multimodal deep learning framework for price regression using two architectures. The first is an attention-based Functional API model that applies EfficientNetB1 for visual features, pre-trained GloVe embeddings with a bidirectional LSTM for text, and trainable embeddings for categorical inputs, combined via late fusion. The second is a lightweight Sequential API model that uses a compact convolutional network for image features and a dense layer to merge modalities, targeting computational efficiency for resource-limited deployments. Both models are trained on the same category-filtered dataset (&gt;= 20 per class) with a single price-decile-stratified train/validation/test split (seed 42). Evaluation uses Mean Absolute Error (MAE), Root Mean Squared Error (RMSE), and the coefficient of determination (R2) on the original price scale after inverse transformation. Headline numbers are aggregated over repeated initializations on the same split (seeds {13, 21, 42, 77, 123}) and reported as mean +/- SD with 95% confidence intervals. The Functional API model shows stronger performance under the same split and seeds, achieving MAE 5.37 +/- 0.08 (95% CI [5.27, 5.47]), RMSE 7.32 +/- 0.08 (95% CI [7.22, 7.42]), and R2 = 0.702 +/- 0.007 (95% CI [0.693, 0.711]). The Sequential API model attains lower accuracy (MAE = 8.13, RMSE = 10.88, R2 = 0.43) but reduced training time and memory footprint. Ablation studies on the same split with repeated seeds isolate the effects of visual backbones, text encoders, fusion with/without attention, and loss functions. Preprocessing details, calibration checks, and decile and category-wise error summaries support transparency and reproducibility. The results establish a clear benchmark for multimodal regression in retail pricing, balancing predictive accuracy with operational feasibility.</t>
  </si>
  <si>
    <t>Redwan, Kazi; Datto, Sourav; Ahmed, Mustakim; Masum, Habibur Rahman; Al Sohan, Md. Faruk Abdullah; Shufian, Abu</t>
  </si>
  <si>
    <t>Shufian, A (corresponding author), Amer Int Univ Bangladesh, Dept Elect &amp; Elect Engn, Dhaka, Bangladesh.</t>
  </si>
  <si>
    <t>redwan.stu@gmail.com; duttosourav8@gmail.com; ahmedmustakim031@gmail.com; farukabdullah@gmail.com; shufian.eee@aiub.edu; hrmasum67@gmail.com</t>
  </si>
  <si>
    <t>American International University-Bangladesh, Dhaka, Bangladesh</t>
  </si>
  <si>
    <t>Authors would like to express their gratitude to American International University-Bangladesh, Dhaka, Bangladesh for providing financial and technical support to carry out this research.</t>
  </si>
  <si>
    <t>[Redwan, Kazi; Datto, Sourav; Ahmed, Mustakim; Masum, Habibur Rahman; Al Sohan, Md. Faruk Abdullah] Amer Int Univ Bangladesh, Dept Comp Sci, Dhaka, Bangladesh; [Shufian, Abu] Amer Int Univ Bangladesh, Dept Elect &amp; Elect Engn, Dhaka, Bangladesh</t>
  </si>
  <si>
    <t>American International University Bangladesh (AIUB); American International University Bangladesh (AIUB)</t>
  </si>
  <si>
    <t>A multimodal deep learning framework for integrating visual, textual and categorical features in retail price estimation</t>
  </si>
  <si>
    <t>ARRAY</t>
  </si>
  <si>
    <t>Category embedding; Functional API; GloVe embedding; Multimodal price prediction; Sequential API</t>
  </si>
  <si>
    <t>Shufian, Abu/AAZ-1283-2021; Redwan, Kazi/KIL-7391-2024; SOHAN, FARUK ABDULLAH AL/OPO-1631-2025</t>
  </si>
  <si>
    <t>Shufian, Abu/0000-0001-6914-0966; Redwan, Kazi/0009-0008-0672-6263; , HABIBUR RAHMAN MASUM/0009-0008-8202-2807; SOHAN, FARUK ABDULLAH AL/0000-0002-8291-7431</t>
  </si>
  <si>
    <t>2590-0056</t>
  </si>
  <si>
    <t>ARRAY-NY</t>
  </si>
  <si>
    <t>Array</t>
  </si>
  <si>
    <t>100565</t>
  </si>
  <si>
    <t>10.1016/j.array.2025.100565</t>
  </si>
  <si>
    <t>http://dx.doi.org/10.1016/j.array.2025.100565</t>
  </si>
  <si>
    <t>9XL9X</t>
  </si>
  <si>
    <t>WOS:001617356000001</t>
  </si>
  <si>
    <t>Zhou, CH; Cao, YH; Ming, BH; Luo, JW; Xu, FR; Zhang, JM; Dong, M</t>
  </si>
  <si>
    <t>This study addressed the core challenge of intelligent pest and disease monitoring and early warning in smart horticultural production by proposing a multimodal deep learning framework based on multi-parameter environmental sensor arrays. The framework integrates visual information with electrical signals to overcome the inherent limitations of conventional single-modality approaches in terms of real-time capability, stability, and early detection performance. A long-term field experiment was conducted over 18 months in the Hetao Irrigation District of Bayannur, Inner Mongolia, using three representative horticultural crops-grape (Vitis vinifera), tomato (Solanum lycopersicum), and sweet pepper (Capsicum annuum)-to construct a multimodal dataset comprising illumination intensity, temperature, humidity, gas concentration, and high-resolution imagery, with a total of more than 2.6x106 recorded samples. The proposed framework consists of a lightweight convolution-Transformer hybrid encoder for electrical signal representation, a cross-modal feature alignment module, and an early-warning decision module, enabling dynamic spatiotemporal modeling and complementary feature fusion under complex field conditions. Experimental results demonstrated that the proposed model significantly outperformed both unimodal and traditional fusion methods, achieving an accuracy of 0.921, a precision of 0.935, a recall of 0.912, an F1-score of 0.923, and an area under curve (AUC) of 0.957, confirming its superior recognition stability and early-warning capability. Ablation experiments further revealed that the electrical feature encoder, cross-modal alignment module, and early-warning module each played a critical role in enhancing performance. This research provides a low-cost, scalable, and energy-efficient solution for precise pest and disease management in intelligent horticulture, supporting efficient monitoring and predictive decision-making in greenhouses, orchards, and facility-based production systems. It offers a novel technological pathway and theoretical foundation for artificial-intelligence-driven sustainable horticultural production.</t>
  </si>
  <si>
    <t>Zhou, Chuhuang; Cao, Yuhan; Ming, Bihong; Luo, Jingwen; Xu, Fangrou; Zhang, Jiamin; Dong, Min</t>
  </si>
  <si>
    <t>Dong, M (corresponding author), China Agr Univ, Beijing 100083, Peoples R China.</t>
  </si>
  <si>
    <t>dongmin@cau.edu.cn</t>
  </si>
  <si>
    <t>Modern Agricultural Industrial Technology System Beijing Innovation Team [BAIC08-2024-YJ03]</t>
  </si>
  <si>
    <t>Modern Agricultural Industrial Technology System Beijing Innovation Team</t>
  </si>
  <si>
    <t>This work was supported by the Modern Agricultural Industrial Technology System Beijing Innovation Team (BAIC08-2024-YJ03).</t>
  </si>
  <si>
    <t>[Zhou, Chuhuang; Cao, Yuhan; Ming, Bihong; Luo, Jingwen; Xu, Fangrou; Dong, Min] China Agr Univ, Beijing 100083, Peoples R China; [Ming, Bihong; Zhang, Jiamin] Peking Univ, Natl Sch Dev, Beijing 100871, Peoples R China; [Zhang, Jiamin] Beijing Forestry Univ, Mat Sci &amp; Technol, Beijing 100083, Peoples R China</t>
  </si>
  <si>
    <t>China Agricultural University; Peking University; Beijing Forestry University</t>
  </si>
  <si>
    <t>A Multimodal Deep Learning Framework for Intelligent Pest and Disease Monitoring in Smart Horticultural Production Systems</t>
  </si>
  <si>
    <t>HORTICULTURAE</t>
  </si>
  <si>
    <t>deep learning in horticulture; early warning system; precision horticultural management; pest and disease detection; transformer-based signal encoding</t>
  </si>
  <si>
    <t>2311-7524</t>
  </si>
  <si>
    <t>Horticulturae</t>
  </si>
  <si>
    <t>DEC 21 2025</t>
  </si>
  <si>
    <t>10.3390/horticulturae12010008</t>
  </si>
  <si>
    <t>http://dx.doi.org/10.3390/horticulturae12010008</t>
  </si>
  <si>
    <t>Horticulture</t>
  </si>
  <si>
    <t>Agriculture</t>
  </si>
  <si>
    <t>CO3LI</t>
  </si>
  <si>
    <t>WOS:001670553200001</t>
  </si>
  <si>
    <t>Berrocal, O; Sarmiento, C; Figueroa, J</t>
  </si>
  <si>
    <t>Maize stalk rot is a destructive fungal disease that reduces yield by weakening stalks and causing lodging. However, current methods for detecting the disease rely solely on artificial vision, which limits comprehensive assessment of severity by omitting critical environmental variables such as soil moisture. This study proposes a multimodal deep learning model for real-time assessment of maize stalk rot severity, integrating visual features and soil moisture data collected by a mobile robot. An enhanced YOLOv8n was used to localize stalk regions, followed by a VGG16 classifier that assigns three severity levels: healthy, moderately infected, and severely infected. Simultaneously, volumetric water content (VWC) near the root zone was measured using moisture sensors, and temporal dynamics were analyzed to obtain severity thresholds from soil moisture patterns. A fuzzy logic-based late fusion integrates soil and image predictions, improving robustness under heterogeneous field conditions. Field validation on the test subset showed that the multimodal model achieved 94.4%, 94.1%, and 94.1% in overall precision, recall, and F1-score, respectively, outperforming the vision-only baseline by up to 7.8% in accuracy. These results indicate that the proposed model provides a reliable and scalable assessment of stalk rot severity under real agricultural conditions</t>
  </si>
  <si>
    <t>Berrocal, Oscar; Sarmiento, Cristhian; Figueroa, Joel</t>
  </si>
  <si>
    <t>Berrocal, O (corresponding author), Peruvian Univ Appl Sci, Dept Elect Engn, Lima, Peru.</t>
  </si>
  <si>
    <t>u202118717@upc.edu.pe</t>
  </si>
  <si>
    <t>[Berrocal, Oscar; Sarmiento, Cristhian] Peruvian Univ Appl Sci, Dept Elect Engn, Lima, Peru; [Figueroa, Joel] Peruvian Univ Appl Sci UPC, Sch Engn, Lima, Peru</t>
  </si>
  <si>
    <t>Universidad Peruana de Ciencias Aplicadas (UPC); Universidad Peruana de Ciencias Aplicadas (UPC)</t>
  </si>
  <si>
    <t>Multimodal deep learning model for real-Time severity assessment of maize stalk rot integrating visual and soil sensing data</t>
  </si>
  <si>
    <t>SMART AGRICULTURAL TECHNOLOGY</t>
  </si>
  <si>
    <t>Maize stalk rot; Multimodal deep learning; Soil moisture sensing; Fuzzy fusion; Real-time crop disease assessment</t>
  </si>
  <si>
    <t>MANAGEMENT; DISEASES</t>
  </si>
  <si>
    <t>2772-3755</t>
  </si>
  <si>
    <t>SMART AGR TECHNOL</t>
  </si>
  <si>
    <t>Smart Agric. Technol.</t>
  </si>
  <si>
    <t>102038</t>
  </si>
  <si>
    <t>10.1016/j.atech.2026.102038</t>
  </si>
  <si>
    <t>http://dx.doi.org/10.1016/j.atech.2026.102038</t>
  </si>
  <si>
    <t>Agricultural Engineering; Agriculture, Multidisciplinary; Agronomy</t>
  </si>
  <si>
    <t>GC9OE</t>
  </si>
  <si>
    <t>WOS:001733427300001</t>
  </si>
  <si>
    <t>Asad, M; Azeem, W; Mustafa, HT; Fang, YM; Yang, J; Zuo, YF; Liu, W</t>
  </si>
  <si>
    <t>3D shape defect detection plays an important role in autonomous industrial inspection. However, accurate detection of anomalies remains challenging due to the complexity of multimodal sensor data, especially when both color and structural information are required. In this work, we propose a lightweight inter-modality feature prediction framework that effectively utilizes multimodal fused features from the inputs of RGB, depth and point clouds for efficient 3D shape defect detection. Our proposed framework consists of three main key components: 1) Modality-specific pre-trained feature extractor networks, 2) Multi-level Adaptive Dual-Modal Gated Fusion (ADMGF) module that effectively combines the RGB and depth features to obtain rich spatial and contextual information. 3) A lightweight inter-modal feature prediction network that utilizes the fused RGB-Depth features to predict the corresponding point cloud features and vice versa, forming a bidirectional learning mechanism through tri-modal inputs. Our model eliminates the need for large memory banks or pixel-level reconstructions. Comprehensive experiments on the MVTec3D-AD and Eyecandies datasets showed significant improvements in performance over the state-of-the-art methods.</t>
  </si>
  <si>
    <t>Asad, Mujtaba; Azeem, Waqar; Mustafa, Hafiz Tayyab; Fang, Yuming; Yang, Jie; Zuo, Yifan; Liu, Wei</t>
  </si>
  <si>
    <t>Yang, J; Liu, W (corresponding author), Shanghai Jiao Tong Univ, Sch Automat &amp; Intelligent Sensing, Shanghai 200240, Peoples R China.; Yang, J; Liu, W (corresponding author), Shanghai Jiao Tong Univ, Inst Image Proc &amp; Pattern Recognit, Shanghai 200240, Peoples R China.; Liu, W (corresponding author), Shanghai Jiao Tong Univ, Inst Med Robot, Shanghai 200240, Peoples R China.</t>
  </si>
  <si>
    <t>waqar.azeem@lgu.edu.pk; mustafa.tayyab@zjnu.edu.cn; asadmujtaba@sjtu.edu.cn; weiliucv@sjtu.edu.cn; jieyang@sjtu.edu.cn; kenny0410@126.com</t>
  </si>
  <si>
    <t>National Natural Science Foundation of China [62376153, 62402318, 24Z990200676, 62271237, U24A20220, 62132006, 62311530101]; Science Foundation of the Jiangxi Province of China [20242BAB26014]</t>
  </si>
  <si>
    <t>National Natural Science Foundation of China (National Natural Science Foundation of China (NSFC)); Science Foundation of the Jiangxi Province of China</t>
  </si>
  <si>
    <t>This work is partially supported by National Natural Science Foundation of China (Grant No. 62376153, 62402318, 24Z990200676, 62271237, U24A20220, 62132006, 62311530101) and Science Foundation of the Jiangxi Province of China (Grant No. 20242BAB26014) .</t>
  </si>
  <si>
    <t>[Asad, Mujtaba; Yang, Jie; Liu, Wei] Shanghai Jiao Tong Univ, Sch Automat &amp; Intelligent Sensing, Shanghai 200240, Peoples R China; [Asad, Mujtaba; Yang, Jie; Liu, Wei] Shanghai Jiao Tong Univ, Inst Image Proc &amp; Pattern Recognit, Shanghai 200240, Peoples R China; [Azeem, Waqar] Lahore Garrison Univ, Dept Software Engn, Lahore 54810, Pakistan; [Mustafa, Hafiz Tayyab] Zhejiang Normal Univ, Sch Comp Sci &amp; Technol, Jinhua 321004, Peoples R China; [Fang, Yuming; Zuo, Yifan] Jiangxi Univ Finance &amp; Econ, Sch Comp &amp; Artificial Intelligence, Nanchang 330032, Jiangxi, Peoples R China; [Liu, Wei] Shanghai Jiao Tong Univ, Inst Med Robot, Shanghai 200240, Peoples R China</t>
  </si>
  <si>
    <t>Shanghai Jiao Tong University; Shanghai Jiao Tong University; Zhejiang Normal University; Shanghai Jiao Tong University</t>
  </si>
  <si>
    <t>Inter-modality feature prediction through multimodal fusion for 3D shape defect detection</t>
  </si>
  <si>
    <t>Anomaly detection; Inter-modality representation learning; Cross-attention; Multi-level feature fusion; Industrial automation</t>
  </si>
  <si>
    <t>ANOMALY DETECTION</t>
  </si>
  <si>
    <t>Azeem, Waqar/JBJ-4451-2023; Zuo, Yifan/JVZ-3041-2024; Fang, YuMing/NJT-3594-2025; Mustafa, Hafiz Tayyab/W-7957-2019</t>
  </si>
  <si>
    <t>Azeem, Waqar/0000-0001-5839-5621; Liu, Wei/0000-0001-6351-9019; Zuo, Yifan/0000-0003-4980-7211; Mustafa, Hafiz Tayyab/0000-0003-3992-4457; Asad, Mujtaba/0000-0003-0318-7379</t>
  </si>
  <si>
    <t>108057</t>
  </si>
  <si>
    <t>10.1016/j.neunet.2025.108057</t>
  </si>
  <si>
    <t>http://dx.doi.org/10.1016/j.neunet.2025.108057</t>
  </si>
  <si>
    <t>7DB3P</t>
  </si>
  <si>
    <t>40921124</t>
  </si>
  <si>
    <t>WOS:001568140000001</t>
  </si>
  <si>
    <t>Alotaibi, Y; Vuyyuru, VA</t>
  </si>
  <si>
    <t>Recently, there has been increased interest in emotion recognition. It is widely utilised in many industries, including healthcare, education and human-computer interaction (HCI). Different emotions are frequently recognised using characteristics of human emotion. Multimodal emotion identification based on the fusion of several features is currently the subject of increasing amounts of research. In order to obtain a superior classification performance, this work offers a deep learning model for multimodal emotion identification based on the fusion of electroencephalogram (EEG) signals and facial expressions. First, the face features from the facial expressions are extracted using a pre-trained convolution neural network (CNN). In this article, we employ CNNs to acquire spatial features from the original EEG signals. These CNNs use both regional and global convolution kernels to learn the characteristics of the left and right hemisphere channels as well as all EEG channels. Exponential canonical correlation analysis (ECCA) is used to combine highly correlated data from facial video frames and EEG after extraction. The 1-D CNN classifier uses these combined features to identify emotions. In order to assess the effectiveness of the suggested model, this research ran tests on the DEAP dataset. It is found that Multi_Modal_1D-CNN achieves 98.9% of accuracy, 93.2% of precision, 89.3% of recall, 94.23% of F1-score and 7sec of processing time.</t>
  </si>
  <si>
    <t>Alotaibi, Youseef; Vuyyuru, Veera Ankalu.</t>
  </si>
  <si>
    <t>Alotaibi, Y (corresponding author), Umm Al Qura Univ, Coll Comp &amp; Informat Syst, Dept Comp Sci, Mecca 21955, Saudi Arabia.</t>
  </si>
  <si>
    <t>yaotaibi@uqu.edu.sa</t>
  </si>
  <si>
    <t>Deanship for Research amp; Innovation, Ministry of Education in Saudi Arabia [IFP22UQU4281768DSR159]</t>
  </si>
  <si>
    <t>Deanship for Research amp; Innovation, Ministry of Education in Saudi Arabia</t>
  </si>
  <si>
    <t>Acknowledgments The authors extend their appreciation to the Deanship for Research &amp; Innovation, Ministry of Education in Saudi Arabia for funding this research work through the project number: IFP22UQU4281768DSR159.</t>
  </si>
  <si>
    <t>[Alotaibi, Youseef] Umm Al Qura Univ, Coll Comp &amp; Informat Syst, Dept Comp Sci, Mecca 21955, Saudi Arabia; [Vuyyuru, Veera Ankalu.] Koneru Lakshmaiah Educ Fdn, Dept Comp Sci &amp; Engn, Visakhapatnam 522502, Andhra Pradesh, India</t>
  </si>
  <si>
    <t>Umm Al-Qura University; Koneru Lakshmaiah Education Foundation (K L Deemed to be University)</t>
  </si>
  <si>
    <t>Electroencephalogram based face emotion recognition using multimodal fusion and 1-D convolution neural network (ID-CNN) classifier</t>
  </si>
  <si>
    <t>AIMS MATHEMATICS</t>
  </si>
  <si>
    <t>electroencephalogram (EEG); emotion recognition; CNN; feature fusion; pre-processing; canonical correlation</t>
  </si>
  <si>
    <t>FACIAL EXPRESSION; VIDEO; MODEL</t>
  </si>
  <si>
    <t>Alotaibi, Youseef/AIC-8431-2022; Vuyyuru, Veera Ankalu/HKO-5424-2023</t>
  </si>
  <si>
    <t>Vuyyuru, Veera Ankalu/0000-0003-0724-2419</t>
  </si>
  <si>
    <t>AMER INST MATHEMATICAL SCIENCES-AIMS</t>
  </si>
  <si>
    <t>SPRINGFIELD</t>
  </si>
  <si>
    <t>PO BOX 2604, SPRINGFIELD, MO 65801-2604, UNITED STATES</t>
  </si>
  <si>
    <t>2473-6988</t>
  </si>
  <si>
    <t>AIMS MATH</t>
  </si>
  <si>
    <t>AIMS Math.</t>
  </si>
  <si>
    <t>22984</t>
  </si>
  <si>
    <t>23002</t>
  </si>
  <si>
    <t>10.3934/math.20231169</t>
  </si>
  <si>
    <t>http://dx.doi.org/10.3934/math.20231169</t>
  </si>
  <si>
    <t>Mathematics, Applied; Mathematics</t>
  </si>
  <si>
    <t>N6YA1</t>
  </si>
  <si>
    <t>WOS:001038431500007</t>
  </si>
  <si>
    <t>Zhang, H; Wang, Y; Jiao, JH; He, FQ; An, K</t>
  </si>
  <si>
    <t>Achieving accurate and efficient object pose estimation is a key goal in computer vision. Most existing methods rely on controlled environments, limiting their effectiveness in complex, dynamic, and unstructured real-world scenarios, especially for novel objects, severe occlusion, or sensor noise. Recent studies show that integrating multimodal information can improve adaptability and accuracy, with RGB-D fusion gaining attention due to its low cost and accessibility. However, effectively combining geometric and semantic cues from RGB and depth particularly at local regions remains challenging. To address this, we propose a Co-attention Refinement Network using a neighborhood-weighted voting mechanism to construct collaborative attention for efficient RGB-depth fusion. A non-iterative global-local context aggregation strategy further mitigates fusion errors from modality differences and local inconsistencies. The key components include Co-attention Alignment and Fusion (CCAF) and Enhanced Global-Local Context Aggregation (EGCA), which enable adaptive feature alignment and fine-grained context modeling. Extensive experiments on LINEMOD, Occlusion-LineMOD, and YCB-Video demonstrate the effectiveness and generalization of our approach. Note to Practitioners-This paper addresses the challenge of accurate and robust 6D object pose estimation in real-world environments, where factors such as poor lighting, occlusion, background clutter, and sensor noise commonly affect perception systems. Existing approaches relying on either RGB or depth information alone often fail when faced with textureless or reflective objects. To overcome these limitations, we propose a multimodal fusion framework that exploits the complementary strengths of RGB and depth modalities through a novel neighbor-based cross attention mechanism. By adaptively integrating information across neighboring regions, our method enhances the reliability of feature fusion and reduces the negative impact of noisy or misleading background data. Additionally, we introduce a confidence estimation module to assess the quality of the predicted poses, which is useful for practical robotic applications that require high reliability. This system is particularly relevant for tasks such as robotic grasping, assembly, and object manipulation in industrial and service settings. Practitioners interested in deploying multimodal perception systems can benefit from the proposed lightweight and generalizable design that supports improved performance in cluttered, dynamic, or previously unseen environments.</t>
  </si>
  <si>
    <t>Zhang, Hui; Wang, Yue; Jiao, Jianhao; He, Fengqin; An, Kang</t>
  </si>
  <si>
    <t>An, K (corresponding author), Shanghai Normal Univ, Coll Informat Mech &amp; Elect Engn, Shanghai 200234, Peoples R China.</t>
  </si>
  <si>
    <t>ucacjji@ucl.ac.uk; hfq@shnu.edu.cn; huiz@shnu.edu.cn; 1000549399@smail.shnu.edu.cn; ankang@shnu.edu.cn</t>
  </si>
  <si>
    <t>Key Program of the National Natural Science Foundation of China [62333017]</t>
  </si>
  <si>
    <t>Key Program of the National Natural Science Foundation of China (National Natural Science Foundation of China (NSFC))</t>
  </si>
  <si>
    <t>This work was supported by the Key Program of the National Natural Science Foundation of China under Grant 62333017.</t>
  </si>
  <si>
    <t>[Zhang, Hui; Wang, Yue; He, Fengqin; An, Kang] Shanghai Normal Univ, Coll Informat Mech &amp; Elect Engn, Shanghai 200234, Peoples R China; [Jiao, Jianhao] UCL, Dept Comp Sci, London WC1E 6BT, England</t>
  </si>
  <si>
    <t>Shanghai Normal University; University of London; University College London</t>
  </si>
  <si>
    <t>Co-Attention Guided Multimodal Fusion for Robust 6-D Pose Estimation in Occluded Scenarios</t>
  </si>
  <si>
    <t>IEEE TRANSACTIONS ON AUTOMATION SCIENCE AND ENGINEERING</t>
  </si>
  <si>
    <t>Pose estimation; Computers; Computer vision; Modeling; Modules (abstract algebra); Conferences; Three-dimensional displays; Fuses; Robustness; Accuracy; 6D object pose estimation; multi-modal fusion; interactive feature fusion; cross-modal alignment</t>
  </si>
  <si>
    <t>OBJECT; NETWORK</t>
  </si>
  <si>
    <t>Jiao, Jianhao/MBU-9351-2025</t>
  </si>
  <si>
    <t>1545-5955</t>
  </si>
  <si>
    <t>1558-3783</t>
  </si>
  <si>
    <t>IEEE T AUTOM SCI ENG</t>
  </si>
  <si>
    <t>IEEE Trans. Autom. Sci. Eng.</t>
  </si>
  <si>
    <t>13407</t>
  </si>
  <si>
    <t>13418</t>
  </si>
  <si>
    <t>10.1109/TASE.2026.3713693</t>
  </si>
  <si>
    <t>http://dx.doi.org/10.1109/TASE.2026.3713693</t>
  </si>
  <si>
    <t>Automation &amp; Control Systems</t>
  </si>
  <si>
    <t>LX4ZC</t>
  </si>
  <si>
    <t>WOS:001835561800004</t>
  </si>
  <si>
    <t>Qiu, L; Zhao, L; Hou, RP; Zhao, WY; Zhang, SA; Lin, ZF; Teng, HH; Zhao, J</t>
  </si>
  <si>
    <t>Classification of subtype and grade is imperative in the clinical diagnosis and prognosis of cancer. Many deep learning-based studies related to cancer classification are based on pathology and genomics. However, most of them are late fusion-based and require full supervision in pathology image analysis. To address these problems, we present an integrated framework for cancer classification with pathology and genomics data. This framework consists of two major parts, a weakly supervised model for extracting patch features from whole slide images (WSIs), and a hierarchical multimodal fusion model. The weakly supervised model can make full use of WSI labels, and mitigate the effects of label noises by the self-training strategy. The generic multimodal fusion model is capable of capturing deep interaction information through multi-level attention mechanisms and controlling the expressiveness of each modal representation. We validate our approach on glioma and lung cancer datasets from The Cancer Genome Atlas (TCGA). The results demonstrate that the proposed method achieves superior performance compared to state-of-the-art methods, with the competitive AUC of 0.872 and 0.977 on these two datasets respectively. This paper establishes insight on how to build deep networks on multimodal biomedical data and proposes a more general framework for pathology image analysis without pixel-level annotation.</t>
  </si>
  <si>
    <t>Qiu, Lu; Zhao, Lu; Hou, Runping; Zhao, Wangyuan; Zhang, Shunan; Lin, Zefan; Teng, Haohua; Zhao, Jun</t>
  </si>
  <si>
    <t>Zhao, J (corresponding author), Shanghai Jiao Tong Univ, Sch Biomed Engn, Shanghai 200240, Peoples R China.</t>
  </si>
  <si>
    <t>junzhao@sjtu.edu.cn</t>
  </si>
  <si>
    <t>[Qiu, Lu; Zhao, Lu; Hou, Runping; Zhao, Wangyuan; Zhang, Shunan; Lin, Zefan; Zhao, Jun] Shanghai Jiao Tong Univ, Sch Biomed Engn, Shanghai 200240, Peoples R China; [Teng, Haohua] Shanghai Chest Hosp, Dept Pathol, Shanghai 200030, Peoples R China</t>
  </si>
  <si>
    <t>Shanghai Jiao Tong University; Shanghai Jiao Tong University</t>
  </si>
  <si>
    <t>Hierarchical multimodal fusion framework based on noisy label learning and attention mechanism for cancer classification with pathology and genomic features</t>
  </si>
  <si>
    <t>Weakly supervised learning; Multimodal fusion; Whole-slide image analysis; Cancer classification</t>
  </si>
  <si>
    <t>DEEP; ABERRATIONS</t>
  </si>
  <si>
    <t>Hou, Runping/LZI-3445-2025; Zhao, Wangyuan/PMG-1760-2026; Lin, Zefan/PXB-5334-2026</t>
  </si>
  <si>
    <t>Zhao, Wangyuan/0000-0002-6610-4828</t>
  </si>
  <si>
    <t>77</t>
  </si>
  <si>
    <t>MAR 2023</t>
  </si>
  <si>
    <t>102176</t>
  </si>
  <si>
    <t>10.1016/j.compmedimag.2022.102176</t>
  </si>
  <si>
    <t>http://dx.doi.org/10.1016/j.compmedimag.2022.102176</t>
  </si>
  <si>
    <t>8M2GT</t>
  </si>
  <si>
    <t>36682215</t>
  </si>
  <si>
    <t>WOS:000924290500001</t>
  </si>
  <si>
    <t>Jiang, YS; Feng, B; Chen, YH; Xu, JH; Li, RG; Zhang, WB; Chen, XM; Long, WS; Li, KW</t>
  </si>
  <si>
    <t>Background The prediction of Epidermal Growth Factor Receptor (EGFR) mutation status in advanced lung adenocarcinoma is crucial for targeted therapy. Since EGFR mutations manifest as both macroscopic imaging features on CT and microscopic morphological changes in tissue, integrating these multiscale signals is essential for a comprehensive diagnostic assessment. However, current related research faces two key limitations: on one hand, unimodal deep learning models suffer from limited representational power; on the other hand, existing multimodal methods fail to address the inherent data structural discrepancies between continuous CT and discrete WSI, often losing critical fine-grained details due to forced data compression or shared semantic bottlenecks.Objective To address the above limitations and improve the reliability of EGFR mutation status prediction, this study aims to propose a novel multimodal fusion framework (MFCA) that can effectively capture cross-modal semantic interactions and align imaging features across different scales.Methods A novel MFCA based on Cross-Attention (MFCA) is proposed, and its implementation steps are as follows: 1. First, a region-of-interest-guided approach is utilized to coarsely segment whole-slide histopathology images (WSI) into three constituent regions, namely cancerous, stromal, and other regions; 2. Then, a dual-branch encoder is employed to separately extract features from two types of imaging data-global features from Computed Tomography (CT) scans and region-specific features from the segmented WSI; 3. Critically, a bidirectional cross-attention module is introduced into the framework, which is designed to facilitate deep semantic interaction and alignment between the macroscopic context of CT imaging and the microscopic context of histopathology, thereby achieving highly efficient and discriminative feature fusion.Results On the external validation set, our MFCA framework achieved robust performance, with Area Under the Curve (AUC) values of 0.758(95% CI: 0.683-0.832) for cancerous regions, 0.805(95% CI: 0.716-0.900) for stromal regions, and 0.760(95% CI: 0.686-0.833) for other regions. The model's performance, particularly in the stromal component, was statistically superior to all baseline and competing models.Conclusion The proposed MFCA framework predicts EGFR mutation status by innovatively integrating macroscopic CT imaging with region-specific microscopic WSI features. It serves as a valuable computational tool to support precision oncology for patients with advanced lung adenocarcinoma.</t>
  </si>
  <si>
    <t>Jiang, Yuanshun; Feng, Bao; Chen, Yehang; Xu, Junhui; Li, Ronggang; Zhang, Weibin; Chen, Xiangmeng; Long, Wansheng; Li, Kunwei</t>
  </si>
  <si>
    <t>Long, WS (corresponding author), Jiangmen Cent Hosp, Jiangmen Key Lab Artificial Intelligence Med Image, Jiangmen, Guangdong, Peoples R China.; Chen, XM; Long, WS (corresponding author), Jiangmen Cent Hosp, Dept Radiol, Jiangmen 529030, Guangdong, Peoples R China.; Li, KW (corresponding author), Sun Yat Sen Univ, Affiliated Hosp 5, Dept Radiol, Zhuhai, Peoples R China.</t>
  </si>
  <si>
    <t>181970902@qq.com; likunwei@mail.sysu.edu.cn; jmlws2@163.com</t>
  </si>
  <si>
    <t>GUAT Special Research Projection the Strategic Development of Distinctive Interdisciplinary Fields [TS2024231]; Bagui Youth Top Talent training Program; Qihang Scholars Program of Guilin University of Aerospace Technology [KX201403709]; National Natural Science Foundation of China [82460361, 62176104]; The Science and Technology Plan Project in the Field of Healthcare in Jiangmen [2023YL01031]</t>
  </si>
  <si>
    <t>GUAT Special Research Projection the Strategic Development of Distinctive Interdisciplinary Fields; Bagui Youth Top Talent training Program; Qihang Scholars Program of Guilin University of Aerospace Technology; National Natural Science Foundation of China (National Natural Science Foundation of China (NSFC)); The Science and Technology Plan Project in the Field of Healthcare in Jiangmen</t>
  </si>
  <si>
    <t>This work was supported by the National Natural Science Foundation of China (82460361,62176104); GUAT Special Research Projection the Strategic Development of Distinctive Interdisciplinary Fields (TS2024231); the Bagui Youth Top Talent training Program; Qihang Scholars Program of Guilin University of Aerospace Technology (KX201403709); the Science and Technology Plan Project in the Field of Healthcare in Jiangmen (No.2023YL01031).</t>
  </si>
  <si>
    <t>[Jiang, Yuanshun] Guangxi Univ, Sch Comp &amp; Elect Informat, Nanning, Guangxi, Peoples R China; [Feng, Bao; Chen, Yehang] Guilin Univ Aerosp Technol, Lab Artificial Intelligence Biomed, Guilin, Guangxi, Peoples R China; [Feng, Bao; Long, Wansheng] Jiangmen Cent Hosp, Jiangmen Key Lab Artificial Intelligence Med Image, Jiangmen, Guangdong, Peoples R China; [Xu, Junhui] Guangxi Univ Sci &amp; Technol, Sch Automat, Liuzhou, Guangxi, Peoples R China; [Li, Ronggang; Zhang, Weibin] Jiangmen Cent Hosp, Dept Pathol, Jiangmen, Guangdong, Peoples R China; [Chen, Xiangmeng; Long, Wansheng] Jiangmen Cent Hosp, Dept Radiol, Jiangmen 529030, Guangdong, Peoples R China; [Li, Kunwei] Sun Yat Sen Univ, Affiliated Hosp 5, Dept Radiol, Zhuhai, Peoples R China</t>
  </si>
  <si>
    <t>Guangxi University; Guilin University of Aerospace Technology; Guangxi University of Science &amp; Technology; Sun Yat Sen University</t>
  </si>
  <si>
    <t>Cross-attention multimodal fusion for EGFR mutation prediction: A predictive model using CT and whole-slide images</t>
  </si>
  <si>
    <t>MEDICAL PHYSICS</t>
  </si>
  <si>
    <t>advanced lung cancer; attention mechanism; deep learning; medical imaging; multimodal fusion</t>
  </si>
  <si>
    <t>0094-2405</t>
  </si>
  <si>
    <t>2473-4209</t>
  </si>
  <si>
    <t>MED PHYS</t>
  </si>
  <si>
    <t>Med. Phys.</t>
  </si>
  <si>
    <t>APR 28 2026</t>
  </si>
  <si>
    <t>e70450</t>
  </si>
  <si>
    <t>10.1002/mp.70450</t>
  </si>
  <si>
    <t>http://dx.doi.org/10.1002/mp.70450</t>
  </si>
  <si>
    <t>HE5OD</t>
  </si>
  <si>
    <t>42050780</t>
  </si>
  <si>
    <t>WOS:001752168200001</t>
  </si>
  <si>
    <t>Zhang, L; Sheng, SR; Wang, XF; Gao, JH; Sun, Y; Xiao, KT; Yang, WL; Teng, PF; Luan, GM; Lv, Z</t>
  </si>
  <si>
    <t>Magnetoencephalography (MEG) is a vital non-invasive tool for epilepsy analysis, as it captures high-resolution signals that reflect changes in brain activity over time. The automated detection of epileptic spikes within these signals can significantly reduce the labor and time required for manual annotation of MEG recording data, thereby aiding clinicians in identifying epileptogenic foci and evaluating treatment prognosis. Research in this domain often utilizes the raw, multi-channel signals from MEG scans for spike detection, commonly neglecting the multi-channel spiking patterns from spatially adjacent channels. Moreover, epileptic spikes share considerable morphological similarities with artifact signals within the recordings, posing a challenge for models to differentiate between the two. In this paper, we introduce a multimodal fusion framework that addresses these two challenges collectively. Instead of relying solely on the signal recordings, our framework also mines knowledge from their corresponding topography-map images, which encapsulate the spatial context and amplitude distribution of the input signals. To facilitate more effective data fusion, we present a novel multimodal feature fusion technique called CrossConvPyramid, built upon a convolutional pyramid architecture augmented by an attention mechanism. It initially employs cross-attention and a convolutional pyramid to encode inter-modal correlations within the intermediate features extracted by individual unimodal networks. Subsequently, it utilizes a self-attention mechanism to refine and select the most salient features from both inter-modal and unimodal features, specifically tailored for the spike classification task. Our method achieved the average F1 scores of 92.88% and 95.23% across two distinct real-world MEG datasets from separate centers, respectively outperforming the current state-of-the-art by 2.31% and 0.88%. We plan to release the code on GitHub later.</t>
  </si>
  <si>
    <t>Zhang, Liang; Sheng, Shurong; Wang, Xiongfei; Gao, Jia-Hong; Sun, Yi; Xiao, Kuntao; Yang, Wanli; Teng, Pengfei; Luan, Guoming; Lv, Zhao</t>
  </si>
  <si>
    <t>Luan, GM (corresponding author), Capital Med Univ, Sanbo Brain Hosp, Beijing Key Lab Epilepsy, Dept Neurosurg, Beijing 100093, Peoples R China.; Lv, Z (corresponding author), Anhui Univ, Sch Comp Sci &amp; Technol, Anhui Prov Key Lab Multimodal Cognit Computat, Hefei 230601, Peoples R China.</t>
  </si>
  <si>
    <t>kjlz@ahu.edu.cn; luangm@ccmu.edu.cn; jgao@pku.edu.cn</t>
  </si>
  <si>
    <t>Distinguished Youth Foundation of Anhui Scientific Committee [2208085J05]; STI 2030-Major Projects [2021ZD0201500]; Cloud Ginger XR-1; National Natural Science Foundation of China (NSFC) [62476004]; Anhui Postdoctoral Scientific Research Program Foundation [RS24BH012]</t>
  </si>
  <si>
    <t>Distinguished Youth Foundation of Anhui Scientific Committee; STI 2030-Major Projects; Cloud Ginger XR-1; National Natural Science Foundation of China (NSFC) (National Natural Science Foundation of China (NSFC)); Anhui Postdoctoral Scientific Research Program Foundation</t>
  </si>
  <si>
    <t>This work was supported in part by the Distinguished Youth Foundation of Anhui Scientific Committee under Grant 2208085J05, in part by the STI 2030-Major Projects under Grant 2021ZD0201500, in part by the Cloud Ginger XR-1, in part by the National Natural Science Foundation of China (NSFC) under Grant 62476004, and in part by the Anhui Postdoctoral Scientific Research Program Foundation under Grant RS24BH012.</t>
  </si>
  <si>
    <t>[Zhang, Liang] Anhui Univ, AHU IAI AI Joint Lab Sch Artificial Intelligence, Hefei 230601, Peoples R China; [Sheng, Shurong; Sun, Yi; Xiao, Kuntao; Yang, Wanli] Hefei Comprehens Natl Sci Ctr, Anhui Prov Key Lab Biomed Imaging &amp; Intelligent Pr, Inst Artificial Intelligence, Hefei 230088, Peoples R China; [Wang, Xiongfei; Teng, Pengfei; Luan, Guoming] Capital Med Univ, Sanbo Brain Hosp, Beijing Key Lab Epilepsy, Dept Neurosurg, Beijing 100093, Peoples R China; [Gao, Jia-Hong] Peking Univ, McGovern Inst Brain Res, Beijing 100871, Peoples R China; [Gao, Jia-Hong] Peking Univ, Acad Adv Interdisciplinary Studies, Ctr MRI Res, Beijing 100871, Peoples R China; [Gao, Jia-Hong] Peking Univ, Inst Heavy Ion Phys, Sch Phys, Beijing City Key Lab Med Phys &amp; Engn, Beijing 100871, Peoples R China; [Gao, Jia-Hong] Hefei Comprehens Natl Sci Ctr, Inst Artificial Intelligence, Hefei 230088, Peoples R China; [Lv, Zhao] Anhui Univ, Sch Comp Sci &amp; Technol, Anhui Prov Key Lab Multimodal Cognit Computat, Hefei 230601, Peoples R China</t>
  </si>
  <si>
    <t>Anhui University; Capital Medical University; Peking University; Peking University; Peking University; Anhui University</t>
  </si>
  <si>
    <t>CrossConvPyramid: Deep Multimodal Fusion for Epileptic Magnetoencephalography Spike Detection</t>
  </si>
  <si>
    <t>Feature extraction; Recording; Brain modeling; Attention mechanisms; Convolution; Bioinformatics; Epilepsy; Electroencephalography; Computational modeling; Physics; Epileptic analysis; automated detection of epileptic spikes; multimodal fusion</t>
  </si>
  <si>
    <t>EEG; MEG</t>
  </si>
  <si>
    <t>yang, wanli/IWM-7902-2023; Teng, Pengfei/MSX-1390-2025</t>
  </si>
  <si>
    <t>Lv, Zhao/0000-0003-4530-4422; Zhang, Liang/0009-0001-7272-5540</t>
  </si>
  <si>
    <t>3194</t>
  </si>
  <si>
    <t>3205</t>
  </si>
  <si>
    <t>10.1109/JBHI.2025.3538582</t>
  </si>
  <si>
    <t>http://dx.doi.org/10.1109/JBHI.2025.3538582</t>
  </si>
  <si>
    <t>2JH8E</t>
  </si>
  <si>
    <t>40031739</t>
  </si>
  <si>
    <t>WOS:001484010400009</t>
  </si>
  <si>
    <t>He, JY; Yu, RT; Ying, YY; Liu, D</t>
  </si>
  <si>
    <t>Efficient identification of nanofluid additives in combustion is important for optimizing fuel formulation and understanding combustion mechanisms, but is challenging using conventional optical diagnostics. In this study, a multimodal deep learning framework is developed by integrating two-dimensional flame images and threedimensional hyperspectral data to identify the type of nanofluid additives in flames. A 2D convolutional neural network (2D-CNN) is used to extract flame morphological and luminosity features from flame images, while a 3D convolutional neural network (3D-CNN) captures spatial-spectral information from hyperspectral data. The extracted features are fused and then input into a support vector machine (SVM) to improve performance under limited data conditions. The results show that the proposed model achieves high classification accuracy and outperforms single-modal approaches. To enhance interpretability, gradient-weighted class activation mapping (Grad-CAM) is applied to identify the key regions contributing to classification, and correlation analysis with physically informed descriptors further confirms the physical relevance of the learned features. The results demonstrate that combining spatial and spectral information enables a more comprehensive representation of combustion characteristics. Identification of different metal additives, is essential for detection of propellant fuel components and control of nanofluid combustion processes. This work provides an effective, real-time and interpretable approach for nanofluid additive identification, offering potential for applications in combustion diagnostics and fuel optimization.</t>
  </si>
  <si>
    <t>He, Jiaying; Yu, Runtian; Ying, Yaoyao; Liu, Dong</t>
  </si>
  <si>
    <t>Liu, D (corresponding author), Nanjing Univ Sci &amp; Technol, Sch Energy &amp; Power Engn, MIIT Key Lab Thermal Control Elect Equipment, Nanjing 210094, Peoples R China.; Liu, D (corresponding author), Nanjing Univ Sci &amp; Technol, Sch Energy &amp; Power Engn, Adv Combust Lab, Nanjing 210094, Peoples R China.</t>
  </si>
  <si>
    <t>dongliu@njust.edu.cn</t>
  </si>
  <si>
    <t>National Natural Science Foundation of China [52376115, 52576123, W2612002, U25A20327]</t>
  </si>
  <si>
    <t>This work was supported by the National Natural Science Foundation of China [52376115, 52576123, W2612002, U25A20327] .</t>
  </si>
  <si>
    <t>[He, Jiaying; Yu, Runtian; Ying, Yaoyao; Liu, Dong] Nanjing Univ Sci &amp; Technol, Sch Energy &amp; Power Engn, MIIT Key Lab Thermal Control Elect Equipment, Nanjing 210094, Peoples R China; [He, Jiaying; Yu, Runtian; Ying, Yaoyao; Liu, Dong] Nanjing Univ Sci &amp; Technol, Sch Energy &amp; Power Engn, Adv Combust Lab, Nanjing 210094, Peoples R China</t>
  </si>
  <si>
    <t>Nanjing University of Science &amp; Technology; Nanjing University of Science &amp; Technology</t>
  </si>
  <si>
    <t>Identification of metal additives in nanofluid flames via multimodal deep learning with fusion of flame images and hyperspectral images</t>
  </si>
  <si>
    <t>APPLICATIONS IN ENERGY AND COMBUSTION SCIENCE</t>
  </si>
  <si>
    <t>Deep learning; Feature fusion; Nanofluid additives; Combustion diagnostics; Hyperspectral imaging</t>
  </si>
  <si>
    <t>OH-ASTERISK; HEAT RELEASE; CH-ASTERISK; COMBUSTION; MACHINE; CHEMILUMINESCENCE; FEATURES; INVERSE</t>
  </si>
  <si>
    <t>2666-352X</t>
  </si>
  <si>
    <t>APPL ENERG COMBUST S</t>
  </si>
  <si>
    <t>Appl. Energy Combust. Sci.</t>
  </si>
  <si>
    <t>100523</t>
  </si>
  <si>
    <t>10.1016/j.jaecs.2026.100523</t>
  </si>
  <si>
    <t>http://dx.doi.org/10.1016/j.jaecs.2026.100523</t>
  </si>
  <si>
    <t>Thermodynamics; Energy &amp; Fuels; Engineering, Chemical; Engineering, Mechanical</t>
  </si>
  <si>
    <t>Thermodynamics; Energy &amp; Fuels; Engineering</t>
  </si>
  <si>
    <t>JL7ZQ</t>
  </si>
  <si>
    <t>WOS:001792363700001</t>
  </si>
  <si>
    <t>Feng, YF; Sun, Y; Hang, CF</t>
  </si>
  <si>
    <t>The accurate prediction of athletes' psychological and physiological states is essential for optimizing training performance . However, current methods often struggle to effectively integrate multimodal data, limiting prediction accuracy and practical application. To address these challenges, we propose a model that combines XLNet with a context window adjustment mechanism and Deep Generative VAE for psychological and physiological data integration. The model leverages advanced feature extraction techniques to capture both emotional tendencies from self-reports and sentiment analysis texts, as well as sequential physiological signals such as ECG and EDA. A multilayer perceptron and AdaBoost ensemble are employed for comprehensive feature fusion and state prediction. Experimental results show that our model achieves a significant improvement in classification accuracy, with a 12% increase in emotional state recognition compared to traditional models, and a 15% reduction in prediction error for physiological state estimation. Comparative experiments on the WESAD and DEAP datasets demonstrate superior performance over several baselines, validating the robustness and efficiency of our approach. These findings demonstrate the effectiveness of the proposed approach in real-time athlete monitoring and personalized training strategies. The results contribute to developing more effective tools for athletic training and provide valuable insights for optimizing physical performance and mental well-being.</t>
  </si>
  <si>
    <t>Feng, Yafeng; Sun, Yong; Hang, Chengfang</t>
  </si>
  <si>
    <t>Sun, Y (corresponding author), Shanghai Inst Technol, Phys Educ Dept, Shanghai 201418, Peoples R China.</t>
  </si>
  <si>
    <t>sunyong2048@sit.edu.cn</t>
  </si>
  <si>
    <t>Henan Philosophy and Social Sciences Project [2022BTY009]; The 2021 Postdoctoral Research Funding Project at the School of Marxism, Henan Normal University</t>
  </si>
  <si>
    <t>Henan Philosophy and Social Sciences Project; The 2021 Postdoctoral Research Funding Project at the School of Marxism, Henan Normal University</t>
  </si>
  <si>
    <t>This work was sponsored in part by Henan Philosophy and Social Sciences Project (2022BTY009) ; 2021 Postdoctoral Research Funding Project at the School of Marxism, Henan Normal University.</t>
  </si>
  <si>
    <t>[Feng, Yafeng] Henan Normal Univ, Coll Phys Educ, Xinxiang 453007, Henan, Peoples R China; [Sun, Yong] Shanghai Inst Technol, Phys Educ Dept, Shanghai 201418, Peoples R China; [Hang, Chengfang] Zhejiang Univ, Sch Software Technol, Hangzhou 310027, Zhejiang, Peoples R China</t>
  </si>
  <si>
    <t>Henan Normal University; Shanghai Institute of Technology; Zhejiang University</t>
  </si>
  <si>
    <t>Multimodal fusion for athlete state prediction leveraging XLNet and deep generative models</t>
  </si>
  <si>
    <t>Quadrupole exciton; Multimodal fusion; Psychological state; Physiological state; Athlete monitoring; Emotional classification</t>
  </si>
  <si>
    <t>STRESS</t>
  </si>
  <si>
    <t>10.1016/j.aej.2025.07.021</t>
  </si>
  <si>
    <t>http://dx.doi.org/10.1016/j.aej.2025.07.021</t>
  </si>
  <si>
    <t>8DF1J</t>
  </si>
  <si>
    <t>WOS:001585879200002</t>
  </si>
  <si>
    <t>Zou, YY; Zhang, Y; Li, L; Liu, T; Zhang, XK</t>
  </si>
  <si>
    <t>Fault diagnosis of rolling bearings is crucial for ensuring the stable operation of mechanical equipment and production safety in industrial environments. However, due to the nonlinearity and non-stationarity of collected vibration signals, single-modal methods struggle to capture fault features fully. This paper proposes a rolling bearing fault diagnosis method based on multi-modal information fusion. The method first employs the Hippopotamus Optimization Algorithm (HO) to optimize the number of modes in Variational Mode Decomposition (VMD) to achieve optimal modal decomposition performance. It combines Convolutional Neural Networks (CNN) and Gated Recurrent Units (GRU) to extract temporal features from one-dimensional time-series signals. Meanwhile, the Markovian Transition Field (MTF) is used to transform one-dimensional signals into two-dimensional images for spatial feature mining. Through visualization techniques, the effectiveness of generated images from different parameter combinations is compared to determine the optimal parameter configuration. A multi-modal network (GSTCN) is constructed by integrating Swin-Transformer and the Convolutional Block Attention Module (CBAM), where the attention module is utilized to enhance fault features. Finally, the fault features extracted from different modalities are deeply fused and fed into a fully connected layer to complete fault classification. Experimental results show that the GSTCN model achieves an average diagnostic accuracy of 99.5% across three datasets, significantly outperforming existing comparison methods. This demonstrates that the proposed model has high diagnostic precision and good generalization ability, providing an efficient and reliable solution for rolling bearing fault diagnosis.</t>
  </si>
  <si>
    <t>Zou, Yingyong; Zhang, Yu; Li, Long; Liu, Tao; Zhang, Xingkui</t>
  </si>
  <si>
    <t>Zou, YY (corresponding author), Changchun Univ, Coll Mech &amp; Vehicle Engn, Changchun 130012, Peoples R China.</t>
  </si>
  <si>
    <t>zouyy@ccu.edu.cn</t>
  </si>
  <si>
    <t>Jilin Provincial Department of Science and Technology [20230101208JC]</t>
  </si>
  <si>
    <t>Jilin Provincial Department of Science and Technology</t>
  </si>
  <si>
    <t>Funding Statement: This research was funded by the Jilin Provincial Department of Science and Technology, grant number 20230101208JC.</t>
  </si>
  <si>
    <t>[Zou, Yingyong; Zhang, Yu; Li, Long; Liu, Tao; Zhang, Xingkui] Changchun Univ, Coll Mech &amp; Vehicle Engn, Changchun 130012, Peoples R China</t>
  </si>
  <si>
    <t>Changchun University</t>
  </si>
  <si>
    <t>Bearing Fault Diagnosis Based on Multimodal Fusion GRU and Swin-Transformer</t>
  </si>
  <si>
    <t>Multi-modal; GRU; swin-transformer; CBAM; CNN; feature fusion</t>
  </si>
  <si>
    <t>ZOU, Yingyong/JAN-9645-2023</t>
  </si>
  <si>
    <t>Zhang, Yu/0009-0006-0516-9819; ZOU, Yingyong/0000-0003-1569-0764</t>
  </si>
  <si>
    <t>068246</t>
  </si>
  <si>
    <t>10.32604/cmc.2025.068246</t>
  </si>
  <si>
    <t>http://dx.doi.org/10.32604/cmc.2025.068246</t>
  </si>
  <si>
    <t>D2871</t>
  </si>
  <si>
    <t>WOS:001621380900001</t>
  </si>
  <si>
    <t>Priego-Torres, B; Sopo-Lambea, I; Khalili, E; Martín-Carrillo, A; Campos-Caro, A; Leon-Jiménez, A; Sanchez-Morillo, D</t>
  </si>
  <si>
    <t>Background/Objectives: Silicosis, a fibrotic lung disease, is re-emerging globally, driven by an aggressive form linked to engineered stone processing that rapidly progresses to progressive massive fibrosis (PMF). The standard diagnostic approach, chest X-ray (CXR), is subject to considerable inter-observer variability, making the distinction between simple silicosis (SS) and PMF particularly challenging. The purpose of this study was to develop and validate an automated multimodal framework for silicosis staging by integrating artificial intelligence (AI), CXR images, and routine blood biomarkers. Methods: We developed three fusion architectures, early, late, and hybrid, connecting blood biomarker analysis with CXR analysis. Deep learning and conventional (shallow) machine learning models were combined. The models were trained and validated on a cohort of 94 patients with engineered stone silicosis, providing 341 paired CXR and biomarker samples. A patient-aware 5-fold cross-validation was used to ensure the model's generalizability and prevent patient data leakage between folds. Results: The hybrid and late fusion models achieved the best performance for disease staging, yielding an area under the receiver operating characteristic (ROC) curve (AUC) of 0.85. This multimodal approach outperformed both the unimodal CXR-based model (AUC = 0.83) and the biomarker-based model (AUC = 0.70). Conclusions: This study reveals that AI-based techniques that utilize a multimodal fusion approach have the potential to outperform single-modality methods have the potential to serve as an objective decision support tool for clinicians, leading to more consistent staging and improved patient management.</t>
  </si>
  <si>
    <t>Priego-Torres, Blanca; Sopo-Lambea, Iris; Khalili, Ebrahim; Martin-Carrillo, Ana; Campos-Caro, Antonio; Leon-Jimenez, Antonio; Sanchez-Morillo, Daniel</t>
  </si>
  <si>
    <t>Priego-Torres, B; Sanchez-Morillo, D (corresponding author), Univ Cadiz, Sch Engn, Dept Automat Engn, Elect &amp; Comp Architecture &amp; Networks, Cadiz 11519, Spain.; Priego-Torres, B; Sanchez-Morillo, D (corresponding author), Biomed Res &amp; Innovat Inst Cadiz INiB, Cadiz 11009, Spain.</t>
  </si>
  <si>
    <t>daniel.morillo@uca.es; antonio.leon.sspa@juntadeandalucia.es; iris.sopo@uca.es; ebrahim.khalili@uca.es; antonio.campos@uca.es; ana.martin@uca.es; blanca.priego@uca.es</t>
  </si>
  <si>
    <t>Consejera de Universidad, Investigacin e Innovacin de la Junta de Andaluca [ProyExcel_00942]</t>
  </si>
  <si>
    <t>Consejera de Universidad, Investigacin e Innovacin de la Junta de Andaluca</t>
  </si>
  <si>
    <t>Grant ProyExcel_00942, funded by the "Convocatoria 2021 de Ayudas a Proyectos de Excelencia, en regimen de concurrencia competitiva, destinadas a entidades calificadas como Agentes del Sistema Andaluz del Conocimiento, en el ambito del Plan Andaluz de Investigacion, Desarrollo e Innovacion (PAIDI 2020). Consejeria de Universidad, Investigacion e Innovacion de la Junta de Andalucia".</t>
  </si>
  <si>
    <t>[Priego-Torres, Blanca; Sopo-Lambea, Iris; Khalili, Ebrahim; Martin-Carrillo, Ana; Sanchez-Morillo, Daniel] Univ Cadiz, Sch Engn, Dept Automat Engn, Elect &amp; Comp Architecture &amp; Networks, Cadiz 11519, Spain; [Priego-Torres, Blanca; Sopo-Lambea, Iris; Khalili, Ebrahim; Martin-Carrillo, Ana; Campos-Caro, Antonio; Leon-Jimenez, Antonio; Sanchez-Morillo, Daniel] Biomed Res &amp; Innovat Inst Cadiz INiB, Cadiz 11009, Spain; [Campos-Caro, Antonio] Univ Cadiz, Sch Marine &amp; Environm Sci, Biomed Biotechnol &amp; Publ Hlth Dept, Genet Area, Cadiz 11519, Spain; [Leon-Jimenez, Antonio] Puerta Mar Univ Hosp, Pulmonol Dept, Cadiz 11009, Spain</t>
  </si>
  <si>
    <t>Universidad de Cadiz; Universidad de Cadiz; Universidad de Cadiz; Hospital Universitario Puerta del Mar</t>
  </si>
  <si>
    <t>Multimodal Fusion of Chest X-Rays and Blood Biomarkers for Automated Silicosis Staging</t>
  </si>
  <si>
    <t>engineered stone; silicosis; blood biomarkers; chest X-rays; machine learning; deep learning; progressive massive fibrosis</t>
  </si>
  <si>
    <t>Torres, Blanca/AAL-2132-2020; Khalili, Ebrahim/JDM-9949-2023; Sanchez-Morillo, Daniel/C-8241-2011; Campos-Caro, Antonio/T-2807-2019</t>
  </si>
  <si>
    <t>Khalili, Ebrahim/0009-0000-9848-1495; Sanchez-Morillo, Daniel/0000-0001-5603-0936; Martín Carrillo, Ana/0009-0000-5554-8362; León Jiménez, Antonio/0000-0002-0238-9588; Campos-Caro, Antonio/0000-0001-8532-2153</t>
  </si>
  <si>
    <t>NOV 14 2025</t>
  </si>
  <si>
    <t>8074</t>
  </si>
  <si>
    <t>10.3390/jcm14228074</t>
  </si>
  <si>
    <t>http://dx.doi.org/10.3390/jcm14228074</t>
  </si>
  <si>
    <t>F8129</t>
  </si>
  <si>
    <t>41303108</t>
  </si>
  <si>
    <t>WOS:001623916400001</t>
  </si>
  <si>
    <t>Shen, L; Bai, Y; Duan, J</t>
  </si>
  <si>
    <t>There exist certain deficiencies, including the absence of dynamic weight allocation, inadequate fine-grained semantic alignment, and weak noise robustness. To tackle these problems, this paper presents the Multimodal Dynamic-aware Translation Model (MD-Trans) based on the Transformer architecture. By incorporating the Cross-modal Attention Enhancement (CMAE) with contrastive learning, a text-image-speech triple contrastive learning task is formulated using the InfoNCE loss function. Integrating Tri-directional Cross Attention with cultural knowledge graph embedding, it enforces the alignment of the latent semantic space distributions of heterogeneous modalities, resolves the cross-cultural mapping deviation problem of culture-loaded words, and enhances the cultural appropriateness of translation. A lightweight Dynamic Weight Allocation (DWA) module is devised to assess the modal quality confidence in real-time, dynamically adjust the modal weights, and suppress the noise propagation from low-quality inputs to the translation results. A hierarchical feature fusion is established. Based on entity detection and scene graph modeling, two-stream parallel processing is accomplished. Fine-grained entity-level features and coarse-grained scene-level semantics are respectively extracted, and dynamic gating weighted fusion is employed. While ensuring computational efficiency, the semantic coherence of long-sentence translation is augmented. Experiments demonstrate that on the multimodal test sets constructed from WMT2022, Flickr30k, and LibriSpeech, the BLEU-4 of MD-Trans reaches 48.9, representing an increase of 16.2% compared to the single-modal baseline. In the mixed-noise scenario, its Translation Error Rate (TER) is 23.1, signifying a decrease of 26.3% compared to the baseline. Through dynamic weight allocation, when the speech is noisy (SNR = 8dB), the speech weight automatically reduces to 0.18, significantly suppressing noise propagation. In the cross-scene translation task, the TER of MD-Trans for spoken dialogue is as low as 25.3, and the MC-Score for image description is as high as 75.4, outperforming mainstream models. MD-Trans can offer accurate translation support for scenarios such as healthcare, cross-border e-commerce, and educational collaboration.</t>
  </si>
  <si>
    <t>Shen, Lan; Bai, Yang; Duan, Jing</t>
  </si>
  <si>
    <t>Bai, Y (corresponding author), Chengdu Univ, Coll Foreign Languages &amp; Cultures, Chengdu 610106, Sichuan, Peoples R China.</t>
  </si>
  <si>
    <t>yangbai171819@163.com</t>
  </si>
  <si>
    <t>teaching and research of OBE-oriented effectiveness in class (Fund program of CDU); and supported by Reform and Practice of Public Foreign Language Teaching in Agricultural and Forestry Universities in Xizang under the Background of New Liberal Arts [2021070070]</t>
  </si>
  <si>
    <t>teaching and research of OBE-oriented effectiveness in class (Fund program of CDU); and supported by Reform and Practice of Public Foreign Language Teaching in Agricultural and Forestry Universities in Xizang under the Background of New Liberal Arts</t>
  </si>
  <si>
    <t>This work was supported by Innovation and Entrepreneurship Course: teaching and research of OBE-oriented effectiveness in class (Fund program of CDU); and supported by Reform and Practice of Public Foreign Language Teaching in Agricultural and Forestry Universities in Xizang under the Background of New Liberal Arts (2021070070, Fund program of National Emerging Humanity)</t>
  </si>
  <si>
    <t>[Shen, Lan; Bai, Yang] Chengdu Univ, Coll Foreign Languages &amp; Cultures, Chengdu 610106, Sichuan, Peoples R China; [Duan, Jing] Xizang Agr &amp; Anim Husb Univ, Publ Teaching Dept, Linzhi 860000, Xizang, Peoples R China</t>
  </si>
  <si>
    <t>Chengdu University; Xizang Agricultural &amp; Animal Husbandry University</t>
  </si>
  <si>
    <t>Strategies for improving the accuracy of English translation through multimodal fusion deep learning</t>
  </si>
  <si>
    <t>PROCEEDINGS OF THE INDIAN NATIONAL SCIENCE ACADEMY</t>
  </si>
  <si>
    <t>Scene graph modeling; Dynamic weight allocation; Cross-modal attention; Semantic alignment; Transformer-based multimodal; Contrastive learning</t>
  </si>
  <si>
    <t>INDIAN NAT SCI ACAD</t>
  </si>
  <si>
    <t>NEW DELHI</t>
  </si>
  <si>
    <t>BAHADUR SHAH ZAFAR MARG, NEW DELHI 110002, INDIA</t>
  </si>
  <si>
    <t>0370-0046</t>
  </si>
  <si>
    <t>2454-9983</t>
  </si>
  <si>
    <t>P INDIAN NATL SCI AC</t>
  </si>
  <si>
    <t>Proc. Indian Natl. Sci. Acad.</t>
  </si>
  <si>
    <t>10.1007/s43538-025-00685-8</t>
  </si>
  <si>
    <t>http://dx.doi.org/10.1007/s43538-025-00685-8</t>
  </si>
  <si>
    <t>CK4HQ</t>
  </si>
  <si>
    <t>WOS:001667896100001</t>
  </si>
  <si>
    <t>Fatima, S; Dahan, F; Shah, JH; Almohamedh, R; Aloqaily, M; Riaz, S</t>
  </si>
  <si>
    <t>The human gastrointestinal (GI) tract is influenced by numerous disorders. If not detected in the early stages, they may result in severe consequences such as organ failure or the development of cancer, and in extreme cases, become life-threatening. Endoscopy is a specialised imaging technique used to examine the GI tract. However, physicians might neglect certain irregular morphologies during the examination due to continuous monitoring of the video recording. Recent advancements in artificial intelligence have led to the development of high-performance AI-based systems, which are optimal for computer-assisted diagnosis. Due to numerous limitations in endoscopic image analysis, including visual similarities between infected and healthy areas, retrieval of irrelevant features, and imbalanced testing and training datasets, performance accuracy is reduced. To address these challenges, we proposed a framework for analysing gastrointestinal tract images that provides a more robust and secure model, thereby reducing the chances of misclassification. Compared to single model solutions, the proposed methodology improves performance by integrating diverse models and optimizing feature fusion using a dual-branch CNN transformer architecture. The proposed approach employs a dual-branch feature extraction mechanism, where in the first branch, features are extracted using Extended BEiT, and EfficientNet-B5 is utilized in the second branch. Additionally, cross-entropy loss is used to measure the error of prediction at both branches, followed by model stacking. This multimodal framework outperforms existing approaches across multiple metrics, achieving 94.12% accuracy, recall and F1-score, as well as 94.15% precision on the Kvasir dataset. Furthermore, the model successfully reduced the false negative rate to 5.88%, enhancing its ability to minimize misdiagnosis. These results highlight the adaptability of the proposed work in clinical practice, where it can provide fast and accurate diagnostic assistance crucial for improving the early diagnosis of diseases in the gastrointestinal tract.</t>
  </si>
  <si>
    <t>Fatima, Sadia; Dahan, Fadl; Shah, Jamal Hussain; Almohamedh, Refan; Aloqaily, Mohammed; Riaz, Samia</t>
  </si>
  <si>
    <t>Dahan, F (corresponding author), Prince Sattam bin Abdulaziz Univ, Coll Business Adm Hawtat Bani Tamim, Dept Management Informat Syst, Al Kharj 11942, Saudi Arabia.</t>
  </si>
  <si>
    <t>f.naji@psau.edu.sa</t>
  </si>
  <si>
    <t>Prince Sattam bin Abdulaziz University [PSAU/2024/01/30782]</t>
  </si>
  <si>
    <t>Prince Sattam bin Abdulaziz University (Prince Sattam Bin Abdulaziz University)</t>
  </si>
  <si>
    <t>Funding Statement: The authors extend their appreciation to Prince Sattam bin Abdulaziz University for funding for funding this research work through the project number (PSAU/2024/01/30782) .</t>
  </si>
  <si>
    <t>[Fatima, Sadia; Shah, Jamal Hussain; Riaz, Samia] COMSATS Univ Islamabad, Dept Comp Sci, Wah Campus, Wah Cantt 47040, Pakistan; [Dahan, Fadl; Almohamedh, Refan; Aloqaily, Mohammed] Prince Sattam bin Abdulaziz Univ, Coll Business Adm Hawtat Bani Tamim, Dept Management Informat Syst, Al Kharj 11942, Saudi Arabia</t>
  </si>
  <si>
    <t>COMSATS University Islamabad (CUI); Prince Sattam Bin Abdulaziz University</t>
  </si>
  <si>
    <t>A Multimodal Learning Framework to Reduce Misclassification in GI Tract Disease Diagnosis</t>
  </si>
  <si>
    <t>CMES-COMPUTER MODELING IN ENGINEERING &amp; SCIENCES</t>
  </si>
  <si>
    <t>Multimodal; gastrointestinal GI; disease diagnosis; misclassification; transformer; deep learning</t>
  </si>
  <si>
    <t>AUTOMATIC DETECTION; CLASSIFICATION</t>
  </si>
  <si>
    <t>Dahan, Fadl/GQH-4155-2022; Shah, Jamal Hussain/AAA-7034-2021; fatima, sadia/GQO-9679-2022</t>
  </si>
  <si>
    <t>Almohamedh, Refan Mohamed/0009-0001-9830-8331; Aloqaily, Mohammed/0009-0004-5903-2119; Shah, Jamal Hussain/0000-0002-7903-9391</t>
  </si>
  <si>
    <t>1526-1492</t>
  </si>
  <si>
    <t>1526-1506</t>
  </si>
  <si>
    <t>CMES-COMP MODEL ENG</t>
  </si>
  <si>
    <t>CMES-Comp. Model. Eng. Sci.</t>
  </si>
  <si>
    <t>971</t>
  </si>
  <si>
    <t>994</t>
  </si>
  <si>
    <t>10.32604/cmes.2025.070272</t>
  </si>
  <si>
    <t>http://dx.doi.org/10.32604/cmes.2025.070272</t>
  </si>
  <si>
    <t>Engineering, Multidisciplinary; Mathematics, Interdisciplinary Applications</t>
  </si>
  <si>
    <t>Engineering; Mathematics</t>
  </si>
  <si>
    <t>9QM5J</t>
  </si>
  <si>
    <t>WOS:001590054200001</t>
  </si>
  <si>
    <t>Ge, QF; Zhao, T; Lin, YH; Yan, ZZ; Xu, C; Du, XP; Fan, XT</t>
  </si>
  <si>
    <t>Flood segmentation using synthetic aperture radar (SAR) images is essential for determining the extent of inundation areas, and informing subsequent management recommendations. However, existing networks for flood segmentation using single modality SAR images often face inherent challenges, including interference from terrain shadows and water-like surfaces, leading to degraded segmentation performance. In this study, we introduced a multilevel multimodal fusion network (FloodNet), in which an adaptive gated feature fusion module (AGFFM) is designed to integrate multimodal features from Sentinel-1 SAR images, digital elevation model (DEM), and Joint Research Center Global Surface Water (JRC-gsw). Furthermore, we proposed a semantic consistency constraint strategy to alleviate the blurring of water edges during the prediction process. Experiments on two publicly available flood datasets, C2S-Flood and ETCI-Flood, demonstrate the competitive performance of the proposed FloodNet compared with other state-of-the-art single- and multimodal networks. The code is available at https://github.com/SuperPixelPioneer/Flood-Net</t>
  </si>
  <si>
    <t>Ge, Qifeng; Zhao, Teng; Lin, Yihang; Yan, Zhenzhen; Xu, Chen; Du, Xiaoping; Fan, Xiangtao</t>
  </si>
  <si>
    <t>Yan, ZZ (corresponding author), Int Res Ctr Big Data Sustainable Dev Goals, Beijing 100094, Peoples R China.</t>
  </si>
  <si>
    <t>linyihang@gdhwater.com; zhaoteng22@mails.ucas.ac.cn; duxp@aircas.ac.cn; geqifeng21@mails.ucas.ac.cn; yanzz202057@aircas.ac.cn; fanxt@aircas.ac.cn; xuchen@aircas.ac.cn</t>
  </si>
  <si>
    <t>National Key Research and Development Program of China [2022YFC3800704]; China Postdoctoral Science Foundation [2023M743586]; National Natural Science Foundation of China [41974108]; Special Research Foundation on Water Resources Allocation Project in Pearl River Delta [CD88-QT01-2022-0085]</t>
  </si>
  <si>
    <t>National Key Research and Development Program of China (National Key Research &amp; Development Program of China); China Postdoctoral Science Foundation (China Postdoctoral Science Foundation); National Natural Science Foundation of China (National Natural Science Foundation of China (NSFC)); Special Research Foundation on Water Resources Allocation Project in Pearl River Delta</t>
  </si>
  <si>
    <t>This work was supported in part by the National Key Research and Development Program of China under Grant 2022YFC3800704, in part by China Postdoctoral Science Foundation under Grant 2023M743586, in part by the National Natural Science Foundation of China under Grant 41974108, and in part by the Special Research Foundation on Water Resources Allocation Project in Pearl River Delta under Grant CD88-QT01-2022-0085.</t>
  </si>
  <si>
    <t>[Ge, Qifeng; Zhao, Teng; Yan, Zhenzhen; Xu, Chen; Du, Xiaoping; Fan, Xiangtao] Chinese Acad Sci, Aerosp Informat Res Inst, Key Lab Digital Earth Sci, Beijing 100094, Peoples R China; [Ge, Qifeng; Zhao, Teng; Yan, Zhenzhen; Xu, Chen; Du, Xiaoping; Fan, Xiangtao] Int Res Ctr Big Data Sustainable Dev Goals, Beijing 100094, Peoples R China; [Ge, Qifeng; Zhao, Teng] Univ Chinese Acad Sci, Beijing 100094, Peoples R China; [Lin, Yihang] Guangdong GDH Pearl River Delta Water Supply Co Lt, Guangzhou 511458, Peoples R China</t>
  </si>
  <si>
    <t>Chinese Academy of Sciences; Aerospace Information Research Institute, CAS; Chinese Academy of Sciences; International Research Center of Big Data for Sustainable Development Goals; Chinese Academy of Sciences; University of Chinese Academy of Sciences, CAS</t>
  </si>
  <si>
    <t>FloodNet: A Multilevel Multimodal Fusion Network With Semantic Consistency Constraint Strategy for Flood Segmentation</t>
  </si>
  <si>
    <t>IEEE GEOSCIENCE AND REMOTE SENSING LETTERS</t>
  </si>
  <si>
    <t>Digital elevation model (DEM); flood segmentation; joint research center global surface water (JRC-gsw); multimodal deep learning; Digital elevation model (DEM); flood segmentation; joint research center global surface water (JRC-gsw); multimodal deep learning</t>
  </si>
  <si>
    <t>WATER</t>
  </si>
  <si>
    <t>zhao, teng/0009-0009-2530-3730; Du, Xiaoping/0000-0002-0618-0984; Xu, Chen/0000-0002-5452-9941; Ge, Qifeng/0009-0006-4920-5076</t>
  </si>
  <si>
    <t>1545-598X</t>
  </si>
  <si>
    <t>1558-0571</t>
  </si>
  <si>
    <t>IEEE GEOSCI REMOTE S</t>
  </si>
  <si>
    <t>IEEE Geosci. Remote Sens. Lett.</t>
  </si>
  <si>
    <t>1504605</t>
  </si>
  <si>
    <t>10.1109/LGRS.2025.3610188</t>
  </si>
  <si>
    <t>http://dx.doi.org/10.1109/LGRS.2025.3610188</t>
  </si>
  <si>
    <t>8JA4R</t>
  </si>
  <si>
    <t>WOS:001589835100010</t>
  </si>
  <si>
    <t>Chen, ZS; Cui, YQ; Ren, Z; Ning, Q; Ding, X</t>
  </si>
  <si>
    <t>Atriums in public buildings significantly enhance daylighting but can increase heating and cooling loads in extreme climates. Skylight-integrated photovoltaic (SIPV) systems efficiently reduce carbon emissions but may compromise daylight quality and visual comfort due to excessive PV coverage. Therefore, this study develops a data-driven approach that integrates simulation, prediction, and optimization on the Grasshopper-Python platform. Image features are extracted using ResNet-50, ViT-32, and Inception-V4; numerical features are processed via MLP and TabTransformer. Feature fusion to form a multimodal neural network model, which serves as a surrogate model within an optimization framework. Using 7 cities in China as case studies, the approach optimizes atrium form, skylight, PV system, and fenestration factors to minimize carbon emissions and energy return on investment (EROI), while improving daylighting. The results show that: (1) Carbon emission reduction rate (CER) exceeds 89 %, Daylight factor (DF) increases by 1.2 %-3.4 %, Daylight glare probability (DGP) remains below 0.28, and Energy return on investment (EROI) reaches 9.37; (2) atrium width, skylight-to-roof ratio (SRR), PV coverage, and horizontal panel are key factors; (3) the ViT-32+MLP model significantly improves prediction accuracy and efficiency. This research offers a practical method for SIPV design, supporting regional adaptation and scalable application in public building atriums.</t>
  </si>
  <si>
    <t>Chen, Zhengshu; Cui, Yanqiu; Ren, Zhen; Ning, Qiao; Ding, Xin</t>
  </si>
  <si>
    <t>Cui, YQ; Ren, Z (corresponding author), Shandong Jianzhu Univ, Sch Architecture &amp; Urban Planning, Jinan 250100, Peoples R China.</t>
  </si>
  <si>
    <t>cyq@sdjzu.edu.cn; rzh@sdjzu.edu.cn</t>
  </si>
  <si>
    <t>Science and Technology Program of the Ministry of Housing and Urban-Rural Development of the People's Re-public of China [2022K148]</t>
  </si>
  <si>
    <t>Science and Technology Program of the Ministry of Housing and Urban-Rural Development of the People's Re-public of China</t>
  </si>
  <si>
    <t>This work was funded by the Science and Technology Program of the Ministry of Housing and Urban-Rural Development of the People's Re-public of China (2022K148) .</t>
  </si>
  <si>
    <t>[Chen, Zhengshu; Cui, Yanqiu; Ren, Zhen; Ding, Xin] Shandong Jianzhu Univ, Sch Architecture &amp; Urban Planning, Jinan 250100, Peoples R China; [Ning, Qiao] Shandong Univ, Sch Civil Engn, Jinan 250100, Peoples R China</t>
  </si>
  <si>
    <t>Shandong Jianzhu University; Shandong University</t>
  </si>
  <si>
    <t>Data-driven approach of atrium skylights-integrated photovoltaic systems design based on multimodal deep learning: Considering different regions in China</t>
  </si>
  <si>
    <t>ENERGY</t>
  </si>
  <si>
    <t>Data-driven; Skylights-integrated photovoltaic system; Multimodal deep learning; Public building atriums; Carbon emission; Light comfort</t>
  </si>
  <si>
    <t>DAYLIGHT; PREDICTION; MODEL; GLARE</t>
  </si>
  <si>
    <t>CUI, Yanqiu/LXA-9092-2024</t>
  </si>
  <si>
    <t>Chen, Zhengshu/0009-0004-5749-2445</t>
  </si>
  <si>
    <t>0360-5442</t>
  </si>
  <si>
    <t>1873-6785</t>
  </si>
  <si>
    <t>Energy</t>
  </si>
  <si>
    <t>OCT 30 2025</t>
  </si>
  <si>
    <t>335</t>
  </si>
  <si>
    <t>138099</t>
  </si>
  <si>
    <t>10.1016/j.energy.2025.138099</t>
  </si>
  <si>
    <t>http://dx.doi.org/10.1016/j.energy.2025.138099</t>
  </si>
  <si>
    <t>Thermodynamics; Energy &amp; Fuels</t>
  </si>
  <si>
    <t>8DC1D</t>
  </si>
  <si>
    <t>WOS:001585800400007</t>
  </si>
  <si>
    <t>Mehmood, A; Wu, ZM; Zhang, Y; Bai, XP; Sun, CX; Bhatti, UA; Huang, MX; Lin, SH; Cao, HX; Chen, J</t>
  </si>
  <si>
    <t>Coconut is the fruit of the coconut palm. Due to its characteristics of a long growth cycle and low germination rate, accurate prediction of its developmental status is particularly important. Traditional research primarily relies on the sectioning method to observe its internal structure. Although this approach can reveal morphological characteristics, its destructive nature prevents continuous monitoring of the internal developmental processes. Recent advancements in Computed Tomography (CT)-based nondestructive imaging and artificial intelligence have enabled novel approaches for investigating internal coconut morphology. However, current methodologies frequently overlook the impact of field environmental factors on coconut germination processes, consequently constraining prediction accuracy. To address this issue, this study proposes a Transformer-based multimodal feature fusion predictive model. Through the integration of CT images and environmental data, the model achieves precise prediction of coconut developmental status. Initially, the enhanced Deeplab V3+ model extracts deep semantic features from coconut CT images, while Fourier positional encoding is applied to amplify periodic features in environmental data (e.g., temperature, humidity). Subsequently, a cross-modal multi-head attention mechanism is designed to achieve comprehensive fusion between CT-derived semantic features and field data characteristics, thoroughly exploring their correlations. Ultimately, to further enhance model performance, this study incorporates supervised contrastive loss functions and implements intra-class feature aggregation coupled with inter-class feature separation strategies for feature space optimization. The experimental results demonstrate that the proposed model achieves superior performance in coconut developmental stage prediction tasks: compared with conventional unimodal approaches, it improves prediction accuracy and F1-score by 9 % and 8 %, respectively, thereby validating the effectiveness of multimodal data fusion and the rationality of the model design.</t>
  </si>
  <si>
    <t>Mehmood, Anum; Wu, Zemin; Zhang, Yu; Bai, Xinpeng; Sun, Chengxu; Bhatti, Uzair Aslam; Huang, Mengxing; Lin, Shenghuang; Cao, Hongxing; Chen, Jing</t>
  </si>
  <si>
    <t>Zhang, Y (corresponding author), Hainan Univ, Sch Comp Sci &amp; Technol, Haikou, Peoples R China.; Chen, J (corresponding author), Haikou Municipal Peoples Hosp, Radiol Dept, Haikou, Hainan, Peoples R China.; Chen, J (corresponding author), Cent South Univ Xiangya Med Coll Affiliated Hosp, Haikou, Hainan, Peoples R China.</t>
  </si>
  <si>
    <t>jingchenhaiko@163.com; yuzhang2015@hainanu.edu.cn</t>
  </si>
  <si>
    <t>National Natural Science Foundation of China [32360593]; Key R&amp;D Project of Hainan province [ZDYF2021SHFZ243]; Major Science and Technology Project of Haikou [2020-009]; Innovation Platform for Academicians of Hainan Province</t>
  </si>
  <si>
    <t>National Natural Science Foundation of China (National Natural Science Foundation of China (NSFC)); Key R&amp;D Project of Hainan province; Major Science and Technology Project of Haikou; Innovation Platform for Academicians of Hainan Province</t>
  </si>
  <si>
    <t>This work was supported in part by the National Natural Science Foundation of China (NO. 32360593), Key R&amp;D Project of Hainan province (Grant #: ZDYF2021SHFZ243), in part by the Major Science and Technology Project of Haikou (Grant #: 2020-009) and the specific research fund of The Innovation Platform for Academicians of Hainan Province.</t>
  </si>
  <si>
    <t>[Mehmood, Anum; Bai, Xinpeng] Hainan Univ, Coll Food Sci &amp; Engn, Haikou 570228, Hainan, Peoples R China; [Wu, Zemin; Zhang, Yu] Hainan Univ, Sch Comp Sci &amp; Technol, Haikou, Peoples R China; [Lin, Shenghuang] Chinese Acad Trop Agr Sci, Coconut Res Inst, Wenchang, Hainan, Peoples R China; [Sun, Chengxu; Cao, Hongxing; Chen, Jing] Haikou Municipal Peoples Hosp, Radiol Dept, Haikou, Hainan, Peoples R China; [Sun, Chengxu; Cao, Hongxing; Chen, Jing] Cent South Univ Xiangya Med Coll Affiliated Hosp, Haikou, Hainan, Peoples R China; [Bhatti, Uzair Aslam; Huang, Mengxing] Hainan Univ, Sch Informat &amp; Commun Engn, Haikou, Peoples R China</t>
  </si>
  <si>
    <t>Hainan University; Hainan University; Chinese Academy of Tropical Agricultural Sciences; Hainan University</t>
  </si>
  <si>
    <t>Coconut germination precise prediction via multimodal fusion with Co-attention networks: A non-destructive precision agriculture and food engineering solution</t>
  </si>
  <si>
    <t>Germination prediction; Multimodal feature fusion; Computed tomography; Nondestructive imaging; Semantic segmentation</t>
  </si>
  <si>
    <t>LIN, Shenghuang/F-2154-2011; SUN, CHENGXU/QDM-2997-2026</t>
  </si>
  <si>
    <t>Bhatti, Uzair/0000-0002-8743-2783</t>
  </si>
  <si>
    <t>FEB 15 2026</t>
  </si>
  <si>
    <t>113636</t>
  </si>
  <si>
    <t>10.1016/j.engappai.2025.113636</t>
  </si>
  <si>
    <t>http://dx.doi.org/10.1016/j.engappai.2025.113636</t>
  </si>
  <si>
    <t>AQ9BR</t>
  </si>
  <si>
    <t>WOS:001654615600001</t>
  </si>
  <si>
    <t>Li, BW; Lin, P; Liu, F; Liu, ZH; Liu, L; Li, KX</t>
  </si>
  <si>
    <t>Recent advances in deep learning (DL) have enabled predictive feedforward control for efficient coagulant dosing management, providing momentum and direction for its predictive feedback loop in drinking water treatment plants (DWTPs), which is critical for managing water resources sustainably. However, the failure of conventional feedback based on floc image recognition to consider crucial information from other modalities, with insufficient data acquisition and processing, posed a performance bottleneck in predicting coagulation effects. This study proposed a novel dual-branch multimodal model based on hybrid fusion strategy combining the end-to-end floc image recognition branch and the feature fusion branch that considered floc features, water quality and process parameters. The further designed adaptive data augmentation and image pixel-based floc feature extraction solved data blurring, noise interference and category imbalance issues, ensuring robust and reliable multimodal fusion and model training. The results demonstrate that the proposed multimodal model outperformed singlemodal Xception and multimodal Catboost with AUC of 0.999, which employed time-lock image acquisition without continuous monitoring floc images. Furthermore, gradient-weighted class activation mapping (GradCAM++) visualization confirmed the trustworthiness of model decisions. The prediction performance of the proposed model was sustained over the 30-day tracking of the partner DWTP.</t>
  </si>
  <si>
    <t>Li, Bowen; Lin, Peng; Liu, Feng; Liu, Zehong; Liu, Li; Li, Kexun</t>
  </si>
  <si>
    <t>Li, KX (corresponding author), 38 Tongyan Rd, Haihe Educ Pk, Tianjin 300350, Peoples R China.</t>
  </si>
  <si>
    <t>likx@nankai.edu.cn</t>
  </si>
  <si>
    <t>National Natural Science Foundation of China [52370041]</t>
  </si>
  <si>
    <t>This work is financially supported by the National Natural Science Foundation of China (52370041) .</t>
  </si>
  <si>
    <t>[Li, Bowen; Lin, Peng; Liu, Feng; Liu, Zehong; Li, Kexun] Nankai Univ, Coll Environm Sci &amp; Engn, Tianjin 300350, Peoples R China; [Li, Bowen; Lin, Peng; Liu, Feng; Liu, Zehong; Li, Kexun] Nankai Univ, MOE Key Lab Pollut Proc &amp; Environm Criteria, Tianjin Key Lab Environm Remediat &amp; Pollut Control, Tianjin Key Lab Environm Technol Complex Transmedi, Tianjin 300350, Peoples R China; [Liu, Li] Tianjin Med Univ Gen Hosp, Tianjin 300052, Peoples R China</t>
  </si>
  <si>
    <t>Nankai University; Nankai University; Tianjin Medical University</t>
  </si>
  <si>
    <t>Floc image recognition based on multimodal fusion to provide predictive feedback in coagulation</t>
  </si>
  <si>
    <t>JOURNAL OF WATER PROCESS ENGINEERING</t>
  </si>
  <si>
    <t>Floc formation; Image recognition; Predictive feedback loop; Convolutional neural network; Multimodal fusion</t>
  </si>
  <si>
    <t>FLOCCULATION</t>
  </si>
  <si>
    <t>2214-7144</t>
  </si>
  <si>
    <t>J WATER PROCESS ENG</t>
  </si>
  <si>
    <t>J. Water Process. Eng.</t>
  </si>
  <si>
    <t>109966</t>
  </si>
  <si>
    <t>10.1016/j.jwpe.2026.109966</t>
  </si>
  <si>
    <t>http://dx.doi.org/10.1016/j.jwpe.2026.109966</t>
  </si>
  <si>
    <t>Engineering, Environmental; Engineering, Chemical; Water Resources</t>
  </si>
  <si>
    <t>Engineering; Water Resources</t>
  </si>
  <si>
    <t>GH0TZ</t>
  </si>
  <si>
    <t>WOS:001736232700001</t>
  </si>
  <si>
    <t>Ouyang, S; Luo, Y; Cai, HY; Su, KH; Liao, F; Zhan, N; Zhao, HX; Yin, TL; Zhao, L; Shan, DJ</t>
  </si>
  <si>
    <t>Accurately identifying and classifying protein active sites is crucial for understanding protein mechanisms, drug design, and synthetic biology. Current methods often rely on binary classification and single-modal data, limiting their scope. To address these limitations, we propose M$&lt;^&gt;{3}$Site, a multimodal framework that integrates protein sequence embeddings, structural graph representations, and functional text annotations for residue-level, multiclass active site prediction. Built upon a curated dataset of 25 883 proteins sourced from UniProt and AlphaFold2, M$&lt;^&gt;{3}$Site leverages pretrained protein language models, equivariant graph neural networks, and biomedical language models for feature extraction. The function informed cross-attention module enables cross-modal feature fusion, while the adaptive weighted fusion mechanism balances modality contributions. A compound loss function tackles class imbalance, ensuring robust performance. Experimental results show M$&lt;^&gt;{3}$Site significantly outperforms existing models, and an interactive application has been developed to enhance its practical utility for predictions and visualizations. The dataset, source code for experiments, and interactive application are publicly available at https://github.com/Gift-OYS/M3Site.</t>
  </si>
  <si>
    <t>Ouyang, Song; Luo, Yong; Cai, Huiyu; Su, Kehua; Liao, Fei; Zhan, Na; Zhao, Huangxuan; Yin, Tailang; Zhao, Lin; Shan, Dongjing</t>
  </si>
  <si>
    <t>Liao, F (corresponding author), Wuhan Univ, Renmin Hosp, Zhang Rd &amp; Jiefang Rd, Wuhan 430060, Hubei, Peoples R China.; Luo, Y; Su, KH (corresponding author), Wuhan Univ, Natl Engn Res Ctr Multimedia Software, Sch Comp Sci, Bayi Rd, Wuhan 430072, Hubei, Peoples R China.; Zhao, L (corresponding author), Peking Union Med Coll, 1 Shuaifuyuan Wangfujing, Beijing, 100730, Peoples R China.; Shan, DJ (corresponding author), Southwest Med Univ, Dept Pharm, Zhongshan Rd, Luzhou 646000, Sichuan, Peoples R China.</t>
  </si>
  <si>
    <t>zhaolin4412@pumch.cn; yluo180@gmail.com; skh@whu.edu.cn; feiliao@whu.edu.cn; shandongjing@swmu.edu.cn</t>
  </si>
  <si>
    <t>Fundamental Research Funds for the Central Universities [2042024YXA002]; Science and Technology Major Project of Hubei Province [2024BAB046]; Interdisciplinary Innovative Talents Foundation from Renmin Hospital of Wuhan University [JCRCZN-2022-018]; Innovative Research Group Project of Hubei Province [2024AFA017]; National Natural Science Foundation of China [62272354, U23A20318, 62276195]</t>
  </si>
  <si>
    <t>Fundamental Research Funds for the Central Universities (Fundamental Research Funds for the Central Universities); Science and Technology Major Project of Hubei Province; Interdisciplinary Innovative Talents Foundation from Renmin Hospital of Wuhan University; Innovative Research Group Project of Hubei Province; National Natural Science Foundation of China (National Natural Science Foundation of China (NSFC))</t>
  </si>
  <si>
    <t>This work was supported in part by the Interdisciplinary Innovative Talents Foundation from Renmin Hospital of Wuhan University (Grant No. JCRCZN-2022-018), the Fundamental Research Funds for the Central Universities (Grant No. 2042024YXA002), the National Natural Science Foundation of China (Grant Nos. 62272354, U23A20318, and 62276195), the Innovative Research Group Project of Hubei Province (Grant No. 2024AFA017), and the Science and Technology Major Project of Hubei Province (Grant No. 2024BAB046).</t>
  </si>
  <si>
    <t>[Ouyang, Song; Liao, Fei; Zhan, Na; Yin, Tailang] Wuhan Univ, Renmin Hosp, Zhang Rd &amp; Jiefang Rd, Wuhan 430060, Hubei, Peoples R China; [Ouyang, Song; Luo, Yong; Su, Kehua; Zhao, Huangxuan] Wuhan Univ, Natl Engn Res Ctr Multimedia Software, Sch Comp Sci, Bayi Rd, Wuhan 430072, Hubei, Peoples R China; [Cai, Huiyu] BioGeometry, North Haidian 2nd St, Beijing 100083, Peoples R China; [Cai, Huiyu] Mila Quebec AI Inst, Rue St Urbain, Montreal, PQ H2S 3H1, Canada; [Cai, Huiyu] Univ Montreal, Dept Comp Sci &amp; Operat Res, Bd Edouard Montpetit, Montreal, PQ H3T 1J4, Canada; [Zhao, Lin] Peking Union Med Coll, 1 Shuaifuyuan Wangfujing, Beijing, 100730, Peoples R China; [Shan, Dongjing] Southwest Med Univ, Dept Pharm, Zhongshan Rd, Luzhou 646000, Sichuan, Peoples R China</t>
  </si>
  <si>
    <t>Wuhan University; Wuhan University; Mila Quebec Artificial Intelligence Institute; Universite de Montreal; Chinese Academy of Medical Sciences - Peking Union Medical College; Peking Union Medical College; Southwest Medical University</t>
  </si>
  <si>
    <t>M3Site: multiclass multimodal learning for protein active site identification and classification</t>
  </si>
  <si>
    <t>protein; active site identification; multimodal learning; multiclass classification</t>
  </si>
  <si>
    <t>EVOLUTIONARY; PREDICTION; DYNAMICS</t>
  </si>
  <si>
    <t>Zhao, Huangxuan/U-1801-2019; Luo, Yong/G-7969-2016; shan, dongjing/I-2931-2013; Yin, Tailang/JVO-0352-2024</t>
  </si>
  <si>
    <t>Luo, Yong/0000-0002-2296-6370; shan, dongjing/0000-0001-6386-6096; Ouyang, Song/0009-0008-5693-7384</t>
  </si>
  <si>
    <t>bbaf590</t>
  </si>
  <si>
    <t>10.1093/bib/bbaf590</t>
  </si>
  <si>
    <t>http://dx.doi.org/10.1093/bib/bbaf590</t>
  </si>
  <si>
    <t>9QZ9B</t>
  </si>
  <si>
    <t>41222559</t>
  </si>
  <si>
    <t>WOS:001612959200001</t>
  </si>
  <si>
    <t>Min, JH; Ham, SW; Kim, DK; Lee, EH</t>
  </si>
  <si>
    <t>The estimation of traffic variables and provision of traffic information are the most important components of intelligent transportation systems. Advances in technology have led to the collection of various traffic sensor data, and nonlinear dependencies between traffic variables have enabled the development of models based on deep learning approaches. However, there is a missing data segment where data collection is not possible because of the non-installation of the sensor, malfunction of the sensor, or error in communication. In this study, a deep multimodal model is proposed for traffic speed estimation of the missing data segment. We implement the proposed model using two heterogeneous traffic sensors, that is, a vehicle detection system and dedicated short-range communication. The structure of the proposed model consists of three multilayer perceptron models, two of which receive each modality as input data and one fusion model that receives the concatenated outputs from each modality model as input data. To evaluate the estimation performance of the deep multimodal model, we use three performance measures to compare the multimodal model with the arithmetic average model and a single-modality model. The results show that the single-modality model and the proposed deep multimodal model outperform the arithmetic average model. In particular, the deep multimodal model shows the highest accuracies of 90.5% and 92.1% on weekends and peak hours, respectively, without reflecting the true value. The proposed deep multimodal model has three contributions, that is, high accuracy using two different sensors, robustness in various periods, and real-time application with fast computational time.</t>
  </si>
  <si>
    <t>Min, Jin Hong; Ham, Seung Woo; Kim, Dong-Kyu; Lee, Eun Hak</t>
  </si>
  <si>
    <t>Lee, EH (corresponding author), Texas A&amp;M Transportat Inst, Multimodal Planning &amp; Environm Div, Bryan, TX 77807 USA.</t>
  </si>
  <si>
    <t>e-lee@tti.tamu.edu</t>
  </si>
  <si>
    <t>Korea Ministry of Land, Infrastructure and Transport (MOLIT); Innovative Talent Education Program for Smart City; Korea Institute of Police Technology (KIPoT) - Korea government(KNPA) [092021C28S02000]; National Research Foundation of Korea (NRF) - Ministry of Education [2022R1A6A3A13072806, 2022R1A2C2012835]</t>
  </si>
  <si>
    <t>Korea Ministry of Land, Infrastructure and Transport (MOLIT) (Ministry of Land, Infrastructure &amp; Transport (MOLIT), Republic of Korea); Innovative Talent Education Program for Smart City; Korea Institute of Police Technology (KIPoT) - Korea government(KNPA) (Korea Institute of Advancement for Police-technology (KIPoT)); National Research Foundation of Korea (NRF) - Ministry of Education (National Research Foundation of Korea, Ministry of Education (MOE), Republic of Korea)</t>
  </si>
  <si>
    <t>The author(s) disclosed receipt of the following financial support for the research, authorship, and/or publication of this article: This work is financially supported by Korea Ministry of Land, Infrastructure and Transport (MOLIT) as part of the Innovative Talent Education Program for Smart City. This work was also supported by a Korea Institute of Police Technology (KIPoT) grant funded by the Korea government(KNPA) (No.092021C28S02000), and Basic Science ResearchPrograms through the National Research Foundation of Korea (NRF) funded by the Ministry of Education(2022R1A6A3A13072806 and 2022R1A2C2012835)</t>
  </si>
  <si>
    <t>[Min, Jin Hong; Ham, Seung Woo; Kim, Dong-Kyu] Seoul Natl Univ, Dept Civil &amp; Environm Engn, Seoul, South Korea; [Kim, Dong-Kyu] Seoul Natl Univ, Inst Construct &amp; Environm Engn, Seoul, South Korea; [Lee, Eun Hak] Texas A&amp;M Transportat Inst, Multimodal Planning &amp; Environm Div, Bryan, TX 77807 USA</t>
  </si>
  <si>
    <t>Seoul National University (SNU); Seoul National University (SNU); Texas A&amp;M University System; Texas A&amp;M University College Station</t>
  </si>
  <si>
    <t>Deep Multimodal Learning for Traffic Speed Estimation Combining Dedicated Short-Range Communication and Vehicle Detection System Data</t>
  </si>
  <si>
    <t>TRANSPORTATION RESEARCH RECORD</t>
  </si>
  <si>
    <t>traffic speed prediction; deep multimodal learning; dedicated short-range communication data; missing data segment</t>
  </si>
  <si>
    <t>TRAVEL-TIME PREDICTION; DATA FUSION; NETWORK; MODEL</t>
  </si>
  <si>
    <t>Lee, Eun Hak/KCY-4860-2024</t>
  </si>
  <si>
    <t>Min, JinHong/0000-0002-0076-0582; Ham, Seung Woo/0000-0001-7531-9217; Lee, Eun/0000-0001-5989-4895; Kim, Dong-Kyu/0000-0003-0746-3043</t>
  </si>
  <si>
    <t>0361-1981</t>
  </si>
  <si>
    <t>2169-4052</t>
  </si>
  <si>
    <t>TRANSPORT RES REC</t>
  </si>
  <si>
    <t>Transp. Res. Record</t>
  </si>
  <si>
    <t>2677</t>
  </si>
  <si>
    <t>247</t>
  </si>
  <si>
    <t>259</t>
  </si>
  <si>
    <t>10.1177/03611981221130026</t>
  </si>
  <si>
    <t>http://dx.doi.org/10.1177/03611981221130026</t>
  </si>
  <si>
    <t>Engineering, Civil; Transportation; Transportation Science &amp; Technology</t>
  </si>
  <si>
    <t>Engineering; Transportation</t>
  </si>
  <si>
    <t>X8WV9</t>
  </si>
  <si>
    <t>WOS:000884987100001</t>
  </si>
  <si>
    <t>Zhang, JF; Liu, LQ; Yu, SJ; Wu, QF; Liu, RZ; Li, HC</t>
  </si>
  <si>
    <t>Solar irradiance nowcasting forecasts global horizontal irradiance (GHI) minutes to one hour ahead and is critical for real-time photovoltaic grid integration. Existing approaches either rely solely on meteorological time series, missing the spatial cloud dynamics captured by all-sky imagers, or fuse both modalities without clear separation of individual contributions. We propose DBMF-Net, which combines a lightweight CNN for single-frame all-sky images, an LSTM for meteorological series, and a concatenation late-fusion head for 10-, 20-, and 30-minute GHI prediction. DBMF is distinguished by two principles. First, it strictly separates modalities by excluding imagederived statistics from the numerical branch, so the CNN branch remains the only source of visual cloud information. Second, evaluation in a common clearness-index domain ensures fair comparison between baselines and data-driven models. Experiments use the Folsom dataset with a strict cross-year protocol (train: 2014, validation: 2015, test: 2016). Across three seeds, DBMF achieves the lowest RMSE and highest R2 at all horizons. At 30 min, it achieves 78.9 W/m2 RMSE, a 21.3% skill score over Smart Persistence, and RMSE reductions of 4.1% and 10.7% over the strongest single-modality and linear baselines. Weather-stratified analysis shows that the image branch contributes most under overcast and partly cloudy skies. Bias and ramp detection are also reported. All deep-learning models improve ramp-event F1 over Smart Persistence. DBMF achieves the best F1 for larger ramps with a conservative precision-recall trade-off for moderate ramps.</t>
  </si>
  <si>
    <t>Zhang, Jianfeng; Liu, Liqun; Yu, Shaojuan; Wu, Qingfeng; Liu, Ruizhen; Li, Haochen</t>
  </si>
  <si>
    <t>Liu, LQ (corresponding author), Taiyuan Univ Sci &amp; Technol, Sch Elect Informat Engn, Taiyuan 030024, Peoples R China.</t>
  </si>
  <si>
    <t>Liulq_1976@163.com</t>
  </si>
  <si>
    <t>[Zhang, Jianfeng; Liu, Liqun; Yu, Shaojuan; Wu, Qingfeng; Liu, Ruizhen; Li, Haochen] Taiyuan Univ Sci &amp; Technol, Sch Elect Informat Engn, Taiyuan 030024, Peoples R China; [Li, Haochen] Shanxi Inst Technol, Dept Elect &amp; Control Engn, Yangquan 045000, Shanxi, Peoples R China</t>
  </si>
  <si>
    <t>Taiyuan University of Science &amp; Technology; Shanxi Institute of Technology</t>
  </si>
  <si>
    <t>Dual-branch multimodal fusion with strict modality separation for solar irradiance nowcasting</t>
  </si>
  <si>
    <t>SOLAR ENERGY</t>
  </si>
  <si>
    <t>Solar irradiance nowcasting; Multimodal fusion; Deep learning; Sky images; Clearness index; Cross-year evaluation</t>
  </si>
  <si>
    <t>0038-092X</t>
  </si>
  <si>
    <t>1471-1257</t>
  </si>
  <si>
    <t>SOL ENERGY</t>
  </si>
  <si>
    <t>Sol. Energy</t>
  </si>
  <si>
    <t>SEP 15 2026</t>
  </si>
  <si>
    <t>316</t>
  </si>
  <si>
    <t>114864</t>
  </si>
  <si>
    <t>10.1016/j.solener.2026.114864</t>
  </si>
  <si>
    <t>http://dx.doi.org/10.1016/j.solener.2026.114864</t>
  </si>
  <si>
    <t>Energy &amp; Fuels</t>
  </si>
  <si>
    <t>LB8UD</t>
  </si>
  <si>
    <t>WOS:001820902000001</t>
  </si>
  <si>
    <t>Suchithra, KP; Mohan, N; Acharya, UR; Kumar, SS</t>
  </si>
  <si>
    <t>The early and accurate detection of heart valve disease is crucial in cardiovascular diagnosis. With the introduction of phonocardiogram (PCG), automated diagnosis of heart diseases is employed with advanced deep learning techniques. In this paper, we propose a novel framework for automated PCG classification using deep multimodal early fusion architecture. The proposed method integrates two heterogeneous modalities of PCG such as 1D temporal and 2D time frequency representations using deep multimodal fusion architecture. Two public PCG databases PhysioNet/Computing in Cardiology Challenge (CinC) 2016 database (binary data) and Yaseen Heart Valve Disease (HVD) database (multiclass data) are used for the experimental analysis. With extensive ablation studies and comprehensive evaluation with state-of-the-art methods, the proposed method achieved a high quantitative accuracy of 99.99% for HVD data and 92.78% for CinC data demonstrating the effectiveness of proposed approach. To assure clinically aligned interpretability of the proposed method, we implemented explainable artificial intelligence (XAI) techniques like Local Interpretable Model-Agnostic Explanations (LIME), Gradient-weighted Class Activation Mapping (Grad-CAM) and Shapley Additive exPlanations (SHAP). To measure the consistency and significance of the proposed model several statistical analysis are implemented, which showcased high calibrated results proving the reliability and generalizability of the proposed model across real time clinical scenarios. In summary, in this work we introduce a strong and interpretable diagnostic pipeline that efficiently performs heart valve disease classification with trustful AI assistance.</t>
  </si>
  <si>
    <t>Suchithra, K. P.; Mohan, Neethu; Acharya, U. Rajendra; Kumar, S. Sachin</t>
  </si>
  <si>
    <t>Mohan, N (corresponding author), Amrita Vishwa Vidyapeetham, Amrita Sch Artificial Intelligence, Coimbatore, India.</t>
  </si>
  <si>
    <t>Rajendra.Acharya@unisq.edu.au; kp_suchithra@cb.students.amrita; s_sachinkumar@cb.amrita.edu; m_neethu@cb.amrita.edu</t>
  </si>
  <si>
    <t>[Suchithra, K. P.; Mohan, Neethu; Kumar, S. Sachin] Amrita Vishwa Vidyapeetham, Amrita Sch Artificial Intelligence, Coimbatore, India; [Acharya, U. Rajendra] Univ Southern Queensland, Sch Math Phys &amp; Comp, Artificial Intelligence Applicat Lab, Springfield, Qld 4300, Australia</t>
  </si>
  <si>
    <t>Amrita Vishwa Vidyapeetham; Amrita Vishwa Vidyapeetham Coimbatore; University of Southern Queensland</t>
  </si>
  <si>
    <t>Explainable automated detection of heart valve diseases using deep multimodal fusion technique with PCG signals</t>
  </si>
  <si>
    <t>Heart diseases; Phonocardiogram signal; Deep learning; Multimodal fusion; Convolutional neural networks; Recurrent neural networks; Explainability</t>
  </si>
  <si>
    <t>SOUND CLASSIFICATION</t>
  </si>
  <si>
    <t>KP, Suchithra/OGG-1114-2025</t>
  </si>
  <si>
    <t>100792</t>
  </si>
  <si>
    <t>10.1016/j.array.2026.100792</t>
  </si>
  <si>
    <t>http://dx.doi.org/10.1016/j.array.2026.100792</t>
  </si>
  <si>
    <t>FZ0ZL</t>
  </si>
  <si>
    <t>WOS:001730812000001</t>
  </si>
  <si>
    <t>Chu, Y; Zhu, LQ; Lu, MF</t>
  </si>
  <si>
    <t>Deep learning-based fault diagnosis methods have gained extensive attention in recent years due to their outstanding performance. The model input can take the form of multiple domains, such as the time domain, frequency domain, and time-frequency domain, with commonalities and differences between them. Fusing multimodal features is crucial for enhancing diagnostic effectiveness. In addition, original signals typically exhibit nonstationary characteristics influenced by varying working conditions. In this paper, a dual-attentive multimodal fusion method combining a multiscale dilated CNN (DAMFM-MD) is proposed for rotating machinery fault diagnosis. Firstly, multimodal data are constructed by combining original signals, FFT-based frequency spectra, and STFT-based time-frequency images. Secondly, a three-branch multiscale CNN is developed for discriminative feature learning to consider nonstationary factors. Finally, a two-stage sequential fusion is designed to achieve multimodal complementary fusion considering the features with commonality and differentiation. The performance of the proposed method was experimentally verified through a series of industrial case analyses. The proposed DAMFM-MD method achieves the best F-score of 99.95%, an accuracy of 99.96%, and a recall of 99.95% across four sub-datasets, with an average fault diagnosis response time per sample of 1.095 milliseconds, outperforming state-of-the-art methods.</t>
  </si>
  <si>
    <t>Chu, Yan; Zhu, Leqi; Lu, Mingfeng</t>
  </si>
  <si>
    <t>Chu, Y (corresponding author), Shanghai Lixin Univ Accounting &amp; Finance, Sch Finance, Shanghai 201620, Peoples R China.</t>
  </si>
  <si>
    <t>chuyan@lixin.edu.cn; 502024810010@smail.nju.edu.cn; lumingfeng@mail.hfut.edu.cn</t>
  </si>
  <si>
    <t>[Chu, Yan] Shanghai Lixin Univ Accounting &amp; Finance, Sch Finance, Shanghai 201620, Peoples R China; [Zhu, Leqi] Nanjing Univ, Res Inst Data Management &amp; Innovat, Suzhou 215163, Peoples R China; [Lu, Mingfeng] Hefei Univ Technol, Sch Management, Hefei 230002, Peoples R China</t>
  </si>
  <si>
    <t>Shanghai Lixin University of Accounting &amp; Finance; Nanjing University; Hefei University of Technology</t>
  </si>
  <si>
    <t>A Dual-Attentive Multimodal Fusion Method for Fault Diagnosis Under Varying Working Conditions</t>
  </si>
  <si>
    <t>fault diagnosis; deep learning; convolutional neural network; dilation convolution; attention mechanism; multimodal feature fusion</t>
  </si>
  <si>
    <t>CONVOLUTIONAL NEURAL-NETWORK; BEARING; ALGORITHM</t>
  </si>
  <si>
    <t>JUN 3 2025</t>
  </si>
  <si>
    <t>1868</t>
  </si>
  <si>
    <t>10.3390/math13111868</t>
  </si>
  <si>
    <t>http://dx.doi.org/10.3390/math13111868</t>
  </si>
  <si>
    <t>3PS4I</t>
  </si>
  <si>
    <t>WOS:001506064700001</t>
  </si>
  <si>
    <t>Peng, K; Zhou, WB; Jiang, LZ; Xiong, LJ; Yan, WJ</t>
  </si>
  <si>
    <t>Widespread attention has been devoted to assessing the seismic performance of high-speed railway (HSR) networks in regions vulnerable to earthquakes. Existing structural damage multi-classification models primarily utilize neural networks, are designed for individual structures, and require model retraining whenever structural parameters are altered. This limitation hinders the efficient seismic performance evaluation across regional HSR networks. This research introduces three multimodal feature fusion techniques: concatenation, addition, and multiplication to enhance the accuracy of damage multi-classification in integrated HSR systems under seismic effects of regional contexts. Seismic characteristics are derived from a hybrid model that combines Temporal Convolutional Networks (TCN) with multi-head self-attention mechanisms and Long Short-Term Memory (LSTM) layers. This model integrates the features of structural parameters with seismic output characteristics through a dimension alignment technique and employs transfer learning to boost the model's effectiveness even with limited input data. Hence, a multimodal hybrid neural network is developed that amalgamates seismic and multi- parameter structural features. The three introduced feature fusion methods successfully integrate local characteristics, setting a robust foundation for precise damage prediction in components of HSR track-bridge systems under conditions of multi-parameter uncertainty. The experimental findings demonstrate that transfer learning markedly lowers the data requirements for model training. The proposed model substantially improves precision and computational efficiency, providing innovative insights for regional earthquake risk evaluation and performance-based seismic design approaches. To assist related work, we have made code available at: https ://github.com/kanepro1998/HSR-Damage-Classification.</t>
  </si>
  <si>
    <t>Peng, Kang; Zhou, Wangbao; Jiang, Lizhong; Xiong, Lijun; Yan, Wang-Ji</t>
  </si>
  <si>
    <t>Zhou, WB (corresponding author), Cent South Univ, Sch Civil Engn, Changsha 410075, Peoples R China.</t>
  </si>
  <si>
    <t>zhouwangbao@163.com; pengkang1998@csu.edu.cn; wangjiyan@um.edu.mo; lzhjiang@csu.edu.cn; ljxiong84@163.com</t>
  </si>
  <si>
    <t>High Performance Computing Center of Central South University</t>
  </si>
  <si>
    <t>The research described in this paper was financially supported by the National Natural Science Foundations of China (52078487, U1934207, 52178180) , Hunan Province science and technology talent lifting project (2022TJ-Y10) , Frontier cross research project of Central South University (2023QYJC006) , the Science and Technology Development Fund (SKL-IOTSC (UM) -2021-2023) and the State Key Laboratory of Internet of Things for Smart City (University of Macau) (SKL-IoTSC (UM) -2024-2026/ORP/GA08/2023) .We are grateful for resources from the High Performance Computing Center of Central South University.</t>
  </si>
  <si>
    <t>[Peng, Kang; Zhou, Wangbao; Jiang, Lizhong; Xiong, Lijun] Cent South Univ, Sch Civil Engn, Changsha 410075, Peoples R China; [Peng, Kang; Zhou, Wangbao; Jiang, Lizhong; Xiong, Lijun] Natl Engn Res Ctr High Speed Railway Construct, Changsha 410075, Peoples R China; [Yan, Wang-Ji] Univ Macau, State Key Lab Internet Things Smart City, Macau, Peoples R China; [Yan, Wang-Ji] Univ Macau, Dept Civil &amp; Environm Engn, Macau, Peoples R China</t>
  </si>
  <si>
    <t>Central South University; University of Macau; University of Macau</t>
  </si>
  <si>
    <t>Multimodal fusion hybrid neural network approach for multi-class damage classification in high-speed rail track-bridge systems with multi-parameter</t>
  </si>
  <si>
    <t>ENGINEERING STRUCTURES</t>
  </si>
  <si>
    <t>Multimodal fusion methods; Hybrid neural networks; Multi-parameter uncertainty; High-speed railway track-bridge systems; Transfer learning</t>
  </si>
  <si>
    <t>Yan, Wang-Ji/L-9313-2016</t>
  </si>
  <si>
    <t>Xiong, Lijun/0009-0006-3980-6425</t>
  </si>
  <si>
    <t>0141-0296</t>
  </si>
  <si>
    <t>1873-7323</t>
  </si>
  <si>
    <t>ENG STRUCT</t>
  </si>
  <si>
    <t>Eng. Struct.</t>
  </si>
  <si>
    <t>328</t>
  </si>
  <si>
    <t>119710</t>
  </si>
  <si>
    <t>10.1016/j.engstruct.2025.119710</t>
  </si>
  <si>
    <t>http://dx.doi.org/10.1016/j.engstruct.2025.119710</t>
  </si>
  <si>
    <t>Engineering, Civil</t>
  </si>
  <si>
    <t>T2G4X</t>
  </si>
  <si>
    <t>WOS:001403257100001</t>
  </si>
  <si>
    <t>Jin, ZH; Shuai, Y; Li, Y; Chen, MM; Liu, YM; Lei, WB; Fan, XM</t>
  </si>
  <si>
    <t>Background: Early diagnosis and intervention in glottic carcinoma (GC) can significantly improve long-term prognosis. However, the accurate diagnosis of early GC is challenging due to its morphological similarity to vocal cord dysplasia, with the difficulty further exacerbated in medically underserved areas. Objective: This study aims to address the limitations of existing technologies by designing a vision-language multimodal model, providing a more efficient and accurate early diagnostic method for GC. Methods: The data used in this study were sourced from the information system of the First Affiliated Hospital of Sun Yat-sen University, comprising laryngoscopy reports and 5796 laryngoscopic images from 404 patients with glottic lesions. We propose a vision-language-guided multimodal fusion network (VLMF-Net) based on a large vision-language model for the early automated diagnosis of GC. The text processing module of this model uses the pretrained Large Language Model Meta AI (LLaMa) to generate text vector representations, while the image processing module uses a pretrained vision transformer to extract features from laryngoscopic images, achieving cross-modal alignment through the Q-Former module. By leveraging a feature fusion module, deep integration of text and image features is achieved, ultimately enabling classification diagnosis. To validate the model's performance, the study selected contrastive language-image pretraining (CLIP), bootstrapping language-image pretraining with frozen image encoders and large language models (BLIP-2), a large-scale image and noisy-text embedding (ALIGN), and vision-and-language transformer (VILT) as baseline methods for experimental evaluation on the same dataset, with comprehensive performance assessment conducted using accuracy, recall, precision, F1-score, and area under the curve. Results: We found that on the internal test set, the VLMF-Net model significantly outperformed existing methods with an accuracy of 77.6% (CLIP: 70.5%; BLIP-2: 71.5%; ALIGN: 67.3%; and VILT: 64.3%), achieving a 6.1-percentage point improvement over the best baseline model (BLIP-2). On the external test set, our method also demonstrated robust performance, achieving an accuracy of 73.9%, which is 4.6 percentage points higher than the second-best model (BLIP-2: 69.3%). This indicates that our model surpasses these methods in the early diagnosis of GC and exhibits strong generalization ability and robustness. Conclusions: The proposed VLMF-Net model can be effectively used for the early diagnosis of GC, helping to address the challenges in its early detection.</t>
  </si>
  <si>
    <t>Jin, Zhaohui; Shuai, Yi; Li, Yun; Chen, Mianmian; Liu, Yumeng; Lei, Wenbin; Fan, Xiaomao</t>
  </si>
  <si>
    <t>Fan, XM (corresponding author), Shenzhen Technol Univ, Coll Big Data &amp; Internet, 3002 Lantian Rd, Shenzhen 518118, Guangdong, Peoples R China.</t>
  </si>
  <si>
    <t>astrofan2008@gmail.com</t>
  </si>
  <si>
    <t>National Natural Science Foundation of China [62473267]; Basic and Applied Basic Research Project of Guangdong Province [2022B1515130009, 2025A1515011614]; Guangzhou Science and Technology Planning Project [2025B03J0019]; Special Subject on Agriculture and Social Development, Key Research and Development Plan in Guangzhou [2023B03J0172]; Natural Science Foundation of Top Talent of SZTU [GDRC202318]</t>
  </si>
  <si>
    <t>National Natural Science Foundation of China (National Natural Science Foundation of China (NSFC)); Basic and Applied Basic Research Project of Guangdong Province; Guangzhou Science and Technology Planning Project; Special Subject on Agriculture and Social Development, Key Research and Development Plan in Guangzhou; Natural Science Foundation of Top Talent of SZTU</t>
  </si>
  <si>
    <t>We note that a shorter conference version of this paper appeared in the 2024 China Health Information Processing Conference (CHIP 2024). In our initial conference paper, we did not investigate whether the vision-language guided multimodal fusion network (VLMF-Net) model maintains its effectiveness across different datasets and consistently outperforms baseline models. This manuscript addresses these issues while further optimizing the originally proposed model through approaches such as hybrid loss function training. In addition, we use the Grad-CAM (Gradient-Weighted Class Activation Mapping) methodology to analyze the interpretability of VLMF-Net. This work is partially supported by the National Natural Science Foundation of China (62473267), the Basic and Applied Basic Research Project of Guangdong Province (2022B1515130009, 2025A1515011614) , the Guangzhou Science and Technology Planning Project (No.2025B03J0019) , the Special Subject on Agriculture and Social Development, Key Research and Development Plan in Guangzhou (2023B03J0172) , and the Natural Science Foundation of Top Talent of SZTU (GDRC202318).</t>
  </si>
  <si>
    <t>[Jin, Zhaohui; Chen, Mianmian; Liu, Yumeng; Fan, Xiaomao] Shenzhen Technol Univ, Coll Big Data &amp; Internet, 3002 Lantian Rd, Shenzhen 518118, Guangdong, Peoples R China; [Shuai, Yi; Li, Yun; Lei, Wenbin] Sun Yat Sen Univ, Affiliated Hosp 1, Guangzhou, Guangdong, Peoples R China</t>
  </si>
  <si>
    <t>Shenzhen Technology University; Sun Yat Sen University</t>
  </si>
  <si>
    <t>A Vision-Language-Guided Multimodal Fusion Network for Glottic Carcinoma Early Diagnosis: Model Development and Validation Study</t>
  </si>
  <si>
    <t>glottic carcinoma early diagnosis; multimodal deep learning; large-scale foundation model; computer-aided diagnosis; clinical decision making</t>
  </si>
  <si>
    <t>fan, astro/PLR-6039-2026; chen, mianmian/LJL-0498-2024; Jin, Zhaohui/HZM-2344-2023</t>
  </si>
  <si>
    <t>Lei, Wenbin/0000-0002-9720-1997; Shuai, Yi/0009-0008-0496-396X</t>
  </si>
  <si>
    <t>e74902</t>
  </si>
  <si>
    <t>10.2196/74902</t>
  </si>
  <si>
    <t>http://dx.doi.org/10.2196/74902</t>
  </si>
  <si>
    <t>9ES9V</t>
  </si>
  <si>
    <t>41061147</t>
  </si>
  <si>
    <t>WOS:001604598200003</t>
  </si>
  <si>
    <t>Yang, DY; Liu, Z; Zeng, ZH; Cheng, B</t>
  </si>
  <si>
    <t>Camouflaged object detection (COD) is challenging because camouflaged objects are often highly similar to complex backgrounds. Existing COD methods usually rely on pixel-level annotations, which are labour-intensive and may involve subjective bias. To reduce the dependence on dense annotations, we propose SPMCNet, a weakly-supervised COD framework that incorporates generated pseudo-depth (PD) cues to complement RGB appearance information. Specifically, monocular depth estimation is integrated into the overall pipeline to generate PD maps from RGB images, which are used as auxiliary spatial cues rather than sensor-captured depth. To exploit RGB and PD information, we introduce a cross-modal adaptive relationship fusion (CARF) module, which models their relationship from spatial and channel views and adaptively adjusts their contributions during feature fusion. We further propose a cross-modal pseudo-supervised label mapping (CPLM) strategy to expand scribble annotations in both RGB and generated PD domains, generating pseudo-RGB labels and PD labels, respectively. These modality-specific pseudo-labels are then aggregated into pseudo-RGB-D (P-RGB-D) labels for training. In addition, a depth dual loss is introduced to supervise the auxiliary depth branch and encourage smoother object-region predictions. Experimental results on four benchmark datasets show that SPMCNet achieves competitive performance among weakly-supervised COD methods. Compared with representative weakly-supervised baselines, SPMCNet obtains average improvements of 3.2% in structure measure () and 2.5% in mean E-measure () across datasets. These results suggest the effectiveness of PD-assisted fusion and cross-modal pseudo-label aggregation for weakly-supervised COD.</t>
  </si>
  <si>
    <t>Yang, Danyang; Liu, Zao; Zeng, Zhihong; Cheng, Bei</t>
  </si>
  <si>
    <t>Cheng, B (corresponding author), Kunming Univ Sci &amp; Technol, Fac Informat Engn &amp; Automation, Kunming 650500, Peoples R China.</t>
  </si>
  <si>
    <t>yangdanyang@stu.kust.edu.cn; liuzao@stu.kust.edu.cn; azh@gpnu.edu.cn; chengbei@kust.edu.cn</t>
  </si>
  <si>
    <t>Yunnan Province Fundamental Research Projects [202401AU070154]</t>
  </si>
  <si>
    <t>Yunnan Province Fundamental Research Projects</t>
  </si>
  <si>
    <t>This work was supported in part by the Yunnan Province Fundamental Research Projects under Grant 202401AU070154.</t>
  </si>
  <si>
    <t>[Yang, Danyang; Liu, Zao; Cheng, Bei] Kunming Univ Sci &amp; Technol, Fac Informat Engn &amp; Automation, Kunming 650500, Peoples R China; [Zeng, Zhihong] Guangdong Polytech Normal Univ, Inst Interdisciplinary Studies, Guangzhou 510665, Peoples R China</t>
  </si>
  <si>
    <t>Kunming University of Science &amp; Technology; Guangdong Polytechnic Normal University</t>
  </si>
  <si>
    <t>Multimodal fusion and pseudo-labeling for enhanced weakly supervised camouflaged object detection</t>
  </si>
  <si>
    <t>Multimodal; Weak supervision; Camouflaged object detection</t>
  </si>
  <si>
    <t>449</t>
  </si>
  <si>
    <t>10.1007/s00530-026-02505-5</t>
  </si>
  <si>
    <t>http://dx.doi.org/10.1007/s00530-026-02505-5</t>
  </si>
  <si>
    <t>WOS:001822352300006</t>
  </si>
  <si>
    <t>Ghassemi, S; Zhang, TY; van Breda, W; Koutsoumpis, A; Oostrom, JK; Holtrop, D; de Vries, RE</t>
  </si>
  <si>
    <t>Recent advances in AI-based learning models have significantly increased the accuracy of Automatic Personality Recognition (APR). However, these methods either require training data from the same subject or the meta-information from the training set to learn the personality-related features (i.e., subject-dependency). The variance of feature extraction for different subjects compromises the possibility of designing a dependency-free system for APR. To address this problem, we present an unsupervised multimodal learning framework to infer personality traits from audio, visual, and verbal modalities. Our method both extracts the handcraft features and transfers deep-learning based embeddings from other tasks (e.g., emotion recognition) to recognize personality traits. Since these representations are extracted locally in the time domain, we present an unsupervised temporal aggregation method to aggregate the extracted features over the temporal dimension. We evaluate our method on the ChaLearn dataset, the most widely referenced dataset for APR, using a dependency-free split of the dataset. Our results show that the proposed feature extraction and temporal aggregation modules do not require personality annotations in training but still outperform other state-of-the-art baseline methods. We also address the problem of subject-dependency in the original split of the ChaLearn dataset. The newly proposed split (i.e., data for training, validation, and testing) of the dataset can benefit the community by providing a more accurate method to validate the subject-generalizability of APR algorithms.</t>
  </si>
  <si>
    <t>Ghassemi, Sina; Zhang, Tianyi; van Breda, Ward; Koutsoumpis, Antonis; Oostrom, Janneke K.; Holtrop, Djurre; de Vries, Reinout E.</t>
  </si>
  <si>
    <t>Zhang, TY (corresponding author), Vrije Univ Amsterdam, Dept Expt &amp; Appl Psychol, NL-1081 HV Amsterdam, Netherlands.</t>
  </si>
  <si>
    <t>s.ghassemi@vu.nl; t.zhang@vu.nl; j.k.oostrom@vu.nl; d.j.holtrop@tilburguniversity.edu; re.de.vries@vu.nl; w.r.j.van.breda@vu.nl; a.koutsoumpis@vu.nl</t>
  </si>
  <si>
    <t>[Ghassemi, Sina; Zhang, Tianyi; van Breda, Ward; de Vries, Reinout E.] Vrije Univ Amsterdam, Dept Expt &amp; Appl Psychol, NL-1081 HV Amsterdam, Netherlands; [Koutsoumpis, Antonis; Oostrom, Janneke K.; Holtrop, Djurre] Tilburg Univ, Dept Social Psychol, NL-5037 AB Tilburg, Netherlands</t>
  </si>
  <si>
    <t>Vrije Universiteit Amsterdam; Tilburg University</t>
  </si>
  <si>
    <t>Unsupervised Multimodal Learning for Dependency-Free Personality Recognition</t>
  </si>
  <si>
    <t>IEEE TRANSACTIONS ON AFFECTIVE COMPUTING</t>
  </si>
  <si>
    <t>Feature extraction; Training; Visualization; Annotations; Testing; Prediction algorithms; Deep learning; Personality assessment; multimodal systems; multimedia signal processing; feature fusion; transfer learning; unsupervised learning; generalization performance</t>
  </si>
  <si>
    <t>DEEP BIMODAL REGRESSION; APPARENT PERSONALITY; BIG 5; TRAITS; FEATURES; EMOTION; SYSTEM; KERNEL; MODEL</t>
  </si>
  <si>
    <t>Koutsoumpis, Antonis/AGV-7100-2022; Zhang, Tianyi/AAG-6220-2021; Holtrop, Djurre/KBB-1685-2024; Ghassemi, Sina/V-4048-2018; de Vries, Reinout/M-9671-2019</t>
  </si>
  <si>
    <t>Zhang, Tianyi/0000-0001-6293-881X; Holtrop, Djurre/0000-0003-3824-3385; Ghassemi, Sina/0000-0002-5046-3842; Koutsoumpis, Antonis/0000-0001-9242-4959; Oostrom, Janneke/0000-0002-0963-5016; de Vries, Reinout/0000-0002-4252-5839</t>
  </si>
  <si>
    <t>1949-3045</t>
  </si>
  <si>
    <t>IEEE T AFFECT COMPUT</t>
  </si>
  <si>
    <t>IEEE Trans. Affect. Comput.</t>
  </si>
  <si>
    <t>JUL-SEP 2024</t>
  </si>
  <si>
    <t>1053</t>
  </si>
  <si>
    <t>1066</t>
  </si>
  <si>
    <t>10.1109/TAFFC.2023.3318367</t>
  </si>
  <si>
    <t>http://dx.doi.org/10.1109/TAFFC.2023.3318367</t>
  </si>
  <si>
    <t>Computer Science, Artificial Intelligence; Computer Science, Cybernetics</t>
  </si>
  <si>
    <t>F2T5S</t>
  </si>
  <si>
    <t>WOS:001308401200048</t>
  </si>
  <si>
    <t>Green Published; Green Submitted</t>
  </si>
  <si>
    <t>Lian, J; Shao, JH; Yu, H; Chen, RR; Huang, SR; Chen, GM; Zhao, Q</t>
  </si>
  <si>
    <t>Tropical cyclones (TCs) are highly destructive weather phenomena that cause extensive human and economic losses in affected regions. Accurate prediction of tropical cyclone intensity (TCI) is crucial for disaster preparedness and mitigation. Traditional TCI forecasting methods fail to extract nonlinear features and suffer from high computation costs. In recent years, deep learning methods have been increasingly used to address this challenge. However, current approaches often underutilize meteorological variables and satellite cloud imagery, and fail to capture correlations between multimodal data. In this article, we propose TCIque, a sequence-to-sequence model specifically designed for TCI forecasting. TCIque is designed to integrate multimodal data and retrieve correlational features between them based on the Wide and Deep concept. The "Wide" component leverages domain knowledge to extract statistical features, while the "Deep" component captures nonlinear correlations and spatio-temporal dynamics based on self-attention mechanisms. This unique combination allows the model to fully utilize diverse data sources, such as meteorological variables, satellite imagery, and expert-driven features, ensuring robust feature fusion. Furthermore, a predictive encoder-decoder architecture associated with the self-attention mechanism is employed to address the challenge of long-term dependency decay. Experimental results demonstrate that the TCIque model outperforms existing methods, achieving more accurate performance in TCI prediction by 60.9%, 51.6%, 39.2%, and 1.8% compared to the best performance of baselines, which includes ConvLSTM, PredRNN, TC-Pred, SCSTque, SAF-Net, TCI-Net, Tint, and Pred_3d at 6h, 12h, 18h, and 24h forecast, respectively.</t>
  </si>
  <si>
    <t>Lian, Jie; Shao, Jiahao; Yu, Hui; Chen, Ruirong; Huang, Sirong; Chen, Guomin; Zhao, Qin</t>
  </si>
  <si>
    <t>Zhao, Q (corresponding author), Shanghai Normal Univ, Shanghai Engn Res Ctr Intelligent Educ &amp; Big Data, Shanghai 200234, Peoples R China.</t>
  </si>
  <si>
    <t>chengm@typhoon.org.cn; lianjie@shnu.edu.cn; sironghuang1007@163.com; 1000528077@smail.shnu.edu.cn; yuh@typhoon.org.cn; q_zhao@shnu.edu.cn; richardchen.rayage@hotmail.com</t>
  </si>
  <si>
    <t>National Natural Science Foundation of China [U2142206]; National Key Research and Development Program of China [2022YFB4501704]</t>
  </si>
  <si>
    <t>National Natural Science Foundation of China (National Natural Science Foundation of China (NSFC)); National Key Research and Development Program of China (National Key Research &amp; Development Program of China)</t>
  </si>
  <si>
    <t>This work was supported in part by the National Natural Science Foundation of China under Grant U2142206 and in part by the National Key Research and Development Program of China under Grant 2022YFB4501704.</t>
  </si>
  <si>
    <t>[Lian, Jie; Shao, Jiahao; Chen, Ruirong; Huang, Sirong; Zhao, Qin] Shanghai Normal Univ, Shanghai Engn Res Ctr Intelligent Educ &amp; Big Data, Shanghai 200234, Peoples R China; [Yu, Hui; Chen, Guomin] China Meteorol Adm, Shanghai Typhoon Inst, Shanghai 200030, Peoples R China; [Zhao, Qin] Tongji Univ, Key Lab Minist Educ Embedded Syst &amp; Serv Comp, Shanghai 201804, Peoples R China</t>
  </si>
  <si>
    <t>Shanghai Normal University; China Meteorological Administration; Shanghai Typhoon Institute, China Meteorological Administration; Tongji University</t>
  </si>
  <si>
    <t>Multimodal Fusion Learning for Predicting Tropical Cyclone Intensity Over Western North Pacific</t>
  </si>
  <si>
    <t>Predictive models; Feature extraction; Accuracy; Deep learning; Satellites; Data models; Forecasting; Cyclones; Tropical cyclones; Three-dimensional displays; fine-grained prediction; multimodal data fusion; tropical cyclone intensity (TCI)</t>
  </si>
  <si>
    <t>LSTM MODEL</t>
  </si>
  <si>
    <t>Zhao, Qin/JAN-6336-2023; Lian, Jie/ABL-3605-2022; Huang, Sirong/OFO-4726-2025</t>
  </si>
  <si>
    <t>Zhao, Qin/0000-0001-7579-2004; Lian, Jie/0000-0002-2005-2022</t>
  </si>
  <si>
    <t>7048</t>
  </si>
  <si>
    <t>7063</t>
  </si>
  <si>
    <t>10.1109/JSTARS.2025.3544865</t>
  </si>
  <si>
    <t>http://dx.doi.org/10.1109/JSTARS.2025.3544865</t>
  </si>
  <si>
    <t>0DX5F</t>
  </si>
  <si>
    <t>WOS:001445060000001</t>
  </si>
  <si>
    <t>Thamizharasi, M</t>
  </si>
  <si>
    <t>Alzheimer's disease (AD) is a progressive neurodegenerative disorder affecting the brain, primarily in elderly adults. Early and accurate diagnosis is essential for effective intervention. This paper proposes a Multimodal Cross-Attention Fusion Network (MCAF-Net) for AD classification, integrating three complementary data types: structural magnetic resonance imaging (MRI) providing structural volume, amyloid positron emission tomography (PET) quantifying amyloid burden, and cognitive assessments using the Alzheimer's Disease Assessment Scale-Cognitive (ADAS-Cog) and Mini-Mental State Examination (MMSE) sub-scores. Although prior multimodal approaches have demonstrated the value of combining multiple biomarkers, their architectures are limited by static feature concatenation or late-fusion strategies that cannot model nonlinear, dynamic interdependencies among heterogeneous data types. MCAF-Net overcomes this by employing modality-specific 3D Convolutional Encoders and a Cross-Modal Attention (CMA) mechanism that dynamically weighs and combines features across modalities. A Multi-Task Learning (MTL) strategy predicts future trajectories of cognitive decline (at 12, 24, and 36 months) from baseline data-explicitly avoiding target leakage. The model was evaluated on 1,000 subjects from the Alzheimer's Disease Neuroimaging Initiative (ADNI) using strict subject-level 5-fold cross-validation. MCAF-Net achieved a Macro F1-Score of 89.7% +/- 1.9% (95% confidence interval, CI) and an area under the receiver operating characteristic curve (AUC) of 0.975 +/- 0.008 for AD vs. cognitively normal (CN) classification. For the challenging mild cognitive impairment (MCI) vs. CN differentiation, accuracy improved to 78.2% +/- 2.4%, surpassing the best single-modality method (72.0%). Statistical significance was confirmed (p &lt; 0.01). External validation on the Australian Imaging, Biomarkers &amp; Lifestyle (AIBL) dataset (n = 210) demonstrated robustness (Macro F1: 85.4%). Attention-based multimodal fusion with future trajectory prediction significantly improves early-stage AD diagnosis. MCAF-Net shows promise for clinical decision support and patient stratification in preclinical trials.</t>
  </si>
  <si>
    <t>Thamizharasi, M.</t>
  </si>
  <si>
    <t>Thamizharasi, M (corresponding author), Saveetha Engn Coll, Dept Informat Technol, Chennai 602105, Tamil Nadu, India.</t>
  </si>
  <si>
    <t>drthamizhmanikndan@gmail.com</t>
  </si>
  <si>
    <t>[Thamizharasi, M.] Saveetha Engn Coll, Dept Informat Technol, Chennai 602105, Tamil Nadu, India</t>
  </si>
  <si>
    <t>A deep multimodal learning framework for Alzheimer's disease classification integrating volumetric, amyloid, and cognitive biomarkers</t>
  </si>
  <si>
    <t>Alzheimer's Disease(AD); Mild Cognitive Impairment (MCI); Multimodal classification; Deep learning; Structural magnetic resonance imaging (sMRI); Amyloidpositron emission tomography(PET); Cognitive assessment; Cross-Modal attention (CMA); Multi-Task learning (MTL); Alzheimer's Disease Neuroimaging Initiative (ADNI)</t>
  </si>
  <si>
    <t>NEUROIMAGING INITIATIVE ADNI; IMPAIRMENT; SYSTEM</t>
  </si>
  <si>
    <t>110977</t>
  </si>
  <si>
    <t>10.1016/j.bspc.2026.110977</t>
  </si>
  <si>
    <t>http://dx.doi.org/10.1016/j.bspc.2026.110977</t>
  </si>
  <si>
    <t>LA5BB</t>
  </si>
  <si>
    <t>WOS:001819971700001</t>
  </si>
  <si>
    <t>Zhao, LM; Chen, XY; Zhu, XS; Zhao, D; Yan, YH</t>
  </si>
  <si>
    <t>Solar flares are intense eruptive events caused by the rapid release of magnetic energy, often impacting Earth's space environment through electromagnetic radiation and high-energy particles. Accurate flare prediction is critical for space weather forecasting. However, many existing deep learning approaches often rely on single-modal inputs or shallow feature fusion, limiting their ability to capture complementary information. In this study, we propose a dual-branch multimodal fusion deep learning model for predicting 24 hr solar flares. The model integrates magnetograms and magnetic parameters through cross-attention mechanisms, followed by cross-scale interactions at the feature level to enhance multiscale representation. It is designed to perform both binary prediction of &gt;= C-class flares and multiclass classification of C-, M-, and X-class flares. To ensure rigorous evaluation, we employ a stratified group five-fold cross-validation scheme to preserve class representativeness and adopt a splitting-before-sampling strategy based on NOAA active region numbers to prevent data leakage. Experimental results show that the model achieves a true skill statistic (TSS) of 0.661 and a Heidke skill score (HSS) of 0.658 for binary &gt;= C-class prediction, while notably attaining a TSS of 0.780 and an HSS of 0.775 for X-class flares in the multiclass task. Compared with existing approaches, the model demonstrates superior performance in predicting intense X-class flares, effectively suppresses the false-alarm rate, and exhibits strong generalization capability.</t>
  </si>
  <si>
    <t>Zhao, Limin; Chen, Xingyao; Zhu, Xiaoshuai; Zhao, Dong; Yan, Yihua</t>
  </si>
  <si>
    <t>Yan, YH (corresponding author), Beihang Univ, Sch Space &amp; Earth Sci, Beijing 100000, Peoples R China.; Yan, YH (corresponding author), Chinese Acad Sci, Natl Space Sci Ctr, State Key Lab Solar Act &amp; Space Weather, Beijing, Peoples R China.; Yan, YH (corresponding author), Univ Chinese Acad Sci, Sch Astron &amp; Space Sci, Beijing 100049, Peoples R China.</t>
  </si>
  <si>
    <t>yanyihua@nssc.ac.cn</t>
  </si>
  <si>
    <t>MOST divided by National Natural Science Foundation of China (NSFC) [42274201]; MOST divided by National Key Research and Development Program of China (NKPs) [2021YFA1600500]</t>
  </si>
  <si>
    <t>MOST divided by National Natural Science Foundation of China (NSFC) (National Natural Science Foundation of China (NSFC)); MOST divided by National Key Research and Development Program of China (NKPs) (National Key Research &amp; Development Program of China)</t>
  </si>
  <si>
    <t>We sincerely thank the reviewers for their thorough evaluation of our manuscript and for their valuable comments and suggestions. The data used in this study are provided by NASA/SDO, the HMI science team, and the GOES team. We gratefully acknowledge the support of all members of the Joint Science Operations Center (JSOC) at Stanford University and thank them for granting us access to the relevant data. We also express our sincere appreciation to the SDO/HMI team members for their dedicated efforts and significant contributions to the SDO mission. This work is supported by the National Key R&amp;D Program of China (2021YFA1600500, 2025YFF0510700, 2025YFE0202500, 2022YFF0503800), the National Natural Science Foundation of China (42274201), and the Specialized Research Fund for State Key Laboratory of Solar Activity and Space Weather.</t>
  </si>
  <si>
    <t>[Zhao, Limin; Yan, Yihua] Beihang Univ, Sch Space &amp; Earth Sci, Beijing 100000, Peoples R China; [Zhao, Limin; Chen, Xingyao; Zhu, Xiaoshuai; Zhao, Dong; Yan, Yihua] Chinese Acad Sci, Natl Space Sci Ctr, State Key Lab Solar Act &amp; Space Weather, Beijing, Peoples R China; [Yan, Yihua] Univ Chinese Acad Sci, Sch Astron &amp; Space Sci, Beijing 100049, Peoples R China</t>
  </si>
  <si>
    <t>Beihang University; Chinese Academy of Sciences; National Space Science Center, CAS; Chinese Academy of Sciences; University of Chinese Academy of Sciences, CAS</t>
  </si>
  <si>
    <t>The Deep Learning-based Dual-branch Multimodal Fusion Model for Solar Flare Prediction</t>
  </si>
  <si>
    <t>CONVOLUTIONAL NEURAL-NETWORK; MAGNETIC-FIELD DATA; ACTIVE REGIONS; FORECAST; CNN</t>
  </si>
  <si>
    <t>JUL 1 2026</t>
  </si>
  <si>
    <t>285</t>
  </si>
  <si>
    <t>10.3847/1538-4365/ae6cd5</t>
  </si>
  <si>
    <t>http://dx.doi.org/10.3847/1538-4365/ae6cd5</t>
  </si>
  <si>
    <t>KD6RV</t>
  </si>
  <si>
    <t>WOS:001804479200001</t>
  </si>
  <si>
    <t>Zhang, JJ; Feng, S; Xue, J; Zhou, C; Fu, SN; Liu, PC; He, ZY; Gong, M; Feng, H; Zhou, SN; Zhang, N</t>
  </si>
  <si>
    <t>Background and aims: Metabolic dysfunction-associated fatty liver disease (MAFLD) is associated with coronary artery disease (CAD), but existing risk assessment tools lack precision and scalability. We developed an AI-driven multimodal framework integrating traditional Chinese medicine (TCM) tongue-based diagnosis with clinical biomarkers to stratify CAD risk in MAFLD. Methods: In this cross-sectional study with prospective data collection, which comprised 1073 MAFLD patients stratified by CAD status (MAFLD without CAD, n = 942; MAFLD with CAD, n = 131), baseline characteristics were compared using chi-square tests for categorical variables and Mann-Whitney U tests for continuous variables, with p &lt; 0.05 considered significant. We developed two distinct deep learning models: Model-1 (non-invasive) using ResNet18 combined tongue image features with demographic and comorbidity data, and Model-2 (comprehensive) incorporated blood biomarkers alongside the features used in Model-1. Multimodal feature fusion was achieved through a dedicated cross-attention network. Model performance was rigorously evaluated using 10-fold cross-validation, with area under the curve (AUC), sensitivity, and specificity as primary metrics. Focal loss was employed to address class imbalance. Results: The coexistence of CAD was associated with significantly higher rates of hypertension, diabetes, and familial cardiovascular history in patients with MAFLD (p &lt; 0.001), along with distinct metabolic profiles: elevated systemic inflammation (neutrophil-lymphocyte ratio), advanced fibrosis (FIB-4), elevated fasting glucose levels, and attenuated hepatic inflammation (ALT and AST). Model-1 achieved an AUC of 0.858 (sensitivity 0.778, specificity 0.908), while Model-2 demonstrated superior discrimination (AUC 0.933), particularly in tertiary care. Conclusion: Our AI-driven dual-model framework addresses the critical unmet need for CAD identification in MAFLD patients, providing a community-scalable screening tool (Model-1) and a precision clinical assessment model (Model-2), while offering empirical support for TCM tongue diagnosis. Pending external validation to confirm its generalizability, this approach may serve as a cost-efficient non-invasive screening strategy for this high-risk population.</t>
  </si>
  <si>
    <t>Zhang, Jingjing; Feng, Song; Xue, Jian; Zhou, Chao; Fu, Shuangnan; Liu, Pengcheng; He, Zhaoyun; Gong, Man; Feng, Hui; Zhou, Shuangnan; Zhang, Ning</t>
  </si>
  <si>
    <t>Zhang, N (corresponding author), Fifth Med Ctr Chinese PLA Gen Hosp, Sr Dept Hepatol, Beijing 100039, Peoples R China.; Feng, H (corresponding author), Fifth Med Ctr Chinese PLA Gen Hosp, Dept Ultrasound, Sr Dept Oncol, Beijing 100039, Peoples R China.; Zhou, SN (corresponding author), Fifth Med Ctr Chinese PLA Gen Hosp, Sr Dept Infect Dis, Beijing 100039, Peoples R China.</t>
  </si>
  <si>
    <t>fenghui810@126.com; zhangning198191@sina.com; 13121690661@163.com</t>
  </si>
  <si>
    <t>Beijing Natural Science Foundation Haidian Original Innovation Joint Fund [L222134]</t>
  </si>
  <si>
    <t>Beijing Natural Science Foundation Haidian Original Innovation Joint Fund (Beijing Natural Science Foundation)</t>
  </si>
  <si>
    <t>This work was supported by Beijing Natural Science Foundation Haidian Original Innovation Joint Fund (L222134) .</t>
  </si>
  <si>
    <t>[Zhang, Jingjing; Zhou, Chao; Fu, Shuangnan; Liu, Pengcheng; He, Zhaoyun; Gong, Man; Zhang, Ning] Fifth Med Ctr Chinese PLA Gen Hosp, Sr Dept Hepatol, Beijing 100039, Peoples R China; [Feng, Song; Feng, Hui] Fifth Med Ctr Chinese PLA Gen Hosp, Dept Ultrasound, Sr Dept Oncol, Beijing 100039, Peoples R China; [Xue, Jian] Sixth Med Ctr Chinese PLA Gen Hosp, Sr Dept Cardiol, Beijing 100048, Peoples R China; [Zhou, Shuangnan] Fifth Med Ctr Chinese PLA Gen Hosp, Sr Dept Infect Dis, Beijing 100039, Peoples R China</t>
  </si>
  <si>
    <t>AI-driven multimodal fusion of tongue images and clinical indicators for identifying MAFLD patients at risk of coronary artery disease: An exploratory study</t>
  </si>
  <si>
    <t>ILIVER</t>
  </si>
  <si>
    <t>Tongue image; Metabolic dysfunction-associated fatty liver disease; Coronary artery disease; Multi-modal fusion; Artificial intelligence</t>
  </si>
  <si>
    <t>Ning, Zhang/ABG-6424-2021</t>
  </si>
  <si>
    <t>2772-9478</t>
  </si>
  <si>
    <t>iLIVER</t>
  </si>
  <si>
    <t>100181</t>
  </si>
  <si>
    <t>10.1016/j.iliver.2025.100181</t>
  </si>
  <si>
    <t>http://dx.doi.org/10.1016/j.iliver.2025.100181</t>
  </si>
  <si>
    <t>FE0KY</t>
  </si>
  <si>
    <t>41054419</t>
  </si>
  <si>
    <t>WOS:001716518500001</t>
  </si>
  <si>
    <t>Bi, W; Xiong, QZ; Chen, XY; Du, QK; Wu, J; Zhuang, ZY</t>
  </si>
  <si>
    <t>This paper proposes an innovative Traditional Chinese Medicine Ancient Text Education Intelligent Visual Question Answering System (TCM-VQA IoTNet), which integrates Internet of Things (IoT) technology with multimodal learning to achieve a deep understanding and intelligent question answering of both the images and textual content of traditional Chinese medicine ancient texts. The system utilizes the VisualBERT model for multimodal feature extraction, combined with Gated Recurrent Units (GRU) to process time-series data from IoT sensors, and employs an attention mechanism to optimize feature fusion, dynamically adjusting the question answering strategy. Experimental evaluations on standard datasets such as VQA v2.0, CMRC 2018, and the Chinese Traditional Medicine Dataset demonstrate that TCM-VQA IoTNet achieves accuracy rates of 72.7%, 69.%, and 75.4% respectively, with F1-scores of 70.3%, 67.5%, and 73.9%, significantly outperforming existing mainstream models. Furthermore, TCM-VQA IoTNet has shown excellent performance in practical applications of traditional Chinese medicine education, significantly enhancing the precision and interactivity of intelligent education. Future research will focus on improving the model's generalization ability and computational efficiency, further expanding its application potential in traditional Chinese medicine diagnosis and education.</t>
  </si>
  <si>
    <t>Bi, Wei; Xiong, Qingzhen; Chen, Xingyi; Du, Qingkun; Wu, Jun; Zhuang, Zhaoyu</t>
  </si>
  <si>
    <t>Wu, J (corresponding author), Shenzhen Univ, Sch Art &amp; Design, Div Arts, Shenzhen 518061, Peoples R China.</t>
  </si>
  <si>
    <t>junwu2021@szu.edu.cn</t>
  </si>
  <si>
    <t>General Projects of Philosophy and Social Sciences Planning in Guangdong Province [GD24CYS17]</t>
  </si>
  <si>
    <t>General Projects of Philosophy and Social Sciences Planning in Guangdong Province</t>
  </si>
  <si>
    <t>Funding This research was supported by the following grant: General Projects of Philosophy and Social Sciences Planning in Guangdong Province for the Year 2024, "Innovative Design Research on Digital Activation of Lingnan Traditional Chinese Medicine Ancient Books," Project Number: GD24CYS17.</t>
  </si>
  <si>
    <t>[Bi, Wei; Xiong, Qingzhen; Chen, Xingyi] Guangdong Univ Finance &amp; Econ, Coll Art &amp; Design, Guangzhou 510320, Peoples R China; [Du, Qingkun] Guangdong Jiangmen Presch Teachers Coll, Coll Arts &amp; Educ, Jiangmen 529000, Peoples R China; [Wu, Jun] Shenzhen Univ, Sch Art &amp; Design, Div Arts, Shenzhen 518061, Peoples R China; [Zhuang, Zhaoyu] Chinese Acad Sci, Shenzhen Inst Adv Technol, Shenzhen 518055, Peoples R China</t>
  </si>
  <si>
    <t>Guangdong University of Finance &amp; Economics; Shenzhen University; Chinese Academy of Sciences; Shenzhen Institute of Advanced Technology, CAS</t>
  </si>
  <si>
    <t>Intelligent visual question answering in TCM education: An innovative application of IoT and multimodal fusion</t>
  </si>
  <si>
    <t>Internet of Things (IoT); TCM education; Visual question answering (VQA); VisualBERT; Multimodal fusion; Deep learning</t>
  </si>
  <si>
    <t>Wu, Jun/AIE-9303-2022</t>
  </si>
  <si>
    <t>Wu, Jun/0000-0001-5645-8844; wei, bi/0000-0001-7326-3563</t>
  </si>
  <si>
    <t>325</t>
  </si>
  <si>
    <t>336</t>
  </si>
  <si>
    <t>10.1016/j.aej.2024.12.052</t>
  </si>
  <si>
    <t>http://dx.doi.org/10.1016/j.aej.2024.12.052</t>
  </si>
  <si>
    <t>U1S7I</t>
  </si>
  <si>
    <t>WOS:001409683900001</t>
  </si>
  <si>
    <t>Xu, CQ; Xu, LC; Zhao, SX; Yu, LQ; Zhang, CJ</t>
  </si>
  <si>
    <t>Soft sensing of yarn quality is critical for process monitoring and quality control in smart manufacturing in the textile industry. However, current methods still suffer from limitations in terms of accuracy because they only consider fixed and singular inputs related to fiber properties and process parameters. This study proposes a complementary knowledge -augmented multimodal learning method that autonomously learns complementary knowledge from the assistant modality of yarn appearance images to compensate for the deviation of the model pretrained by the primary modality of fiber and process parameters. First, a pretraining network is established to extract the feature representations of the primary modality and preliminarily output the yarn quality indices. Next, a feature fusion mechanism composed mainly of a correlation evaluation matrix and fusion gate is designed based on expert knowledge to match the complementary features as a compensation to correct the preliminary outputs. The experimental results from the workshop demonstrate that the proposed method achieves an accuracy of at least 94.53% for the yarn appearance quality indicators. Compared with current yarn quality estimation methods, the proposed method significantly improves the accuracy by at least 2.89%. In particular, the accuracy improved by over 6.94% for the soft sensing of yarn neps.</t>
  </si>
  <si>
    <t>Xu, Chuqiao; Xu, Linchen; Zhao, Shuxuan; Yu, Lianqing; Zhang, Chengjun</t>
  </si>
  <si>
    <t>Zhang, CJ (corresponding author), Wuhan Text Univ, Sch Mech Engn &amp; Automat, Wuhan, Peoples R China.</t>
  </si>
  <si>
    <t>zcj6@wtu.edu.cn</t>
  </si>
  <si>
    <t>Wuhan Applied Basic Frontier Project [2022013988065209]; Wuhan Knowledge Innovation Project [2023010201010115]</t>
  </si>
  <si>
    <t>Wuhan Applied Basic Frontier Project; Wuhan Knowledge Innovation Project</t>
  </si>
  <si>
    <t>This work was supported by Wuhan Applied Basic Frontier Project under Grant (Grant No. 2022013988065209) and Wuhan Knowledge Innovation Project under Grant (Grant No. 2023010201010115) .</t>
  </si>
  <si>
    <t>[Xu, Chuqiao] Wuhan Text Univ, Hubei Key Lab Digital Text Equipment, Wuhan, Peoples R China; [Xu, Chuqiao; Xu, Linchen; Yu, Lianqing; Zhang, Chengjun] Wuhan Text Univ, Sch Mech Engn &amp; Automat, Wuhan, Peoples R China; [Zhao, Shuxuan] Univ Hong Kong, Dept Ind &amp; Mfg Syst Engn, Hong Kong, Peoples R China</t>
  </si>
  <si>
    <t>Wuhan Textile University; Wuhan Textile University; University of Hong Kong</t>
  </si>
  <si>
    <t>Complementary knowledge augmented multimodal learning method for yarn quality soft sensing</t>
  </si>
  <si>
    <t>Soft sensing; Multimodal fusion; Deep learning; Quality monitoring; Yarn manufacturing</t>
  </si>
  <si>
    <t>PREDICTION</t>
  </si>
  <si>
    <t>lianqing, Yu/C-9763-2013; Xu, Chuqiao/KEI-2295-2024; zhao, shuxuan/KFA-7188-2024</t>
  </si>
  <si>
    <t>Xu, Chuqiao/0000-0001-5611-2990; zhao, shuxuan/0000-0001-8089-1197</t>
  </si>
  <si>
    <t>10.1016/j.engappai.2024.108057</t>
  </si>
  <si>
    <t>http://dx.doi.org/10.1016/j.engappai.2024.108057</t>
  </si>
  <si>
    <t>ND2L7</t>
  </si>
  <si>
    <t>WOS:001198446400001</t>
  </si>
  <si>
    <t>Park, J; Ahn, H; Park, E</t>
  </si>
  <si>
    <t>Webtoons, digital versions of cartoons, have become a prominent cultural phenomenon in South Korea. With the increasing number of mobile users, webtoon platforms have become more accessible, allowing people to enjoy this culture, regardless of their location and time. Interestingly, high-quality webtoons have been adapted into other forms of media content, such as movies and dramas, following the concept of 'transmedia storytelling'. Consequently, predicting the professionalisation of webtoon content has become crucial for companies that aim to profit from various content markets. In multimedia, several scholars explored multimodal classifiers for predicting popularity. However, relatively few studies focussed on predicting professionalisation. Building on these findings, we propose a multimodal classifier that leverages images and text to assess the professionalisation of webtoon content. In line with this, we collected and built a dataset, including webtoon thumbnails and stories, from the two largest webtoon platforms in South Korea. The proposed model is developed and originated by an early fusion architecture, combining a long short-term memory framework with Ko-Sentence-Transformer embeddings and convolutional neural networks. The model achieved impressive results, with a 94.17% F1-score and 96.82% accuracy in predicting the professionalisation of the webtoon content. The collected dataset is publicly available at https://github.com/dxlabskku/Webtoon-Popularity.</t>
  </si>
  <si>
    <t>Park, Jinhee; Ahn, Hyeongjin; Park, Eunil</t>
  </si>
  <si>
    <t>Park, E (corresponding author), Sungkyunkwan Univ, Dept Appl Artificial Intelligence, Seoul 03063, South Korea.; Park, E (corresponding author), Sungkyunkwan Univ, Teach Co, Seoul 03063, South Korea.</t>
  </si>
  <si>
    <t>eunilpark@skku.edu</t>
  </si>
  <si>
    <t>Ministry of Science and ICT [RS-2023-00259497]; Information Technology Research Center [RS-2024-00436936]; IITP [RS-2023-00254129]</t>
  </si>
  <si>
    <t>Ministry of Science and ICT (Ministry of Science &amp; ICT (MMSTI)); Information Technology Research Center; IITP (Institute for Information &amp; Communication Technology Planning &amp; Evaluation (IITP), Republic of Korea)</t>
  </si>
  <si>
    <t>This research was supported by the MSIT (Ministry of Science and ICT), Korea, under the ICAN (ICT Challenge and Advanced Network of HRD) support program (RS-2023-00259497), the ITRC (Information Technology Research Center) program (RS-2024-00436936), and the Graduate School of Virtual Convergence support program (RS-2023-00254129) supervised by the IITP (Institute for Information &amp; Communications Technology Planning &amp; Evaluation).</t>
  </si>
  <si>
    <t>[Park, Jinhee; Ahn, Hyeongjin; Park, Eunil] Sungkyunkwan Univ, Dept Appl Artificial Intelligence, Seoul 03063, South Korea; [Park, Eunil] Sungkyunkwan Univ, Teach Co, Seoul 03063, South Korea</t>
  </si>
  <si>
    <t>Sungkyunkwan University (SKKU); Sungkyunkwan University (SKKU)</t>
  </si>
  <si>
    <t>Predicting webtoon professionalisation with two multimodal fusion strategies: a business platform service perspective</t>
  </si>
  <si>
    <t>BEHAVIOUR &amp; INFORMATION TECHNOLOGY</t>
  </si>
  <si>
    <t>Multimodal; Webtoon; multimedia; prediction; professionaization; fusion</t>
  </si>
  <si>
    <t>Park, Eunil/S-9770-2019</t>
  </si>
  <si>
    <t>0144-929X</t>
  </si>
  <si>
    <t>1362-3001</t>
  </si>
  <si>
    <t>BEHAV INFORM TECHNOL</t>
  </si>
  <si>
    <t>Behav. Inf. Technol.</t>
  </si>
  <si>
    <t>10.1080/0144929X.2026.2658719</t>
  </si>
  <si>
    <t>http://dx.doi.org/10.1080/0144929X.2026.2658719</t>
  </si>
  <si>
    <t>Computer Science, Cybernetics; Ergonomics</t>
  </si>
  <si>
    <t>GV3YI</t>
  </si>
  <si>
    <t>WOS:001745957300001</t>
  </si>
  <si>
    <t>Jose, S; Nguyen, KTP; Medjaher, K</t>
  </si>
  <si>
    <t>Prognostics and Health Management (PHM) is crucial for the smooth operation of manufacturing systems, and prevention of potentially costly downtime. While data-driven PHM techniques have gained popularity, their effectiveness in industrial application hinges on data quality. Multimodal learning, integrating insights from various data sources, shows promise in handling real world challenges such as noisy or incomplete data. However, existing literature lacks an in-depth exploration of noise and data incompleteness effects on multimodal-based prognostics, particularly in industrial contexts. This study aims to address this gap by analyzing prognostic performance in varying data quality conditions, aiming to guide practitioners in optimizing data strategies. Through a comparative evaluation, involving different multimodal and unimodal learning models under diverse data conditions, this research offers a potential framework, for advancing the prediction of degradation levels in noisy and missing condition-monitoring data scenarios.</t>
  </si>
  <si>
    <t>Jose, Sagar; Nguyen, Khanh T. P.; Medjaher, Kamal</t>
  </si>
  <si>
    <t>Jose, S (corresponding author), Univ Technol Tarbes Occitanie Pyrenees UTTOP, Lab Genie Prod LGP, 47 Ave Azereix, F-65000 Tarbes, France.</t>
  </si>
  <si>
    <t>sagar.jose@doctorant.uttop.fr</t>
  </si>
  <si>
    <t>Region Occitanie, Communauted'Agglomeration Tarbes-Lourdes-Pyrenees; Ecole Nationaled'Ingenieurs de Tarbes (ENIT)</t>
  </si>
  <si>
    <t>This work was funded by Region Occitanie, Communauted'Agglomeration Tarbes-Lourdes-Pyrenees and Ecole Nationaled'Ingenieurs de Tarbes (ENIT).</t>
  </si>
  <si>
    <t>[Jose, Sagar; Nguyen, Khanh T. P.; Medjaher, Kamal] Univ Technol Tarbes Occitanie Pyrenees UTTOP, Lab Genie Prod LGP, 47 Ave Azereix, F-65000 Tarbes, France</t>
  </si>
  <si>
    <t>Communaute d'universites et etablissements de Toulouse (Comue); Universite de Technologie Tarbes Occitanie Pyrenees; Universite de Toulouse (EPE); Universite de Technologie Tarbes Occitanie Pyrenees</t>
  </si>
  <si>
    <t>Enhancing industrial prognostic accuracy in noisy and missing data context: assessing multimodal learning performance</t>
  </si>
  <si>
    <t>JOURNAL OF INTELLIGENT MANUFACTURING</t>
  </si>
  <si>
    <t>Prognostics; Predictive maintenance; PHM; Multimodal learning; Missing and noisy data; Deep learning</t>
  </si>
  <si>
    <t>MODEL</t>
  </si>
  <si>
    <t>Nguyen, Khanh/AFL-2636-2022</t>
  </si>
  <si>
    <t>Jose, Sagar/0009-0009-6994-8629</t>
  </si>
  <si>
    <t>0956-5515</t>
  </si>
  <si>
    <t>1572-8145</t>
  </si>
  <si>
    <t>J INTELL MANUF</t>
  </si>
  <si>
    <t>J. Intell. Manuf.</t>
  </si>
  <si>
    <t>373</t>
  </si>
  <si>
    <t>397</t>
  </si>
  <si>
    <t>10.1007/s10845-024-02544-7</t>
  </si>
  <si>
    <t>http://dx.doi.org/10.1007/s10845-024-02544-7</t>
  </si>
  <si>
    <t>Computer Science, Artificial Intelligence; Engineering, Manufacturing</t>
  </si>
  <si>
    <t>CV3XM</t>
  </si>
  <si>
    <t>WOS:001377507400001</t>
  </si>
  <si>
    <t>Liu, W; Lu, XB; Wei, Y; Ran, ZD</t>
  </si>
  <si>
    <t>Anomaly detection on the bottom of high-speed trains is crucial for train safety. However, the complexity and variability of anomalies, along with the intricate environment in which they occur, pose significant challenges to timely detection. To address this issue, we propose the Query-guided Multimodal Learning Network (QMLNet) that exploits multimodal information to discover anomalies. Specifically, in QMLNet, the CNN-Transformer Feature Fusion (CFF) Module uses queries to guide the learning and fusion of multi-level visual features, enriching the expressiveness of features at each level for improved prediction of anomaly masks. The Attention-based Mask Refinement (AMR) module generates masks based on the attention mechanism to enhance the features, learns the features using queries, and obtains a global representation of the features at different levels, which will be used along with the textual features for better prediction of the anomaly categories. Compared to state-of-the-art methods, the proposed method achieves superior results on our anomaly dataset, leading by a significant margin. In addition, our method achieves the best performance on the public defect detection dataset, the VISION dataset, significantly outperforming most methods, which proves the generalization and robustness of our approach.</t>
  </si>
  <si>
    <t>Liu, Wei; Lu, Xiaobo; Wei, Yun; Ran, Zhidan</t>
  </si>
  <si>
    <t>Lu, XB (corresponding author), Southeast Univ, Sch Automat, Nanjing 210096, Peoples R China.</t>
  </si>
  <si>
    <t>xblu@seu.edu.cn; liu_wei@seu.edu.cn; 230218198@seu.edu.cn; weiyun2006@bjsubway.com</t>
  </si>
  <si>
    <t>Science and Technology R&amp;D Program of China National Railway Corporation Limited [K2020J002]; National Natural Science Foundation of China [62271143]; Frontier Technologies R&amp;D Program of Jiangsu [BF2024060]; Big Data Computing Center of Southeast University</t>
  </si>
  <si>
    <t>Science and Technology R&amp;D Program of China National Railway Corporation Limited; National Natural Science Foundation of China (National Natural Science Foundation of China (NSFC)); Frontier Technologies R&amp;D Program of Jiangsu; Big Data Computing Center of Southeast University</t>
  </si>
  <si>
    <t>We are grateful for the support of the Science and Technology R&amp;D Program of China National Railway Corporation Limited under Grant K2020J002, the National Natural Science Foundation of China (No. 62271143), the Frontier Technologies R&amp;D Program of Jiangsu (No. BF2024060) and the Big Data Computing Center of Southeast University.</t>
  </si>
  <si>
    <t>[Liu, Wei; Lu, Xiaobo; Ran, Zhidan] Southeast Univ, Sch Automat, Nanjing 210096, Peoples R China; [Liu, Wei; Lu, Xiaobo; Ran, Zhidan] Minist Educ, Key Lab Measurement &amp; Control Complex Syst Engn, Nanjing 210096, Peoples R China; [Wei, Yun] Beijing Mass Transit Railway Operat Corp Ltd, Beijing 100044, Peoples R China</t>
  </si>
  <si>
    <t>Query-guided multimodal learning network for anomaly detection underneath high-speed trains</t>
  </si>
  <si>
    <t>Anomaly detection; Multimodal learning; QMLNet</t>
  </si>
  <si>
    <t>Lu, Xiaobo/HKM-5201-2023; Liu, Wei/PCS-2936-2025; Ran, Zhiran/KZU-9339-2024</t>
  </si>
  <si>
    <t>Liu, Wei/0000-0003-1323-2778</t>
  </si>
  <si>
    <t>103530</t>
  </si>
  <si>
    <t>10.1016/j.inffus.2025.103530</t>
  </si>
  <si>
    <t>http://dx.doi.org/10.1016/j.inffus.2025.103530</t>
  </si>
  <si>
    <t>5RR4N</t>
  </si>
  <si>
    <t>WOS:001542725700002</t>
  </si>
  <si>
    <t>Wang, B; Huang, XL; Cao, G; Yang, LF; Wei, XL; Tao, ZL</t>
  </si>
  <si>
    <t>Unified venue representation is typically generated by integrating multi-modal information of micro-videos. It is also important to achieve reliable multi-modal fusion. In prior works, the reliability of decisions from multiple modalities is limited without the uncertainty estimation, which indicates whether or to what extent such decisions can be trusted. To this end, in this paper an attention-enhanced and trusted multimodal learning (AETML) model is proposed to achieve reasonable multimodal decision fusion for micro-video venue recognition. Specifically, a domain-adaptive visual transformer (VT) is used as the robust visual feature extractor. Denoise autoencoder and sentence2vector methods are applied to extract acoustic and textural features. Then, attention nets are devised to enhance the extracted features, and output class probabilities of each modality. An uncertainty estimation network is constructed to dynamically assess the reliability of such decisions, which are transformed into Dirichlet distribution for modeling the uncertainty. Lastly, trusted prediction results are yielded by integrating the adjusted distributions with uncertainty estimations according to the Dempster-Shafer evidence theory. The experimental results on a public micro-video dataset show that the proposed model outperforms the state-of-the-art methods. Further studies validate the effectiveness and robustness brought by the uncertainty estimation.</t>
  </si>
  <si>
    <t>Wang, Bing; Huang, Xianglin; Cao, Gang; Yang, Lifang; Wei, Xiaolong; Tao, Zhulin</t>
  </si>
  <si>
    <t>Huang, XL (corresponding author), Commun Univ China, State Key Lab Media Convergence &amp; Commun, Beijing 100024, Peoples R China.</t>
  </si>
  <si>
    <t>huangxl@cuc.edu.cn</t>
  </si>
  <si>
    <t>National Key Research and Development Program of China [2019YFB1406201, 2020YFB1406800]; National Natural Science Foundation of China [62071434]; Fundamental Research Funds for the Central Universities [CUC21GZ010, CUC210B017]</t>
  </si>
  <si>
    <t>National Key Research and Development Program of China (National Key Research &amp; Development Program of China); National Natural Science Foundation of China (National Natural Science Foundation of China (NSFC)); Fundamental Research Funds for the Central Universities (Fundamental Research Funds for the Central Universities)</t>
  </si>
  <si>
    <t>Acknowledgments The authors would like to thank the reviewers for their valuable comments. This research is supported by the National Key Research and Development Program of China (No. 2019YFB1406201, 2020YFB1406800) , the National Natural Science Foundation of China under Grant (No. 62071434) , and the Fundamental Research Funds for the Central Universities (Grant No. CUC21GZ010, CUC210B017) .</t>
  </si>
  <si>
    <t>[Wang, Bing; Huang, Xianglin; Cao, Gang; Yang, Lifang; Wei, Xiaolong; Tao, Zhulin] Commun Univ China, State Key Lab Media Convergence &amp; Commun, Beijing 100024, Peoples R China; [Cao, Gang] Commun Univ China, Sch Comp &amp; Cyber Sci, Beijing 100024, Peoples R China</t>
  </si>
  <si>
    <t>Communication University of China; Communication University of China</t>
  </si>
  <si>
    <t>Attention-enhanced and trusted multimodal learning for micro-video venue recognition</t>
  </si>
  <si>
    <t>COMPUTERS &amp; ELECTRICAL ENGINEERING</t>
  </si>
  <si>
    <t>Micro-videovenuerecognition; Multi-modalinformation; Uncertaintyestimation; Visualtransformer; Attentionnet</t>
  </si>
  <si>
    <t>tao, zhulin/PEV-9991-2025</t>
  </si>
  <si>
    <t>0045-7906</t>
  </si>
  <si>
    <t>1879-0755</t>
  </si>
  <si>
    <t>COMPUT ELECTR ENG</t>
  </si>
  <si>
    <t>Comput. Electr. Eng.</t>
  </si>
  <si>
    <t>SEP 2022</t>
  </si>
  <si>
    <t>102</t>
  </si>
  <si>
    <t>108127</t>
  </si>
  <si>
    <t>10.1016/j.compeleceng.2022.108127</t>
  </si>
  <si>
    <t>http://dx.doi.org/10.1016/j.compeleceng.2022.108127</t>
  </si>
  <si>
    <t>JUL 2022</t>
  </si>
  <si>
    <t>Computer Science, Hardware &amp; Architecture; Computer Science, Interdisciplinary Applications; Engineering, Electrical &amp; Electronic</t>
  </si>
  <si>
    <t>3U6KE</t>
  </si>
  <si>
    <t>WOS:000841077000002</t>
  </si>
  <si>
    <t>You, KS; Shao, HD; Wang, YJ; Lin, YH; Gu, YK</t>
  </si>
  <si>
    <t>Loss of Coolant Accident (LOCA) is a critical design-basis accident in Pressurized Water Reactors (PWRs), with current intelligent diagnosis facing challenges of scarce fault samples and poor model interpretability. To address this, this paper proposes a Physical Soft-constraint Interpretable Multimodal Deep Learning (PSCI-MDL) model. First, a multi-scale data enhancement method incorporating pressure-flow ratio, non-negativity, and temperature boundary constraints expands 30 original samples to 330 physically consistent ones. A multimodal feature fusion network is then built, integrating Mamba for time-series modelling, CNN for parametric features, and physical feature processing. Innovatively, physical soft constraints are embedded as regularization terms via discretized differential equations, translating conservation laws into differentiable loss functions to align the model with engineering principles. A fault interpreter is developed to generate natural-language diagnostic reasoning through gradient analysis and a physics rule engine. Experiments show the method improves LOCA diagnosis accuracy from 45% to over 99.5% and reduces physical constraint loss by more than 32%, indicating that the model's predictions more closely adhere to the fundamental conservation laws (mass, energy, and momentum) that are mandated by nuclear safety analysis standards. Interpretability validation indicates a pressure feature weight of 0.48 (+/- 0.03) for cold-leg LOCA, and explanations such as "severe primary pressure drop (below 30%) suggests LOCA" achieve 96.7% consistency with expert judgment. This work offers a high-accuracy, interpretable solution for Small-sample Fault Diagnosis in nuclear power plants.</t>
  </si>
  <si>
    <t>You, Keshun; Shao, Haidong; Wang, Yajun; Lin, Yanhui; Gu, Yingkui</t>
  </si>
  <si>
    <t>You, KS (corresponding author), Univ South China, Coll Elect Engn, 228,Hengyi Rd, Hengyang 421101, Peoples R China.; Gu, YK (corresponding author), Jiangxi Univ Sci &amp; Technol, Coll Mech &amp; Elect Engn, Ganzhou 341000, Peoples R China.</t>
  </si>
  <si>
    <t>2025001055@usc.edu.cn</t>
  </si>
  <si>
    <t>National Natural Science Foundation of China [52275104, 62563014, 22409083]; Outstanding Young Talent Program of the Hunan Provincial Department of Education [25B0388]; Natural Sciences Project of the University of South China [5525QD049, 200XOD055]</t>
  </si>
  <si>
    <t>National Natural Science Foundation of China (National Natural Science Foundation of China (NSFC)); Outstanding Young Talent Program of the Hunan Provincial Department of Education; Natural Sciences Project of the University of South China</t>
  </si>
  <si>
    <t>Funding Information This work was supported in part by the supported by the National Natural Science Foundation of China (No. 52275104, 62563014, 22409083) , Outstanding Young Talent Program of the Hunan Provincial Department of Education (25B0388) , and Natural Sciences Project of the University of South China (5525QD049, 200XOD055) .</t>
  </si>
  <si>
    <t>[You, Keshun; Wang, Yajun] Univ South China, Coll Elect Engn, 228,Hengyi Rd, Hengyang 421101, Peoples R China; [Shao, Haidong] Hunan Univ, Coll Mech &amp; Vehicle Engn, Changsha 410082, Peoples R China; [Lin, Yanhui] Fujian Makeng Min Co Ltd, Longyan 361000, Peoples R China; [Gu, Yingkui] Jiangxi Univ Sci &amp; Technol, Coll Mech &amp; Elect Engn, Ganzhou 341000, Peoples R China</t>
  </si>
  <si>
    <t>University of South China; Hunan University; Jiangxi University of Science &amp; Technology</t>
  </si>
  <si>
    <t>A physical soft-constraint interpretability-based multimodal deep learning model for small-sample fault diagnosis of pressurized water reactor coolant systems in nuclear power plants</t>
  </si>
  <si>
    <t>Loss of Coolant Accident (LOCA); Physical Soft-constraint; Multimodal Deep Learning; Interpretability; Small-sample Fault Diagnosis</t>
  </si>
  <si>
    <t>333</t>
  </si>
  <si>
    <t>133978</t>
  </si>
  <si>
    <t>10.1016/j.eswa.2026.133978</t>
  </si>
  <si>
    <t>http://dx.doi.org/10.1016/j.eswa.2026.133978</t>
  </si>
  <si>
    <t>MT6RD</t>
  </si>
  <si>
    <t>WOS:001850612400001</t>
  </si>
  <si>
    <t>Chen, K; Li, XM; Ling, WC; Pu, XH; Song, XD</t>
  </si>
  <si>
    <t>To address the limitations of traditional single-modal fault diagnosis methods, which often suffer from incomplete information representation, inadequate extraction of subtle features, and poor robustness under strong noise interference, this study proposes a parallel three-branch deep learning model that integrates time-domain, frequency-domain, and image modalities. In the time-domain branch, a layered 1D temporal calibration convolutional neural network block is employed to adaptively capture multi-scale impact and periodic features, combined with a Bidirectional Gated Recurrent Unit (BiGRU) with attention mechanism to exploit long-range dependencies. The frequency-domain branch utilizes multi-band focused convolution to extract band-specific features and harmonic information, while a BiGRU is used to model temporal relationships in the frequency domain. The image branch introduces a lightweight Swin-TwoLite model to achieve efficient feature extraction. The feature tensors extracted from the three branches are then concatenated along the column dimension to realize multimodal feature fusion, which fully ensures the information complementarity of cross-modal features and avoids the loss of fault-related feature information. Experiments on the CWRU dataset and laboratory-measured data demonstrate accuracies of 99.7%-99.64%, respectively, validating the superiority of the proposed method in terms of accuracy, efficiency, and robustness.</t>
  </si>
  <si>
    <t>Chen, Kun; Li, Xiumei; Ling, Wenchao; Pu, Xiahua; Song, Xudong</t>
  </si>
  <si>
    <t>Li, XM (corresponding author), Dalian Jiaotong Univ, Dalian 116000, Liaoning, Peoples R China.; Li, XM (corresponding author), Dalian Jiaotong Univ, Sch Rail Intelligent Engn, Dalian 116000, Liaoning, Peoples R China.</t>
  </si>
  <si>
    <t>lxmhua@163.com</t>
  </si>
  <si>
    <t>Liaoning Provincial Department of Transportation Project [2023-360-17]; Liaoning Provincial Department of Science and Technology Project [2022JH2/101300268]; at Public Universities [LJ212410150037, LJ212410150047]</t>
  </si>
  <si>
    <t>Liaoning Provincial Department of Transportation Project; Liaoning Provincial Department of Science and Technology Project; at Public Universities</t>
  </si>
  <si>
    <t>We gratefully acknowledge all contributors who assisted in the development of this work.</t>
  </si>
  <si>
    <t>[Chen, Kun; Li, Xiumei; Ling, Wenchao; Pu, Xiahua; Song, Xudong] Dalian Jiaotong Univ, Dalian 116000, Liaoning, Peoples R China; [Chen, Kun; Li, Xiumei; Ling, Wenchao; Pu, Xiahua; Song, Xudong] Dalian Jiaotong Univ, Sch Rail Intelligent Engn, Dalian 116000, Liaoning, Peoples R China</t>
  </si>
  <si>
    <t>Dalian Jiaotong University; Dalian Jiaotong University</t>
  </si>
  <si>
    <t>A deep learning approach for bearing fault diagnosis based on time-frequency-image multimodal fusion</t>
  </si>
  <si>
    <t>fault diagnosis; multimodal fusion; Gramian Angular Field (GAF); parallel three-branch architecture; BiGRU</t>
  </si>
  <si>
    <t>MAY 1 2026</t>
  </si>
  <si>
    <t>105404</t>
  </si>
  <si>
    <t>10.1088/2631-8695/ae6b04</t>
  </si>
  <si>
    <t>http://dx.doi.org/10.1088/2631-8695/ae6b04</t>
  </si>
  <si>
    <t>LM8FN</t>
  </si>
  <si>
    <t>WOS:001828317000001</t>
  </si>
  <si>
    <t>de Gevigney, VD; Nicastro, N; Garibotto, V; Schmid, J</t>
  </si>
  <si>
    <t>Dopamine transporter (DAT) SPECT is a validated biomarker for Parkinson's disease (PD) and related degenerative parkinsonisms. Interpretation relies on visual assessment supported by striatal image features such as striatal binding ratios (SBRs). Deep learning can aid this process but often underuses complementary data, lacks robustness to heterogeneous inputs, and offers limited interpretability. We built an end-to-end multimodal framework that encodes DAT images and scalar data (patient age and striatal image features) using, respectively, a vision transformer and a multilayer perceptron. A transformer-based fusion module then combined the encoded representations, while tackling possible missing inputs. Interpretability was provided through modality-level attention, spatial attention maps, occlusion analysis, and scalar feature saliency. Performance was evaluated on 664 Parkinson's Progression Markers Initiative (PPMI) cases and two local datasets A (N = 228) and B (N = 530) from different devices, including PD, atypical parkinsonisms, and non-degenerative subjects. Transfer learning involved pretraining on two datasets and finetuning on the third. On PPMI, the model reached 97.4% AUROC, 95.5% accuracy, 97.0% sensitivity, and 91.9% specificity, matching state-of-the-art performance. Results were similar on dataset B (98.6% AUROC) but lower on dataset A (92.6% AUROC), likely due to its smaller size and reduced image quality. Explainability analyses showed the model focused on clinically relevant striatal regions and identified key scalar features such as putamen SBR and asymmetry. The fusion module also supported stable predictions despite missing data. Our method efficiently combined multimodal data with heterogeneous datasets and partial multimodal data. Integrated explainability tools showed clinically meaningful attention that is expected to favor its adoption.</t>
  </si>
  <si>
    <t>de Gevigney, Valentin Durand; Nicastro, Nicolas; Garibotto, Valentina; Schmid, Jerome</t>
  </si>
  <si>
    <t>de Gevigney, VD (corresponding author), HES SO Univ Appl Sci &amp; Arts Western Switzerland, Geneva Sch Hlth Sci, Geneva, Switzerland.</t>
  </si>
  <si>
    <t>nicolas.nicastro@hug.ch; jerome.schmid@hesge.ch; valentina.garibotto@hug.ch; valentin.durand-de-gevigney@hesge.ch</t>
  </si>
  <si>
    <t>GE Healthcare</t>
  </si>
  <si>
    <t>GE Healthcare (General Electric, GE Healthcare)</t>
  </si>
  <si>
    <t>VG, VDG and JS were partially funded by GE Healthcare for this study.</t>
  </si>
  <si>
    <t>[de Gevigney, Valentin Durand; Schmid, Jerome] HES SO Univ Appl Sci &amp; Arts Western Switzerland, Geneva Sch Hlth Sci, Geneva, Switzerland; [Nicastro, Nicolas] Geneva Univ Hosp, Dept Clin Neurosci, Geneva, Switzerland; [Garibotto, Valentina] Geneva Univ Hosp, Div Nucl Med &amp; Mol Imaging, Geneva, Switzerland; [Garibotto, Valentina] Univ Geneva, Fac Med, NIMTlab, Geneva, Switzerland; [Garibotto, Valentina] Ctr Biomed Imaging CIBM, Geneva, Switzerland</t>
  </si>
  <si>
    <t>University of Applied Sciences &amp; Arts Western Switzerland; University of Geneva; University of Geneva; University of Geneva</t>
  </si>
  <si>
    <t>Multimodal Fusion and Transfer Learning for the Detection of Degenerative Parkinsonisms with Dopamine Transporter SPECT Imaging</t>
  </si>
  <si>
    <t>DAT SPECT; Parkinson's disease; Degenerative parkinsonisms; Multimodality; Transfer learning; Deep learning</t>
  </si>
  <si>
    <t>DIAGNOSIS; DISEASE; CLASSIFICATION; ACCURACY; CRITERIA</t>
  </si>
  <si>
    <t>Nicastro, Nicolas/AAB-7317-2020; Garibotto, Valentina/I-6917-2012</t>
  </si>
  <si>
    <t>Durand de Gevigney, Valentin/0000-0002-8714-9355; Garibotto, Valentina/0000-0003-2422-698X; Schmid, Jerome/0000-0003-2464-8971</t>
  </si>
  <si>
    <t>10.1007/s10278-025-01831-w</t>
  </si>
  <si>
    <t>http://dx.doi.org/10.1007/s10278-025-01831-w</t>
  </si>
  <si>
    <t>CH0AI</t>
  </si>
  <si>
    <t>41559510</t>
  </si>
  <si>
    <t>WOS:001665562800001</t>
  </si>
  <si>
    <t>Wang, P; Liu, WH; Hang, B</t>
  </si>
  <si>
    <t>Umami peptides are a class of functional biomolecules that significantly enhance food flavor, holding substantial application value in the food industry and nutritional science. Traditional prediction methods rely heavily on manual feature engineering, failing to adequately capture the complex semantic information and spatial structural characteristics of peptide sequences. This study presents UmamiFusion, a multimodal deep learning framework that integrates sequence local patterns with spatial structural features through attention-enhanced fusion to overcome the limitations of single-modal modeling approaches. Specifically, the protein language model ESM2 is employed to generate graph-structured representations of peptide molecules (with nodes representing amino acid residues and edges defining spatial contact relationships), combined with graph convolutional networks to extract high-order topological features. Simultaneously, one-dimensional convolutional neural networks (1D-CNNs) capture local contextual information from amino acid sequences. A bidirectional cross- attention mechanism enables adaptive interaction between graph nodes and sequence positions before the features are concatenated and fed into a multilayer perceptron for end-to-end classification. Experimental results on two meticulously constructed datasets, UMP442 and UMP614, demonstrate that UmamiFusion achieves accuracies of 96.27% and 98.24%, respectively, with MCC scores of 0.8214 and 0.8529, and AUC values of 0.9711 and 0.9879, significantly surpassing current state-of-the-art models. This research validates the critical role of attention-enhanced multimodal feature fusion in umami peptide prediction, providing an efficient computational tool for high-throughput screening of functional peptides and food flavor optimization.</t>
  </si>
  <si>
    <t>Wang, Pu; Liu, Weihao; Hang, Bo</t>
  </si>
  <si>
    <t>Liu, WH (corresponding author), Hubei Univ Arts &amp; Sci, Comp Sch, Longzhong Rd, Xiangyang 441053, Hubei, Peoples R China.</t>
  </si>
  <si>
    <t>liuweihao_kx@yeah.net; bohang@163.com; nywangpu@yeah.net</t>
  </si>
  <si>
    <t>Natural Science Foundation of Hubei Province in China [2024AFD038]</t>
  </si>
  <si>
    <t>Natural Science Foundation of Hubei Province in China (Natural Science Foundation of Hubei Province)</t>
  </si>
  <si>
    <t>This work was supported by the Natural Science Foundation of Hubei Province in China (2024AFD038).</t>
  </si>
  <si>
    <t>[Wang, Pu; Liu, Weihao; Hang, Bo] Hubei Univ Arts &amp; Sci, Comp Sch, Longzhong Rd, Xiangyang 441053, Hubei, Peoples R China</t>
  </si>
  <si>
    <t>Hubei University of Arts &amp; Science</t>
  </si>
  <si>
    <t>Umamifusion: attention-enhanced multimodal fusion of graph and sequence features for umami peptide identification</t>
  </si>
  <si>
    <t>MOLECULAR DIVERSITY</t>
  </si>
  <si>
    <t>Umami peptides; Multimodal deep learning; Graph convolutional networks; Cross-attention mechanism; ESM</t>
  </si>
  <si>
    <t>1381-1991</t>
  </si>
  <si>
    <t>1573-501X</t>
  </si>
  <si>
    <t>MOL DIVERS</t>
  </si>
  <si>
    <t>Mol. Divers.</t>
  </si>
  <si>
    <t>10.1007/s11030-026-11699-9</t>
  </si>
  <si>
    <t>http://dx.doi.org/10.1007/s11030-026-11699-9</t>
  </si>
  <si>
    <t>Biochemistry &amp; Molecular Biology; Chemistry, Applied; Chemistry, Medicinal; Chemistry, Multidisciplinary</t>
  </si>
  <si>
    <t>MZ0MG</t>
  </si>
  <si>
    <t>42625104</t>
  </si>
  <si>
    <t>WOS:001854274100001</t>
  </si>
  <si>
    <t>Zou, ZB; Jiang, T; Zhang, N; Wang, YZ; Xue, TC; Luan, J</t>
  </si>
  <si>
    <t>Due to the semantic gap and distribution discrepancy between the source and target domains, cross-language software vulnerability detection remains a significant challenge. To address this issue, this paper proposes CLMDA, a cross-language vulnerability detection framework based on multimodal learning and domain adaptation. CLMDA integrates three complementary modalities: token sequences, dynamic execution paths, and code property graphs, to comprehensively capture the syntactic and semantic features of code. For each modality, specific feature extractors are designed: a pre-trained model is employed to process token sequences, a Transformer encoder is employed to represent dynamic path information, and a graph attention network is applied to model code property graphs. In order to alleviate the distribution discrepancy across languages, a class-balance-driven cross-domain adaptive learning strategy is designed in this study to enhance inter-modal alignment. In this study, C/C++ is adopted as the source domain, while Java serves as the target domain. Finally, multimodal features are fused for vulnerability prediction. Experimental results on benchmark datasets demonstrate that, compared with other state-of-the-art methods, CLMDA achieves an improvement in F1 score ranging from 14.26% to 55.32%, with the Matthews Correlation Coefficient exhibits a maximum increase of nearly 70%.</t>
  </si>
  <si>
    <t>Zou, Zhengbin; Jiang, Tao; Zhang, Nan; Wang, Yizheng; Xue, Tiancheng; Luan, Jie</t>
  </si>
  <si>
    <t>Jiang, T (corresponding author), Yunnan Minzu Univ, Yuehua St, Kunming 650504, Yunnan, Peoples R China.</t>
  </si>
  <si>
    <t>jtzwyinternet73@163.com</t>
  </si>
  <si>
    <t>National Natural Science Foundation of China [61363022]</t>
  </si>
  <si>
    <t>This research was funded solely by the National Natural Science Foundation of China (Grant No. 61363022) . We would like to express our heartfelt gratitude to all individuals and institutions that provided assistance and support.</t>
  </si>
  <si>
    <t>[Zou, Zhengbin; Jiang, Tao; Zhang, Nan; Wang, Yizheng; Xue, Tiancheng; Luan, Jie] Yunnan Minzu Univ, Yuehua St, Kunming 650504, Yunnan, Peoples R China</t>
  </si>
  <si>
    <t>Yunnan Minzu University</t>
  </si>
  <si>
    <t>CLMDA:Cross language vulnerability detection based on multimodal learning and domain adaptation</t>
  </si>
  <si>
    <t>Multimodality; Domain adaptation; Code property graph; Graph attention network; Cross-Domain adaptive learning</t>
  </si>
  <si>
    <t>FEATURE FUSION</t>
  </si>
  <si>
    <t>88</t>
  </si>
  <si>
    <t>115336</t>
  </si>
  <si>
    <t>10.1016/j.knosys.2026.115336</t>
  </si>
  <si>
    <t>http://dx.doi.org/10.1016/j.knosys.2026.115336</t>
  </si>
  <si>
    <t>CV0JB</t>
  </si>
  <si>
    <t>WOS:001675093000001</t>
  </si>
  <si>
    <t>Chen, RZ; Qiu, HJ; Yao, Z; Wang, YN; Liu, M</t>
  </si>
  <si>
    <t>Digital reconstruction of three-dimensional neuronal morphology from whole-brain images is vital for neuroscience research. However, due to gaps and blurriness in neuronal images, as well as densely crossed neuronal fibers, most automatic reconstruction algorithms may generate incomplete neuronal tracing results or contain errors and ambiguities during single-cell-level reconstructions. To address these issues, this study proposes an automatic algorithm based on graph convolution networks (GCNs) and multimodal feature fusion to detect and repair crossover and disconnection errors in neural reconstruction results. Firstly, an image feature encoder (IFE) based on spherical feature extraction and 2D CNN, and a topological feature encoder (TFE) based on multi-layer perceptron are designed to extract features of neuron nodes from three-dimensional images and morphological graph data, respectively. Then, these features are input into a Transformer and GCNs based classifier, called the Topological Error Detection Network (TED-Net), for detecting and removing incorrectly connected nodes, thereby eliminating false connections in cross structures. Finally, a decoder called Topological Link Prediction Network (TLP-Net) will further decode the shape of neurons from the hidden features of the nodes, achieving the repair of disconnected structures. In experiments on mouse whole-brain images, our method reduced the spatial distance (SD) metric of the reconstruction results by 87.91%, confirming the significant advantages of our approach for single-cell-level neuronal reconstruction in whole-brain images. Furthermore, we have established a publicly available dataset to evaluate the automatic detection and repair of neuronal reconstruction errors, demonstrating the superiority of our method compared to other state-of-the-art approaches.</t>
  </si>
  <si>
    <t>Chen, Runze; Qiu, Hongji; Yao, Zhao; Wang, Yaonan; Liu, Min</t>
  </si>
  <si>
    <t>Liu, M (corresponding author), Hunan Univ, Sch Artificial Intelligence &amp; Robot, Changsha 410082, Peoples R China.; Liu, M (corresponding author), Hunan Univ, Natl Engn Lab Robot Visual Percept &amp; Control Techn, Changsha 410082, Peoples R China.</t>
  </si>
  <si>
    <t>yaonan@hnu.edu.cn; runzechen@hnu.edu.cn; qiuhongji@hnu.edu.cn; liu_min@hnu.edu.cn; yaozhao24@hnu.edu.cn</t>
  </si>
  <si>
    <t>National Natural Science Foundation of China [62425305]</t>
  </si>
  <si>
    <t>This work was supported by the National Natural Science Foundation of China under Grants 62425305.</t>
  </si>
  <si>
    <t>[Chen, Runze; Qiu, Hongji; Yao, Zhao; Wang, Yaonan; Liu, Min] Hunan Univ, Sch Artificial Intelligence &amp; Robot, Changsha 410082, Peoples R China; [Chen, Runze; Qiu, Hongji; Yao, Zhao; Wang, Yaonan; Liu, Min] Hunan Univ, Natl Engn Lab Robot Visual Percept &amp; Control Techn, Changsha 410082, Peoples R China</t>
  </si>
  <si>
    <t>Hunan University; Hunan University</t>
  </si>
  <si>
    <t>A multimodal fusion model based on graph convolutional network for 3D neural morphology optimization</t>
  </si>
  <si>
    <t>Neuron reconstruction; Multimodal fusion; Graph convolutional network; Neuron morphology; Topological feature point</t>
  </si>
  <si>
    <t>177</t>
  </si>
  <si>
    <t>113267</t>
  </si>
  <si>
    <t>10.1016/j.patcog.2026.113267</t>
  </si>
  <si>
    <t>http://dx.doi.org/10.1016/j.patcog.2026.113267</t>
  </si>
  <si>
    <t>DY8YZ</t>
  </si>
  <si>
    <t>WOS:001695360600001</t>
  </si>
  <si>
    <t>Xi, MJ; Liu, PS; Yu, SS</t>
  </si>
  <si>
    <t>User-generated videos (UGVs) have become a dominant form of online content on social media. Predicting popular UGVs holds substantial commercial value in fields such as advertising, edge computing, and recommender systems. However, this research faces the following challenges: (1) UGVs can be described by a variety of heterogeneous content features; (2) capturing popularity trends requires consideration of their mixed patterns; (3) the influence of content and popularity trend features on popularity evolution varies across different time periods. In this paper, we propose a Temporal Information-aware Multimodal Learning network (TIML) to address these challenges, based on data collected from the leading UGV platform Bilibili. First, by analyzing the evolution patterns of UGV popularity, we extract four types of temporal context features: non-workday eve, non-workday, published day count, and time period. Second, we extract a set of multimodal content features-including visual, acoustic, textual, social, and metadata-to represent UGV static attributes. Third, we propose a Hierarchical Popularity Trend Feature Extraction network (HPTFE) as the temporal modeling module to effectively capture popularity trends. Finally, we design a Time-aware Attention Feature Fusion (TAFF) method to adaptively fuse content and popularity trend features by modulating the attention mechanism with temporal context features. Our proposed TIML significantly outperforms baseline methods on two real-world datasets, with improvements of 17.87% and 13.23% in MSE. Code and dataset are available at https://github.com/RolyPo1y/TIML.</t>
  </si>
  <si>
    <t>Xi, Mingjun; Liu, Pingshan; Yu, Seshu</t>
  </si>
  <si>
    <t>Liu, PS (corresponding author), Guilin Univ Elect Technol, Sch Business, Guilin 541004, Guangxi, Peoples R China.</t>
  </si>
  <si>
    <t>22032303108@mails.guet.edu.cn; yuseshu@mails.guet.edu.cn; ps.liu@foxmail.com</t>
  </si>
  <si>
    <t>Guangxi Key Research and Development Program [GuikeAB22080065]; Key Research and Development Program of Guangxi [61762029]; National Natural Science Foundation of China</t>
  </si>
  <si>
    <t>Guangxi Key Research and Development Program; Key Research and Development Program of Guangxi; National Natural Science Foundation of China (National Natural Science Foundation of China (NSFC))</t>
  </si>
  <si>
    <t>This research was funded by the Key Research and Development Program of Guangxi (Grant No. GuikeAB22080065), and the National Natural Science Foundation of China (Grant No. 61762029).</t>
  </si>
  <si>
    <t>[Xi, Mingjun; Yu, Seshu] Guilin Univ Elect Technol, Sch Comp Sci &amp; Informat Secur, Guilin 541004, Guangxi, Peoples R China; [Liu, Pingshan] Guilin Univ Elect Technol, Sch Business, Guilin 541004, Guangxi, Peoples R China</t>
  </si>
  <si>
    <t>Guilin University of Electronic Technology; Guilin University of Electronic Technology</t>
  </si>
  <si>
    <t>Temporal information-aware multimodal learning network for user-generated video popularity prediction</t>
  </si>
  <si>
    <t>User-generated videos; Popularity prediction; Multimodal fusion; Temporal context</t>
  </si>
  <si>
    <t>ONLINE; SENTIMENT</t>
  </si>
  <si>
    <t>OCT 17 2025</t>
  </si>
  <si>
    <t>454</t>
  </si>
  <si>
    <t>10.1007/s00530-025-02042-7</t>
  </si>
  <si>
    <t>http://dx.doi.org/10.1007/s00530-025-02042-7</t>
  </si>
  <si>
    <t>8TQ8U</t>
  </si>
  <si>
    <t>WOS:001597070100006</t>
  </si>
  <si>
    <t>Alrashoud, M; Shaukat, F; Ashraf, Z</t>
  </si>
  <si>
    <t>Movie genre classification is essential for organizing cinematic content, improving recommendation systems, and supporting market analysis. Unimodal approaches relying solely on plot summaries often fail to capture experiential insights from user reviews, limiting their ability to model genre-specific nuances. Multimodality, which integrates diverse data sources such as textual narratives user-generated feedback, addresses this by leveraging complementary information for richer representations. This paper introduces a novel framework called Multimodal Graph Attention Network (MGAN), which integrates Graph Neural Networks (GNNs) with a late fusion attention mechanism to model relational structures in plot summaries and user reviews. Utilizing DeBERTa (Decoding-enhanced BERT with disentangled attention) for plot embeddings, leveraging its strength in capturing deep contextual nuances in narrative texts, and MiniLM (Miniature Language Model) for review embeddings, benefiting from computational efficiency and effectiveness in processing short, sentiment-rich content, MGAN leverages the Trailers12K and Large Movie Review Dataset (LMRD) to achieve a micro-average precision (mu AP) of 87.50%, surpassing state-of-the-art models like DeBERTa (80.07%) and the Genre Attention Model (83.63%). MGAN notably achieves a Hamming Loss of 0.069, indicating high prediction fidelity in multi-label classification tasks. MGAN offers significant improvements in both performance interpretability, supported by SHAP (SHapley Additive exPlanations) explainable AI. Its design strikes balance between relational learning and computational efficiency, making it a robust solution for scalable, text-based multimedia genre classification in real-world applications.</t>
  </si>
  <si>
    <t>Alrashoud, Mubarak; Shaukat, Faheem; Ashraf, Zeeshan</t>
  </si>
  <si>
    <t>Ashraf, Z (corresponding author), Grand Asian Univ Sialkot, Dept Comp Sci &amp; Software Engn, Sialkot 51040, Pakistan.</t>
  </si>
  <si>
    <t>zeeshan.ashraf@ieee.org</t>
  </si>
  <si>
    <t>King Saud University, Saudi Arabia [ORF-RC-2025-2000]</t>
  </si>
  <si>
    <t>This work was supported by King Saud University, Saudi Arabia, under Project ORF-RC-2025-2000.</t>
  </si>
  <si>
    <t>[Alrashoud, Mubarak] King Saud Univ, Coll Comp &amp; Informat Sci, Chair Smart Technol, Dept Software Engn, Riyadh 11543, Saudi Arabia; [Shaukat, Faheem] Iqra Univ, Dept Comp &amp; Technol, Islamabad Campus, Islamabad 44000, Pakistan; [Ashraf, Zeeshan] Grand Asian Univ Sialkot, Dept Comp Sci &amp; Software Engn, Sialkot 51040, Pakistan</t>
  </si>
  <si>
    <t>King Saud University; Iqra University; Grand Asian University Sialkot</t>
  </si>
  <si>
    <t>Leveraging Graph Neural Networks and Multimodal Fusion for Enhanced Movie Genre Classification With Plots and Reviews</t>
  </si>
  <si>
    <t>Classification; graph neural networks; multimodal fusion; multimodal fusion; text analysis; text analysis; movie reviews; movie reviews; plot summaries; plot summaries; attention mechanism; attention mechanism; MiniLM; MiniLM; MiniLM</t>
  </si>
  <si>
    <t>Alrashoud, Mubarak/ABD-1261-2020; Ashraf, Zeeshan/NXC-2724-2025; Shaukat, Faheem/LCD-7151-2024</t>
  </si>
  <si>
    <t>Alrashoud, Mubarak/0000-0002-5902-7414; Ashraf, Zeeshan/0000-0002-2700-5982; Shaukat, Faheem/0009-0001-9842-3380</t>
  </si>
  <si>
    <t>177366</t>
  </si>
  <si>
    <t>177381</t>
  </si>
  <si>
    <t>10.1109/ACCESS.2025.3620217</t>
  </si>
  <si>
    <t>http://dx.doi.org/10.1109/ACCESS.2025.3620217</t>
  </si>
  <si>
    <t>8TJ7G</t>
  </si>
  <si>
    <t>WOS:001596883500006</t>
  </si>
  <si>
    <t>Ichou, IA; Elouaham, S; Nassiri, B; Isknan, J</t>
  </si>
  <si>
    <t>Phonocardiogram (PCG) signals offer a non-invasive, low-cost screening tool for cardiovascular diseases. However, their noisy and non-stationary nature makes automated classification challenging, and traditional methods often fail to capture complex spectral-temporal patterns. This study proposes a multimodal deep learning architecture for the binary classification of heart sounds (Healthy vs. Unhealthy). The hybrid model integrates Convolutional Neural Networks (CNNs), Transformer encoders, and Bidirectional Long Short-Term Memory (BiLSTM) networks with an attention mechanism. It utilizes an early-fusion feature extraction pipeline combining MFCCs, Mel-spectrograms, and Chroma descriptors. To ensure robust evaluation and prevent data leakage, SMOTE is applied exclusively to the training folds within a strict zero-leakage, patient-wise 5-fold cross-validation protocol. The proposed framework demonstrates exceptional performance, achieving an average accuracy of 91.67%, a sensitivity of 80.95%, a specificity of 94.46%, and an AUC-ROC of 96.50%. An ablation study confirms that integrating Transformer and BiLSTM modules significantly enhances diagnostic stability over baseline CNNs. Furthermore, with exactly 858,434 parameters (3.27 MB) and interpretable attention maps, this highly optimized model provides a robust assistive solution suitable for deployment in digital stethoscopes and mobile telemedicine systems.</t>
  </si>
  <si>
    <t>Ait Ichou, Ilyas; Elouaham, Samir; Nassiri, Boujemaa; Isknan, Jamal</t>
  </si>
  <si>
    <t>Ichou, IA (corresponding author), Ibn Zohr Univ, Natl Sch Appl Sci ENSA, LISTI Lab, Agadir 80000, Morocco.</t>
  </si>
  <si>
    <t>ilyas.aitichou.52@edu.uiz.ac.ma; elouaham.s@ucd.ac.ma; jamal.isknan.82@edu.uiz.ac.ma; boujemaa.nassiri@e-polytechnique.ma</t>
  </si>
  <si>
    <t>[Ait Ichou, Ilyas; Elouaham, Samir; Isknan, Jamal] Ibn Zohr Univ, Natl Sch Appl Sci ENSA, LISTI Lab, Agadir 80000, Morocco; [Nassiri, Boujemaa] Int Univ Agadir Universiapolis, InterDisciplinary Appl Res Lab LIDRA, Agadir 80000, Morocco</t>
  </si>
  <si>
    <t>Ibn Zohr University of Agadir</t>
  </si>
  <si>
    <t>Deep Multimodal Learning for Heart Sound Classification Using CNN, Transformer, and BiLSTM with Attention</t>
  </si>
  <si>
    <t>SYMMETRY-BASEL</t>
  </si>
  <si>
    <t>Phonocardiogram; SMOTE; CNN-Transformer-BiLSTM</t>
  </si>
  <si>
    <t>NEURAL-NETWORKS; RECOGNITION; FEATURES; MURMURS</t>
  </si>
  <si>
    <t>ELOUAHAM, SAMIR/JXM-8886-2024</t>
  </si>
  <si>
    <t>isknan, jamal/0009-0009-0199-0740</t>
  </si>
  <si>
    <t>2073-8994</t>
  </si>
  <si>
    <t>Symmetry-Basel</t>
  </si>
  <si>
    <t>MAR 25 2026</t>
  </si>
  <si>
    <t>556</t>
  </si>
  <si>
    <t>10.3390/sym18040556</t>
  </si>
  <si>
    <t>http://dx.doi.org/10.3390/sym18040556</t>
  </si>
  <si>
    <t>HB7QC</t>
  </si>
  <si>
    <t>WOS:001750276400001</t>
  </si>
  <si>
    <t>Yao, HF; Yang, XY; Wang, Y; Wang, CX; Sun, YM; Jiang, YY; Liang, L; Zhang, Q; Liu, HC; Li, HM; Wei, X; Chen, YD; Lu, MY; Zhang, YM</t>
  </si>
  <si>
    <t>Background and Purpose Accurate prediction of drug-target interactions (DTIs) and drug-disease interactions (DDIs) are critical for accelerating the drug discovery process. However, conventional unimodal approaches struggle to capture the complex biochemical and pharmacological relationships between drugs and targets, thereby limiting model accuracy and generalisability. Hence, it is essential to develop innovative approaches that can enhance predictive performance.Experimental Approach To overcome these limitations, we introduce DrugGPS as a novel multimodal predictive framework. DrugGPS integrates heterogeneous biological data, using a multi-channel feature fusion strategy guided by attention mechanisms for highly accurate DTI and DDI prediction.Key Results DrugGPS integrates structural and sequential representations, biological relational networks and similarity-based graphs to learn enriched feature embeddings. It adopts an attention-based fusion module to distil and integrate cross-channel information, strengthening its ability to characterise complex chemical-biological interactions. Additionally, the framework incorporates MeSH-derived disease features to unify the modelling of drug-target-disease associations, thus providing deeper insights into therapeutic mechanisms. A case study on the mineralocorticoid receptor (MR) verifies its utility with the model by identifying four experimentally validated active compounds. An interactive visualisation platform was developed to explore predicted DTI and DDI interactions. Extensive experiments on public datasets show that DrugGPS outperforms state-of-the-art methods in accuracy, robustness and computational efficiency, demonstrating its potential for intelligent drug discovery and repositioning.Conclusion and Implications These findings indicate the potential of DrugGPS to improve DTI and DDI interaction predictions for drug repositioning, and its potential in accelerating drug development and discovery.</t>
  </si>
  <si>
    <t>Yao, Huifeng; Yang, Xinyi; Wang, Yu; Wang, Chenxiao; Sun, Yiming; Jiang, Yunya; Liang, Li; Zhang, Qing; Liu, Haichun; Li, Hongmei; Wei, Xian; Chen, Yadong; Lu, Mengyi; Zhang, Yanmin</t>
  </si>
  <si>
    <t>Chen, YD; Zhang, YM (corresponding author), China Pharmaceut Univ, Sch Sci, Lab Mol Design &amp; Drug Discovery, 639 Longmian Ave, Nanjing 211198, Jiangsu, Peoples R China.; Wei, X; Zhang, YM (corresponding author), Youjiang Med Univ Nationalities, Dept Pharm, 98 ChengXiang Rd, Baise 533000, Guangxi, Peoples R China.; Lu, MY (corresponding author), Nanjing Med Univ, Sch Publ Hlth, Dept Biostat, Nanjing, Jiangsu, Peoples R China.</t>
  </si>
  <si>
    <t>mylunjyk@njmu.edu.cn; wei700@126.com; ydchen@cpu.edu.cn; yanminzhang@cpu.edu.cn</t>
  </si>
  <si>
    <t>Fundamental Research Funds for the Central Universities [2632025ZD04]; Natural Science Foundation of Guangxi Province [2025GXNSFAA069993]; National Natural Science Foundation of China [82473786]; Natural Science Foundation of Jiangsu Province [BK20242073]</t>
  </si>
  <si>
    <t>Fundamental Research Funds for the Central Universities (Fundamental Research Funds for the Central Universities); Natural Science Foundation of Guangxi Province (National Natural Science Foundation of Guangxi Province); National Natural Science Foundation of China (National Natural Science Foundation of China (NSFC)); Natural Science Foundation of Jiangsu Province (Natural Science Foundation of Jiangsu Province)</t>
  </si>
  <si>
    <t>This work was financially supported by the Natural Science Foundation of Jiangsu Province (no. BK20242073), the Natural Science Foundation of Guangxi Province (no. 2025GXNSFAA069993), the Fundamental Research Funds for the Central Universities (no. 2632025ZD04) and the National Natural Science Foundation of China (nos. 82473786).</t>
  </si>
  <si>
    <t>[Yao, Huifeng; Yang, Xinyi; Wang, Yu; Wang, Chenxiao; Sun, Yiming; Jiang, Yunya; Liang, Li; Zhang, Qing; Liu, Haichun; Li, Hongmei; Chen, Yadong; Zhang, Yanmin] China Pharmaceut Univ, Sch Sci, Lab Mol Design &amp; Drug Discovery, 639 Longmian Ave, Nanjing 211198, Jiangsu, Peoples R China; [Wei, Xian; Zhang, Yanmin] Youjiang Med Univ Nationalities, Dept Pharm, 98 ChengXiang Rd, Baise 533000, Guangxi, Peoples R China; [Lu, Mengyi] Nanjing Med Univ, Sch Publ Hlth, Dept Biostat, Nanjing, Jiangsu, Peoples R China</t>
  </si>
  <si>
    <t>China Pharmaceutical University; Youjiang Medical University for Nationalities; Nanjing Medical University</t>
  </si>
  <si>
    <t>DrugGPS: Attention-guided multimodal fusion for intelligent exploration of drug-target and drug-disease interactions</t>
  </si>
  <si>
    <t>BRITISH JOURNAL OF PHARMACOLOGY</t>
  </si>
  <si>
    <t>artificial intelligence; attention mechanism; drug-disease interaction; drug-target interaction; multimodal fusion</t>
  </si>
  <si>
    <t>INTERACTION PREDICTION; INHIBITOR; EPLERENONE; DISCOVERY; RECEPTOR</t>
  </si>
  <si>
    <t>0007-1188</t>
  </si>
  <si>
    <t>1476-5381</t>
  </si>
  <si>
    <t>BRIT J PHARMACOL</t>
  </si>
  <si>
    <t>Br. J. Pharmacol.</t>
  </si>
  <si>
    <t>4267</t>
  </si>
  <si>
    <t>4287</t>
  </si>
  <si>
    <t>10.1111/bph.70361</t>
  </si>
  <si>
    <t>http://dx.doi.org/10.1111/bph.70361</t>
  </si>
  <si>
    <t>KN4HQ</t>
  </si>
  <si>
    <t>42037091</t>
  </si>
  <si>
    <t>WOS:001748437700001</t>
  </si>
  <si>
    <t>Zhu, ZQ; Wang, YD; Liu, GZ; Wu, HB; Zhao, WL; Wang, L</t>
  </si>
  <si>
    <t>Thermal barrier coatings (TBCs) play a critical role in ensuring the long-term reliability of hot-section components in aero-engines and gas turbines operated under extreme service environments. Accurate assessment of their service lifetime remains challenging, particularly under complex degradation conditions involving CMAS (CaO-MgO-Al2O3-SiO2) attack, where the evolution of microstructural damage is strongly coupled with thermal and chemical loading. Conventional lifetime prediction approaches primarily rely on empirical experience or destructive testing, limiting their ability to capture the intrinsic relationship between damage mechanisms and lifetime degradation. In this study, a feature-informed lifetime prediction framework is developed by integrating multimodal characterization data to evaluate the residual lifetime of TBCs subjected to CMAS attack. Service-related parameters, including ceramic layer thickness, columnar grain spacing, service temperature, and CMAS compositional ratios, are employed to describe the external loading conditions and internal structural states governing damage evolution. In parallel, microstructural features extracted from post-service microscopic images are introduced to characterize the actual damage response of the coating, capturing key degradation phenomena such as crack propagation, columnar grain deterioration, and CMAS infiltration. Deep microstructural descriptors are further obtained using a convolutional neural network to quantitatively represent complex damage patterns induced by coupled thermal and chemical effects. Service parameter features and image-derived microstructural features are treated independently at the feature level and subsequently fused within a regression-based modeling framework, enabling a quantitative correlation between microstructural damage evolution and residual lifetime degradation. The proposed multimodal fusion approach shows significant improvement in prediction accuracy and robustness compared with models based on single-feature modalities, as evidenced by an RMSE of 4.69 and an R 2 of 0.98. These results highlight the potential of multimodal feature integration for reliable lifetime assessment of TBCs under complex CMAS service conditions.</t>
  </si>
  <si>
    <t>Zhu, Zhiqiang; Wang, Yidan; Liu, Guangze; Wu, Hongbo; Zhao, Weiling; Wang, Liang</t>
  </si>
  <si>
    <t>Wang, L (corresponding author), Chinese Acad Sci, State Key Lab High Performance Ceram &amp; Superfine, Shanghai Inst Ceram, Shanghai, Peoples R China.</t>
  </si>
  <si>
    <t>L.Wang@mail.sic.ac.cn</t>
  </si>
  <si>
    <t>National NSAF [U1730139]; National Key R&amp;D Program of China [2025YFF0521403]; National Natural Science Foundation of China [52375222, 51671208]; Youth Innovation Promotion Association of the Chinese Academy of Sciences [2017295]</t>
  </si>
  <si>
    <t>National NSAF; National Key R&amp;D Program of China (National Key Research &amp; Development Program of China); National Natural Science Foundation of China (National Natural Science Foundation of China (NSFC)); Youth Innovation Promotion Association of the Chinese Academy of Sciences</t>
  </si>
  <si>
    <t>This work was supported by the National Key R&amp;D Program of China (No. 2025YFF0521403), the National Natural Science Foundation of China (Nos. 52375222 and 51671208), and the National NSAF (Grant Number U1730139). The work was also supported by the Youth Innovation Promotion Association of the Chinese Academy of Sciences (Grant Number 2017295). The AI-driven experiments, simulations, and model training were performed on the robotic AI-Scientist platform of the Chinese Academy of Sciences.</t>
  </si>
  <si>
    <t>[Zhu, Zhiqiang; Wang, Yidan; Liu, Guangze; Wu, Hongbo; Zhao, Weiling; Wang, Liang] Chinese Acad Sci, State Key Lab High Performance Ceram &amp; Superfine, Shanghai Inst Ceram, Shanghai, Peoples R China; [Zhao, Weiling] Univ Chinese Acad Sci, Coll Mat Sci &amp; Optoelect Technol, Beijing, Peoples R China</t>
  </si>
  <si>
    <t>Chinese Academy of Sciences; Shanghai Institute of Ceramics, CAS; Chinese Academy of Sciences; University of Chinese Academy of Sciences, CAS</t>
  </si>
  <si>
    <t>A Feature Informed Lifetime Prediction Framework for Thermal Barrier Coatings via Multimodal Fusion Characterization</t>
  </si>
  <si>
    <t>JOURNAL OF THE AMERICAN CERAMIC SOCIETY</t>
  </si>
  <si>
    <t>CMAS attack; microstructure; multimodal feature fusion; residual life prediction; thermal barrier coatings</t>
  </si>
  <si>
    <t>CORROSION; MODEL</t>
  </si>
  <si>
    <t>0002-7820</t>
  </si>
  <si>
    <t>1551-2916</t>
  </si>
  <si>
    <t>J AM CERAM SOC</t>
  </si>
  <si>
    <t>J. Am. Ceram. Soc.</t>
  </si>
  <si>
    <t>APR 29 2026</t>
  </si>
  <si>
    <t>109</t>
  </si>
  <si>
    <t>e70761</t>
  </si>
  <si>
    <t>10.1111/jace.70761</t>
  </si>
  <si>
    <t>http://dx.doi.org/10.1111/jace.70761</t>
  </si>
  <si>
    <t>Materials Science, Ceramics</t>
  </si>
  <si>
    <t>HF9PO</t>
  </si>
  <si>
    <t>WOS:001753122700001</t>
  </si>
  <si>
    <t>Shirazi, AZ; Gomez, GA</t>
  </si>
  <si>
    <t>Glioblastoma is profoundly heterogeneous, and single-modality analyses often miss prognostically relevant structure. We introduce a transparent, end-to-end workflow that fuses available whole-slide histology and RNA-seq to discover clinically meaningful glioblastoma subgroups using an unsupervised learning model after feature extraction. Haematoxylin-eosin slides are tiled, tissue-screened and stain-normalised; tiles are embedded with a pretrained ResNet-50 to yield 2048-dimensional features, averaged per patient and compressed to 30-D by an autoencoder. In parallel, RNA-seq (similar to 48 k genes) undergoes low-variance filtering and normalisation, then a second autoencoder produces a 30-D transcriptomic embedding. The two 30-D representations are concatenated into a 60-D fused vector, robustly scaled and refined with PCA (approximate to 98% variance retained). Across K-means, Gaussian mixture models and Agglomerative clustering (k = 2-20), Agglomerative k = 2 was decisively best (mean silhouette approximate to 0.53), yielding clusters of 150 and 8 patients (survival subset 147 and 8). Survival separation was substantial (median 454 vs. 138 days; log-rank p = 0.0096). In Cox models, the poorer-prognosis cluster showed increased risk (HR approximate to 2.70), which remained significant after age adjustment (HR = 2.15, 95% CI 1.04-4.46; age per year HR = 1.02, 95% CI 1.01-1.04). Attribution and consensus analyses yielded compact, interpretable gene sets (22 shared; 8 per cluster), including markers associated with NOTCH/gamma-secretase and oxidative phosphorylation. These findings nominate biologically plausible hypotheses for future validation rather than immediate treatment-selection rules. Overall, this study demonstrates that auditable late fusion of histology and transcriptomics, built from routine data, can identify survival-associated glioblastoma subgroups and provides a hypothesis-generating framework for prospective, harmonised, multi-centre validation.</t>
  </si>
  <si>
    <t>Zadeh Shirazi, Amin; Gomez, Guillermo A.</t>
  </si>
  <si>
    <t>Gomez, GA (corresponding author), Adelaide Univ, Ctr Canc Biol, Adelaide, SA, Australia.</t>
  </si>
  <si>
    <t>guillermo.gomez@adelaide.edu.au</t>
  </si>
  <si>
    <t>National Health and Medical Research Council [GNT2013180, GNT2030541]; McCleary Murchland Fellowship; Neurosurgical Research Foundation; the Charlie Teo Foundation; Tour de Cure Grants</t>
  </si>
  <si>
    <t>National Health and Medical Research Council (National Health &amp; Medical Research Council (NHMRC) of Australia); McCleary Murchland Fellowship; Neurosurgical Research Foundation; the Charlie Teo Foundation; Tour de Cure Grants</t>
  </si>
  <si>
    <t>This work was supported by a McCleary Murchland Fellowship [to G.A.G.]; grants from the NHMRC (Ideas grant 2021/GNT2013180 and 2023/GNT2030541 to G.A.G.); the Neurosurgical Research Foundation [to G.A.G. and A.Z.S]; the Charlie Teo Foundation [Rebel Grant to G.A.G.]; Tour de Cure Grants to [G.A.G].</t>
  </si>
  <si>
    <t>[Zadeh Shirazi, Amin; Gomez, Guillermo A.] Adelaide Univ, Ctr Canc Biol, Adelaide, SA, Australia; [Zadeh Shirazi, Amin] Khayyam Univ, Fac Engn, Dept Comp Engn, Mashhad, Iran</t>
  </si>
  <si>
    <t>Adelaide University; Centre for Cancer Biology; University of Adelaide</t>
  </si>
  <si>
    <t>Deep Learning-Based Multimodal Fusion of Whole-Slide Images and RNA Sequencing Identifies Survival-Relevant Glioblastoma Clusters</t>
  </si>
  <si>
    <t>CANCER MEDICINE</t>
  </si>
  <si>
    <t>AI; deep learning-based multimodal fusion; glioblastoma; survival analysis</t>
  </si>
  <si>
    <t>2045-7634</t>
  </si>
  <si>
    <t>CANCER MED-US</t>
  </si>
  <si>
    <t>Cancer Med.</t>
  </si>
  <si>
    <t>AUG 10 2026</t>
  </si>
  <si>
    <t>e72182</t>
  </si>
  <si>
    <t>10.1002/cam4.72182</t>
  </si>
  <si>
    <t>http://dx.doi.org/10.1002/cam4.72182</t>
  </si>
  <si>
    <t>MM1LH</t>
  </si>
  <si>
    <t>42576414</t>
  </si>
  <si>
    <t>WOS:001845514000001</t>
  </si>
  <si>
    <t>Chen, LC; Chen, PH; Tsai, RTH; Tsao, Y</t>
  </si>
  <si>
    <t>Speech generation and enhancement based on articulatory movements facilitate communication when the scope of verbal communication is absent, e.g., in patients who have lost the ability to speak. Although various techniques have been proposed to this end, electropalatography (EPG), which is a monitoring technique that records contact between the tongue and hard palate during speech, has not been adequately explored. Herein, we propose a novel multimodal EPG-to-speech (EPG2S) system that utilizes EPG and speech signals for speech generation and enhancement. Different fusion strategies of combining EPG and noisy speech signals are examined, and the viability of the proposed method is investigated. Experimental results indicate that EPG2S achieves desirable speech generation outcomes based solely on EPG signals. Further, the addition of noisy speech signals is observed to improve quality and intelligibility of the generated speech signals. Additionally, EPG2S is observed to achieve high-quality speech enhancement based solely on audio signals, with the addition of EPG signals further improving the performance. Finally, the late fusion strategy is deemed to be more effective for both speech generation and enhancement.</t>
  </si>
  <si>
    <t>Chen, Li-Chin; Chen, Po-Hsun; Tsai, Richard Tzong-Han; Tsao, Yu</t>
  </si>
  <si>
    <t>Tsai, RTH (corresponding author), Natl Cent Univ, Dept Comp Sci &amp; Informat Engn, Taoyuan, Taiwan.</t>
  </si>
  <si>
    <t>f855189@gmail.com; thtsai@g.ncu.edu.tw; li.chin@citi.sinica.edu.tw; yu.tsao@citi.sinica.edu.tw</t>
  </si>
  <si>
    <t>Ministry of Science and Technology in Taiwan [MOST 110-2634-F-008-004-, 109-2634-F-008-006-]</t>
  </si>
  <si>
    <t>Ministry of Science and Technology in Taiwan (National Science &amp; Technology Council (NSTC) Taiwan)</t>
  </si>
  <si>
    <t>This work was supported by the Ministry of Science and Technology in Taiwan under Grants MOST 110-2634-F-008-004-and 109-2634-F-008-006-.</t>
  </si>
  <si>
    <t>[Chen, Li-Chin; Tsao, Yu] Acad Sinica, Res Ctr Informat Technol Innovat, Taipei 115, Taiwan; [Chen, Po-Hsun; Tsai, Richard Tzong-Han] Natl Cent Univ, Dept Comp Sci &amp; Informat Engn, Taoyuan, Taiwan; [Tsai, Richard Tzong-Han] Acad Sinica, Ctr GIS, Res Ctr Humanitiesand Social Sci, Taipei 115, Taiwan</t>
  </si>
  <si>
    <t>Academia Sinica - Taiwan; National Central University; Academia Sinica - Taiwan</t>
  </si>
  <si>
    <t>EPG2S: Speech Generation and Speech Enhancement Based on Electropalatography and Audio Signals Using Multimodal Learning</t>
  </si>
  <si>
    <t>IEEE SIGNAL PROCESSING LETTERS</t>
  </si>
  <si>
    <t>Speech synthesis; model fusion; electropalatography; speech signal; speech generation</t>
  </si>
  <si>
    <t>NOISE; ALGORITHM; QUALITY; SYSTEM</t>
  </si>
  <si>
    <t>Tsao, Yu/AAP-4779-2020; Chen, Po-Hsun/W-5152-2019</t>
  </si>
  <si>
    <t>Tsai, Richard Tzong-Han/0000-0003-0513-107X; Tsao, Yu/0000-0001-6956-0418</t>
  </si>
  <si>
    <t>1070-9908</t>
  </si>
  <si>
    <t>1558-2361</t>
  </si>
  <si>
    <t>IEEE SIGNAL PROC LET</t>
  </si>
  <si>
    <t>IEEE Signal Process. Lett.</t>
  </si>
  <si>
    <t>2582</t>
  </si>
  <si>
    <t>2586</t>
  </si>
  <si>
    <t>10.1109/LSP.2022.3184636</t>
  </si>
  <si>
    <t>http://dx.doi.org/10.1109/LSP.2022.3184636</t>
  </si>
  <si>
    <t>8A5CG</t>
  </si>
  <si>
    <t>WOS:000916256100015</t>
  </si>
  <si>
    <t>Fang, Y; Xiao, LZ; Zhou, J; Liao, GZ; Wang, XY</t>
  </si>
  <si>
    <t>Reservoir permeability reflects the pore structure and fluid flow capacity of subsurface formations, serving as a critical parameter in hydrocarbon reserve evaluation and field development decision making. This study constructs a multisource multimodal data set that integrates acoustic, resistivity, and radioactive logging data, interpreted logs, nuclear magnetic resonance (NMR) T2 spectra, and geological stratification text. To accurately predict permeability from such heterogeneous inputs, we propose an Explicit Tensor Interaction Network (ETIN) that integrates long short-term memory (LSTM), convolutional neural network (CNN), and deep neural network (DNN) modules to extract modality-specific features from time series, two-dimensional (2D) images, and structured textual inputs, respectively. The tensor interaction layer in ETIN explicitly preserves original modality representations. It constructs binary interaction planes and a ternary interaction core, achieving joint modeling of intra-modal semantics and high-order inter-modal interactions. Comparative experiments using field data from 10 wells in the Jiyuan area of the Ordos Basin, China, demonstrate that ETIN significantly outperforms early fusion (EF), bilinear pooling network (BPN), and the traditional Schlumberger-Doll Research (SDR) model, achieving a coefficient of determination (R2) of 94.95% and a root mean square error (RMSE) of 0.3168, particularly excelling in low-to ultralow-permeability reservoirs. Further analysis reveals that the NMR T2 spectrum contributes the most to permeability prediction among all modalities and that cross-modal interaction alone is insufficient to achieve optimal performance. Fusion models can reach peak accuracy only by jointly preserving key physical modality semantics and introducing high-order interactions. Although geological stratification text carries limited predictive value when used alone, it serves as a strong structural prior during tensor interaction, improving stratigraphic recognition and generalization under complex geological conditions.</t>
  </si>
  <si>
    <t>Fang, Yu; Xiao, Lizhi; Zhou, Jun; Liao, Guangzhi; Wang, Xiaoyu</t>
  </si>
  <si>
    <t>Xiao, LZ (corresponding author), China Univ Petr, State Key Lab Petr Resources &amp; Engn, Beijing 102249, Peoples R China.; Xiao, LZ (corresponding author), China Univ Petr, Coll Geophys, Beijing 102249, Peoples R China.</t>
  </si>
  <si>
    <t>liaoguangzhi@cup.edu.cn; zhouj_cpl@cnpc.com.cn; wangxiaoyu_cup@163.com; fangyu_cup@163.com; xiaolizhi@cup.edu.cn</t>
  </si>
  <si>
    <t>Strategic Cooperation Science and Technology Project between the China National Petroleum Corporation; China University of Petroleum, Beijing [ZLZX2020-03]; National Key Research and Development Program Project [2019YFA0708301, 2023YFF0714102]; National Natural Science Foundation of China [42474165, U24B6001-3-1]</t>
  </si>
  <si>
    <t>Strategic Cooperation Science and Technology Project between the China National Petroleum Corporation; China University of Petroleum, Beijing; National Key Research and Development Program Project; National Natural Science Foundation of China (National Natural Science Foundation of China (NSFC))</t>
  </si>
  <si>
    <t>This research is sponsored by the Strategic Cooperation Science and Technology Project between the China National Petroleum Corporation and China University of Petroleum, Beijing (Grant no. ZLZX2020-03) , National Key Research and Development Program Project (Grant nos. 2019YFA0708301 and 2023YFF0714102) , and National Natural Science Foundation of China (Grant no. 42474165, U24B6001-3-1)</t>
  </si>
  <si>
    <t>[Fang, Yu; Xiao, Lizhi; Liao, Guangzhi; Wang, Xiaoyu] China Univ Petr, State Key Lab Petr Resources &amp; Engn, Beijing 102249, Peoples R China; [Fang, Yu; Xiao, Lizhi; Liao, Guangzhi; Wang, Xiaoyu] China Univ Petr, Coll Geophys, Beijing 102249, Peoples R China; [Zhou, Jun] China Univ Petr, Coll Artificial Intelligence, Beijing 102249, Peoples R China; [Zhou, Jun] China Natl Logging Corp, Xian 710077, Peoples R China</t>
  </si>
  <si>
    <t>China University of Petroleum; China University of Petroleum; China University of Petroleum; China National Petroleum Corporation</t>
  </si>
  <si>
    <t>Multimodal Learning With Explicit Tensor Interaction for Reservoir Permeability Prediction</t>
  </si>
  <si>
    <t>PETROPHYSICS</t>
  </si>
  <si>
    <t>TRIASSIC YANCHANG FORMATION; TIGHT; BASIN; LOGS; OIL</t>
  </si>
  <si>
    <t>Zhou, Jun/MIK-4426-2025</t>
  </si>
  <si>
    <t>Liao, Guangzhi/0000-0001-7950-7549</t>
  </si>
  <si>
    <t>SOC PETROPHYSICISTS &amp; WELL LOG ANALYSTS-SPWLA</t>
  </si>
  <si>
    <t>HOUSTON</t>
  </si>
  <si>
    <t>8866 GULF FREEWAY, STE 320, HOUSTON, TX 77017 USA</t>
  </si>
  <si>
    <t>1529-9074</t>
  </si>
  <si>
    <t>Petrophysics</t>
  </si>
  <si>
    <t>764</t>
  </si>
  <si>
    <t>784</t>
  </si>
  <si>
    <t>10.30632/PJV66N5-2025a4</t>
  </si>
  <si>
    <t>http://dx.doi.org/10.30632/PJV66N5-2025a4</t>
  </si>
  <si>
    <t>Geochemistry &amp; Geophysics; Engineering, Petroleum</t>
  </si>
  <si>
    <t>Geochemistry &amp; Geophysics; Engineering</t>
  </si>
  <si>
    <t>C5079</t>
  </si>
  <si>
    <t>WOS:001620595700004</t>
  </si>
  <si>
    <t>Mojumder, S; Halder, P; Tonge, T</t>
  </si>
  <si>
    <t>While multiple sensors are used for real-time monitoring in additive manufacturing, not all provide practical or reliable process insights. For example, high-speed X-ray imaging offers valuable spatial information about subsurface melt pool behavior but is costly and impractical for most industrial settings. In contrast, absorptivity data from low-cost photodiodes correlate with melt pool dynamics but is often too noisy for accurate prediction when used alone. In this paper, we propose a multimodal data fusion approach for predicting melt pool dynamics by combining high-fidelity X-ray data with low-fidelity absorptivity data in the Laser Powder Bed Fusion (LPBF) process. Our multimodal learning framework integrates convolutional neural networks (CNNs) for spatial feature extraction from spot and scan laser X-ray images with recurrent neural networks (RNNs) for temporal feature extraction from absorptivity signals, using an early fusion strategy. The multimodal model is further used as a transfer learning model to fine-tune the RNN branch that can predict melt pool dynamics only with absorptivity data, with comparable accuracy to the multimodal model. Results show that training with both modalities significantly improves prediction accuracy compared to a single modality. Furthermore, once trained, the model can infer melt pool features using only absorptivity data, eliminating the need for expensive X-ray imaging. This multimodal fusion approach enables cost-effective, real-time monitoring and has broad applicability in additive manufacturing.</t>
  </si>
  <si>
    <t>Mojumder, Satyajit; Halder, Pallock; Tonge, Tiana</t>
  </si>
  <si>
    <t>Mojumder, S (corresponding author), Washington State Univ, Sch Mech &amp; Mat Engn, Pullman, WA 99163 USA.</t>
  </si>
  <si>
    <t>satyajit.mojumder@wsu.edu; pallock.halder@wsu.edu; tiana.tonge@wsu.edu</t>
  </si>
  <si>
    <t>Washington State University</t>
  </si>
  <si>
    <t>The authors gratefully acknowledge the WSU start-up grant for supporting this research. They also thank Mr. Apurba Sarker and Mr. M. Abrar Muhit for their valuable discussions through the WSU SUPREME program for this work.</t>
  </si>
  <si>
    <t>[Mojumder, Satyajit; Halder, Pallock; Tonge, Tiana] Washington State Univ, Sch Mech &amp; Mat Engn, Pullman, WA 99163 USA</t>
  </si>
  <si>
    <t>Multimodal learning of melt pool dynamics in laser powder bed fusion</t>
  </si>
  <si>
    <t>PROGRESS IN ADDITIVE MANUFACTURING</t>
  </si>
  <si>
    <t>Multimodal fusion; CNN; RNN; Melt pool dynamics; Transfer learning; Laser powder bed fusion</t>
  </si>
  <si>
    <t>CHALLENGES</t>
  </si>
  <si>
    <t>Mojumder, Satyajit/ABE-4047-2021</t>
  </si>
  <si>
    <t>Halder, Pallock/0009-0007-4455-598X</t>
  </si>
  <si>
    <t>2363-9512</t>
  </si>
  <si>
    <t>2363-9520</t>
  </si>
  <si>
    <t>PROG ADDIT MANUF</t>
  </si>
  <si>
    <t>Prog. Addit. Manuf.</t>
  </si>
  <si>
    <t>2801</t>
  </si>
  <si>
    <t>2814</t>
  </si>
  <si>
    <t>10.1007/s40964-025-01496-5</t>
  </si>
  <si>
    <t>http://dx.doi.org/10.1007/s40964-025-01496-5</t>
  </si>
  <si>
    <t>Engineering, Manufacturing; Materials Science, Multidisciplinary</t>
  </si>
  <si>
    <t>Engineering; Materials Science</t>
  </si>
  <si>
    <t>FL4SA</t>
  </si>
  <si>
    <t>WOS:001658365000001</t>
  </si>
  <si>
    <t>Hu, J; Yin, R; Pan, Y; Wang, JF; Ren, HQ</t>
  </si>
  <si>
    <t>Effluent of wastewater treatment plants (WWTPs) poses significant ecological risks due to potential biological toxicity, demanding effective monitoring and assessment of water quality and toxicity. However, the complexity of the wastewater treatment processes, coupled with numerous control parameters and influencing factors, makes intelligent assessment and monitoring challenging. Traditional data mining and machine learning (ML) approaches often overlook partial multimodal factors such as applied treatment process technologies, leading to suboptimal predictions. To address this, this study proposed a multimodal learning (MML)-based framework for predicting effluent water quality and toxicity in WWTPs. Representation fusion and decision fusion strategies were adopted to optimize the MML models' performance. Additionally, a novel 3C-Encoding strategy was proposed to tackle the challenges of encoding process information. The results demonstrated that MML models achieved significant improvements over traditional methods (R 2 increase ranging from 0.057 to 0.234). The final MML models exhibited remarkable performance with an average R 2 of 0.874 for water quality and an R 2 of 0.904 for toxicity. This study provides a novel MML-based approach to leveraging diverse data modalities, substantially enhancing prediction accuracy and informed decision-making. It has the potential to facilitate advancements in intelligent process control and optimization while promoting environmental sustainability in WWTPs.</t>
  </si>
  <si>
    <t>Hu, Jie; Yin, Ran; Pan, Yao; Wang, Jinfeng; Ren, Hongqiang</t>
  </si>
  <si>
    <t>Wang, JF (corresponding author), Nanjing Univ, Sch Environm, State Key Lab Water Pollut Control &amp; Green Resourc, Nanjing 210023, Jiangsu, Peoples R China.</t>
  </si>
  <si>
    <t>jfwang@nju.edu.cn</t>
  </si>
  <si>
    <t>National Natural Science Foundation of China [52388101]; Basic Science Center Project of the Natural Science Foundation of China [52270041, 52192684, 51908275]; National Natural Science Foundation of China [2023YFC3206903]; National Key Research and Development Program of China [BE2023687]; Jiangsu Provincial Department of Science and Technology [ZYJH005]; Excellent Research Program of Nanjing University</t>
  </si>
  <si>
    <t>National Natural Science Foundation of China (National Natural Science Foundation of China (NSFC)); Basic Science Center Project of the Natural Science Foundation of China (National Natural Science Foundation of China (NSFC)); National Natural Science Foundation of China (National Natural Science Foundation of China (NSFC)); National Key Research and Development Program of China; Jiangsu Provincial Department of Science and Technology; Excellent Research Program of Nanjing University</t>
  </si>
  <si>
    <t>This work was supported by the Basic Science Center Project of the Natural Science Foundation of China (52388101), National Natural Science Foundation of China (52270041, 52192684, and 51908275), the National Key Research and Development Program of China (2023YFC3206903), the Jiangsu Provincial Department of Science and Technology (BE2023687), and the Excellent Research Program of Nanjing University (ZYJH005).</t>
  </si>
  <si>
    <t>[Hu, Jie; Yin, Ran; Pan, Yao; Wang, Jinfeng; Ren, Hongqiang] Nanjing Univ, Sch Environm, State Key Lab Water Pollut Control &amp; Green Resourc, Nanjing 210023, Jiangsu, Peoples R China; [Yin, Ran] Nanjing Univ, Inst Environm &amp; Hlth, Suzhou Campus, Suzhou 215163, Peoples R China</t>
  </si>
  <si>
    <t>Nanjing University; Nanjing University</t>
  </si>
  <si>
    <t>Multimodal Learning-Assisted Identification of Effluent Water Quality and Toxicity in Wastewater Treatment Plants</t>
  </si>
  <si>
    <t>ENVIRONMENTAL SCIENCE &amp; TECHNOLOGY</t>
  </si>
  <si>
    <t>wastewater treatment; multimodal learning; multimodal fusion; biological toxicity; machinelearning; feature encoding</t>
  </si>
  <si>
    <t>NEMATODE CAENORHABDITIS-ELEGANS; FLUORESCENCE EXCITATION; PREDICTION; ANTIBIOTICS; ENVIRONMENT; MUNICIPAL; DYNAMICS</t>
  </si>
  <si>
    <t>Wang, Jinfeng/V-7541-2019; Yin, Ran/AAF-9971-2019</t>
  </si>
  <si>
    <t>Pan, Yao/0000-0002-0726-6595; Wang, Jinfeng/0000-0001-9001-1413; Yin, Ran/0000-0002-0056-8347</t>
  </si>
  <si>
    <t>171</t>
  </si>
  <si>
    <t>AMER CHEMICAL SOC</t>
  </si>
  <si>
    <t>1155 16TH ST, NW, WASHINGTON, DC 20036 USA</t>
  </si>
  <si>
    <t>0013-936X</t>
  </si>
  <si>
    <t>1520-5851</t>
  </si>
  <si>
    <t>ENVIRON SCI TECHNOL</t>
  </si>
  <si>
    <t>Environ. Sci. Technol.</t>
  </si>
  <si>
    <t>JUN 11 2025</t>
  </si>
  <si>
    <t>13857</t>
  </si>
  <si>
    <t>13869</t>
  </si>
  <si>
    <t>10.1021/acs.est.5c04143</t>
  </si>
  <si>
    <t>http://dx.doi.org/10.1021/acs.est.5c04143</t>
  </si>
  <si>
    <t>Engineering, Environmental; Environmental Sciences</t>
  </si>
  <si>
    <t>Engineering; Environmental Sciences &amp; Ecology</t>
  </si>
  <si>
    <t>4XX2G</t>
  </si>
  <si>
    <t>40497327</t>
  </si>
  <si>
    <t>WOS:001507412300001</t>
  </si>
  <si>
    <t>Hemmerling, D; Dudek, M; Krzywdziak, J; Zbik, M; Szecowka, W; Daniol, M; Wodzinski, M; Rudzinska-Bar, M; Wojcik-Pedziwiatr, M</t>
  </si>
  <si>
    <t>Parkinson's disease (PD) alters both speech and movement, yet most automated assessments still treat these signals separately. We examined whether combining voice with head motion improves discrimination between patients and healthy controls (HC). Synchronous measurements of acoustic and inertial signals were collected using a HoloLens 2 headset. Data were obtained from 165 participants (72 PD/93 HC), following a standardized mixed-reality (MR) protocol. We benchmarked single-modality models against fusion strategies under 5-fold stratified cross-validation. Voice alone was robust (pooled AUC approximate to 0.865), while the inertial channel alone was near chance (AUC approximate to 0.497). Fusion provided a modest but repeatable improvement: gated early-fusion achieved the highest AUC (approximate to 0.875), cross-attention fusion was comparable (approximate to 0.873). Gains were task-dependent. While speech-dominated tasks were already well captured by audio, tasks that embed movement benefited from complementary inertial data. Proposed MR capture proved feasible within a single session and showed that motion acts as a conditional improvement factor rather than a sole predictor. The results outline a practical path to multimodal screening and monitoring for PD, preserving the reliability of acoustic biomarkers while integrating kinematic features when they matter.</t>
  </si>
  <si>
    <t>Hemmerling, Daria; Dudek, Milosz; Krzywdziak, Justyna; Zbik, Magda; Szecowka, Wojciech; Daniol, Mateusz; Wodzinski, Marek; Rudzinska-Bar, Monika; Wojcik-Pedziwiatr, Magdalena</t>
  </si>
  <si>
    <t>Hemmerling, D (corresponding author), AGH Univ Krakow, Dept Measurement &amp; Elect, PL-30059 Krakow, Poland.</t>
  </si>
  <si>
    <t>hemmer@agh.edu.pl</t>
  </si>
  <si>
    <t>National Centre for Research and Development, Poland [LIDER/6/0049/L-12/20/NCBIR/2021]</t>
  </si>
  <si>
    <t>National Centre for Research and Development, Poland (National Centre for Research &amp; Development, Poland)</t>
  </si>
  <si>
    <t>This research was funded by The National Centre for Research and Development, Poland under Lider Grant no: LIDER/6/0049/L-12/20/NCBIR/2021.</t>
  </si>
  <si>
    <t>[Hemmerling, Daria; Dudek, Milosz; Krzywdziak, Justyna; Zbik, Magda; Szecowka, Wojciech; Daniol, Mateusz; Wodzinski, Marek] AGH Univ Krakow, Dept Measurement &amp; Elect, PL-30059 Krakow, Poland; [Rudzinska-Bar, Monika; Wojcik-Pedziwiatr, Magdalena] Andrzej Frycz Modrzewski Krakow Univ, Dept Neurol, PL-30705 Krakow, Poland</t>
  </si>
  <si>
    <t>AGH University of Krakow; Andrzej Frycz Modrzewski Krakow University</t>
  </si>
  <si>
    <t>GRU-Based Deep Multimodal Fusion of Speech and Head-IMU Signals in Mixed Reality for Parkinson's Disease Detection</t>
  </si>
  <si>
    <t>SENSORS</t>
  </si>
  <si>
    <t>Parkinson's disease; augmented reality (AR); speech analysis; voice biomarkers; inertial measurement units (IMU); head motion; multimodal data fusion; gyroscope and accelerometer signals; wearable sensing; remote digital assessment</t>
  </si>
  <si>
    <t>DYSARTHRIA; SCALE</t>
  </si>
  <si>
    <t>Wodzinski, Marek/V-7804-2017; Hemmerling, Daria/T-5352-2017; Dudek, Milosz/NPJ-3400-2025</t>
  </si>
  <si>
    <t>Wójcik-Pędziwiatr, Magdalena/0000-0003-0600-6780; Wodzinski, Marek/0000-0002-8076-6246; Szecówka, Wojciech/0009-0009-1460-2743; Krzywdziak, Justyna/0009-0008-3003-1066; Daniol, Mateusz/0000-0003-2363-7912; Żbik, Magda/0009-0005-9005-1518</t>
  </si>
  <si>
    <t>1424-8220</t>
  </si>
  <si>
    <t>SENSORS-BASEL</t>
  </si>
  <si>
    <t>Sensors</t>
  </si>
  <si>
    <t>10.3390/s26010269</t>
  </si>
  <si>
    <t>http://dx.doi.org/10.3390/s26010269</t>
  </si>
  <si>
    <t>Chemistry, Analytical; Engineering, Electrical &amp; Electronic; Instruments &amp; Instrumentation</t>
  </si>
  <si>
    <t>Chemistry; Engineering; Instruments &amp; Instrumentation</t>
  </si>
  <si>
    <t>AV2TM</t>
  </si>
  <si>
    <t>41516706</t>
  </si>
  <si>
    <t>WOS:001657593100001</t>
  </si>
  <si>
    <t>Kazanjian, G; Loyson, A; Kosaraju, N; Atkins, A; Choton, J; Grijalva, I; Spiesman, BJ; Hsu, WL; Margapuri, V</t>
  </si>
  <si>
    <t>Goldenrod (Solidago spp.) is a genus of ecologically critical North American wildflowers that supports a diversity of pollinators, including bees, wasps, and migratory insects such as Monarch butterflies. Yet species-level identification remains challenging due to extensive morphological similarity and overlapping distributions. Reliable automated classification would benefit ecological monitoring and biodiversity assessment, but visual models alone often struggle with fine-grained distinctions in natural imagery. This study introduces a multimodal framework that integrates image-based deep learning with text-derived ecological context to improve classification of 18 Solidago species. Images from the Global Biodiversity Information Facility (GBIF) are preprocessed using SAM2 and Grounding DINO to extract botanically relevant regions of interest. Five visual backbones such as VGG-19, ResNet-50, InceptionV3, Vision Transformer (ViT), and ConvNeXt are fine-tuned for species identification. In parallel, GPT-4o is used to generate structured botanical descriptions from GBIF metadata, which are then used to fine-tune a BERT-based classifier for textual inference. A late-fusion module integrates predictions from the visual and textual branches, leveraging complementary morphological and ecological cues. Across all architectures, multimodal fusion yields substantial improvements over image-only baselines, with ConvNeXt and ResNet achieving the highest overall accuracies (0.864 and 0.874) and strongest F1 scores (0.919 and 0.861). Extensive data analysis confirms that multimodal fusion consistently enhances discriminative power for morphologically similar taxa. To operationalize these findings, we also developed a cross-platform mobile application, enabling field-ready inference and real-time species exploration. Together, this work demonstrates that combining visual and contextual information provides a scalable and accurate pathway for identifying closely related plant species in natural environments.</t>
  </si>
  <si>
    <t>Kazanjian, Garik; Loyson, Abigail; Kosaraju, Naren; Atkins, Ally; Choton, Jahid; Grijalva, Ivan; Spiesman, Brian J.; Hsu, William; Margapuri, Venkat</t>
  </si>
  <si>
    <t>Margapuri, V (corresponding author), Villanova Univ, Dept Comp Sci, Villanova, PA 19085 USA.</t>
  </si>
  <si>
    <t>vmargapu@villanova.edu</t>
  </si>
  <si>
    <t>U.S. Department of Agri-culture's National Institute of Food and Agriculture [2024-67014-42301]</t>
  </si>
  <si>
    <t>U.S. Department of Agri-culture's National Institute of Food and Agriculture</t>
  </si>
  <si>
    <t>This work is supported by the Pollinator Health: Research and Application no 2024-67014-42301 from the U.S. Department of Agri-culture's National Institute of Food and Agriculture.</t>
  </si>
  <si>
    <t>[Kazanjian, Garik; Loyson, Abigail; Kosaraju, Naren; Atkins, Ally; Margapuri, Venkat] Villanova Univ, Dept Comp Sci, Villanova, PA 19085 USA; [Choton, Jahid; Hsu, William] Kansas State Univ, Dept Comp Sci, Manhattan, KS 66502 USA; [Spiesman, Brian J.] Kansas State Univ, Dept Entomol, Manhattan, KS 66502 USA; [Grijalva, Ivan] Louisiana State Univ, Dept Entomol, Baton Rouge, LA 70803 USA</t>
  </si>
  <si>
    <t>Villanova University; Kansas State University; Kansas State University; Louisiana State University System; Louisiana State University</t>
  </si>
  <si>
    <t>Multimodal fusion for fine-grained plant classification: A visual-textual framework for accurate identification of solidago species</t>
  </si>
  <si>
    <t>Solidago classification; Multimodal fusion; Plant identification; Bert; Sam2 segmentation; Onsite species classification</t>
  </si>
  <si>
    <t>GOLDENRODS; MORPHOLOGY</t>
  </si>
  <si>
    <t>Grijalva, Ivan/JFA-7157-2023</t>
  </si>
  <si>
    <t>102045</t>
  </si>
  <si>
    <t>10.1016/j.atech.2026.102045</t>
  </si>
  <si>
    <t>http://dx.doi.org/10.1016/j.atech.2026.102045</t>
  </si>
  <si>
    <t>GQ1LZ</t>
  </si>
  <si>
    <t>WOS:001742392400001</t>
  </si>
  <si>
    <t>Zhang, WQ; Liu, ZB; Jia, Z; Wang, X; Yan, WJ; Wang, K</t>
  </si>
  <si>
    <t>This present article proposes a multimodal deep learning model based on recursive feature fusion map (RFFM) and Transformer-temporal convolutional network (TCN), to solve the problem of fault diagnosis of flying wing unmanned aerial vehicle (UAV) actuators under complex working conditions. The challenges of data scarcity, high-dimensional nonlinear dynamic characteristics, and the difficulty of effectively fusing multimodal features are particularly relevant in this context. The recursive fusion feature map is used to extract high-order features from multimodal time-series signals (position, velocity, acceleration, torque, current, and voltage), and the Transformer is used to capture the long-term dependencies of the signals, while the TCN is employed to model short-term dynamic characteristics. This enables accurate classification and health assessment of the flying wing UAV actuator under normal, single fault (wear/jamming, dynamic lag, and signal failure), and compound fault modes. In the simulation experiment, the six-modal time-series signal generated for the seven states was analyzed. The experimental findings demonstrated that the proposed model attained a classification accuracy of 98.6% on the balanced dataset and 94.7% on the unbalanced dataset, with an F1 -score exceeding 0.92 for each category. Concurrently, the model's resilience to complex fault modes was substantiated through a comparison of residual signals and an examination of time-frequency diagrams. A comparison of the model with traditional methods such as support vector machine (SVM), random forest (RF), and long short-term memory (LSTM) reveals significant advantages in key indicators such as average area under curve (AUC) value, diagnostic accuracy, and classification stability (average AUC value exceeds 0.97). The research results demonstrate the effectiveness and applicability of this method in the complex fault diagnosis of flying wing UAV actuators and have important engineering application value and potential for promotion.</t>
  </si>
  <si>
    <t>Zhang, Wenqi; Liu, Zhenbao; Jia, Zhen; Wang, Xiao; Yan, Weijun; Wang, Kai</t>
  </si>
  <si>
    <t>Liu, ZB (corresponding author), Northwestern Polytech Univ, Sch Civil Aviat, Xian 710072, Peoples R China.</t>
  </si>
  <si>
    <t>jiazhen@nwpu.edu.cn; wangxiao@nwpu.edu.cn; zhangwq@mail.nwpu.edu.cn; cctv@mail.nwpu.edu.cn; liuzhenbao@nwpu.edu.cn; yanweijun@mail.nwpu.edu.cn</t>
  </si>
  <si>
    <t>Key Program of the National Natural Science Foundation of China [U2433208]; Key Research and Development Program of Shaanxi, China [2019ZDLGY14-02-01]; Aeronautical Science Foundation of China [ASFC-2018ZC53026]; Shenzhen Fundamental Research Program, China [JCYJ20190806152203506]</t>
  </si>
  <si>
    <t>Key Program of the National Natural Science Foundation of China (National Natural Science Foundation of China (NSFC)); Key Research and Development Program of Shaanxi, China; Aeronautical Science Foundation of China (Aeronautical Science Foundation of China (ASFC)); Shenzhen Fundamental Research Program, China</t>
  </si>
  <si>
    <t>This work was supported in part by the Key Program of the National Natural Science Foundation of China under Grant U2433208, in part by the Key Research and Development Program of Shaanxi, China under Grant 2019ZDLGY14-02-01, in part by the Aeronautical Science Foundation of China under Grant ASFC-2018ZC53026, and in part by the Shenzhen Fundamental Research Program, China under Grant JCYJ20190806152203506.</t>
  </si>
  <si>
    <t>[Zhang, Wenqi; Liu, Zhenbao; Jia, Zhen; Wang, Xiao; Yan, Weijun; Wang, Kai] Northwestern Polytech Univ, Sch Civil Aviat, Xian 710072, Peoples R China</t>
  </si>
  <si>
    <t>Northwestern Polytechnical University</t>
  </si>
  <si>
    <t>Application of a Multimodal Deep Learning Model Based on Recursive Fusion Feature Map With Transformer-TCN for Complex Fault Diagnosis of Flying Wing UAV Actuators</t>
  </si>
  <si>
    <t>IEEE TRANSACTIONS ON INSTRUMENTATION AND MEASUREMENT</t>
  </si>
  <si>
    <t>Fault diagnosis; flying wing unmanned aerial vehicle (UAV) actuators; flying wing unmanned aerial vehicle (UAV) actuators; multimodal deep learning; multimodal deep learning; recursive fusion feature maps; small sample learning; small sample learning; timing signals; timing signals; Transformer-temporal convolutional network (TCN); Transformer-temporal convolutional network (TCN)</t>
  </si>
  <si>
    <t>SYSTEM</t>
  </si>
  <si>
    <t>Jia, Zhen/MSZ-3389-2025; Wang, Kai/P-1433-2015; WANG, XIAO/QQA-7566-2026</t>
  </si>
  <si>
    <t>Jia, Zhen/0000-0003-2960-8071; Zhang, Wenqi/0000-0001-5741-1247</t>
  </si>
  <si>
    <t>0018-9456</t>
  </si>
  <si>
    <t>1557-9662</t>
  </si>
  <si>
    <t>IEEE T INSTRUM MEAS</t>
  </si>
  <si>
    <t>IEEE Trans. Instrum. Meas.</t>
  </si>
  <si>
    <t>3534917</t>
  </si>
  <si>
    <t>10.1109/TIM.2025.3561438</t>
  </si>
  <si>
    <t>http://dx.doi.org/10.1109/TIM.2025.3561438</t>
  </si>
  <si>
    <t>2PI6G</t>
  </si>
  <si>
    <t>WOS:001488105900034</t>
  </si>
  <si>
    <t>Ilias, L; Askounis, D</t>
  </si>
  <si>
    <t>Alzheimer's disease (AD) constitutes a complex neurocognitive disease and is the main cause of dementia. Although many studies have been proposed targeting at diagnosing dementia through spontaneous speech, there are still limitations. Existing state-of-the-art approaches, which propose multimodal methods, train separately language and acoustic models, employ majority-vote approaches, and concatenate the representations of the different modalities either at the input level, i.e., early fusion, or during training. Also, some of them employ self-attention layers, which calculate the dependencies between representations without considering the contextual information. In addition, no prior work has taken into consideration the model calibration. To address these limitations, we propose some new methods for detecting AD patients, which capture the intra- and cross-modal interactions. First, we convert the audio files into log-Mel spectrograms, their delta, and delta-delta and create in this way an image per audio file consisting of three channels. Next, we pass each transcript and image through BERT and DeiT models respectively. After that, context-based self-attention layers, selfattention layers with a gate model, and optimal transport domain adaptation methods are employed for capturing the intra- and inter-modal interactions. Finally, we exploit two methods for fusing the self and cross-attention features. For taking into account the model calibration, we apply label smoothing. We use both performance and calibration metrics. Experiments conducted on the ADReSS and ADReSSo Challenge datasets indicate the efficacy of our introduced approaches over existing research initiatives with our best performing model reaching Accuracy and F1-score up to 91.25% and 91.06% respectively. &amp; COPY; 2023 Elsevier B.V. All rights reserved.</t>
  </si>
  <si>
    <t>Ilias, Loukas; Askounis, Dimitris</t>
  </si>
  <si>
    <t>Ilias, L (corresponding author), Natl Tech Univ Athens, Sch Elect &amp; Comp Engn, Decis Support Syst Lab, Athens 15780, Greece.</t>
  </si>
  <si>
    <t>lilias@epu.ntua.gr; askous@epu.ntua.gr</t>
  </si>
  <si>
    <t>[Ilias, Loukas; Askounis, Dimitris] Natl Tech Univ Athens, Sch Elect &amp; Comp Engn, Decis Support Syst Lab, Athens 15780, Greece</t>
  </si>
  <si>
    <t>National Technical University of Athens</t>
  </si>
  <si>
    <t>Context-aware attention layers coupled with optimal transport domain adaptation and multimodal fusion methods for recognizing dementia from spontaneous speech</t>
  </si>
  <si>
    <t>Dementia; Log -Mel spectrogram; BERT; DeiT; Optimal transport; Context-based self-attention; Model calibration; Label smoothing</t>
  </si>
  <si>
    <t>Ilias, Loukas/IZE-0744-2023</t>
  </si>
  <si>
    <t>Askounis, Dimitris/0000-0002-2618-5715</t>
  </si>
  <si>
    <t>OCT 9 2023</t>
  </si>
  <si>
    <t>110834</t>
  </si>
  <si>
    <t>10.1016/j.knosys.2023.110834</t>
  </si>
  <si>
    <t>http://dx.doi.org/10.1016/j.knosys.2023.110834</t>
  </si>
  <si>
    <t>P7NM5</t>
  </si>
  <si>
    <t>WOS:001052504400001</t>
  </si>
  <si>
    <t>Rehman, F; Hai, R; Shabbir, MA; Mu, JP; Ishtiaq, M; Li, C; Wu, D; Ding, HB</t>
  </si>
  <si>
    <t>Porous metallic foams suffer from severe signal instability and matrix effects in laser-induced breakdown spectroscopy (LIBS) due to heterogeneous laser-material coupling and pore-driven plasma fluctuations, limiting accurate porosity discrimination. To address this challenge, we propose a novel multimodal strategy that integrates LIBS emission spectra and time-synchronized plasma plume image features, acquired simultaneously from a single laser pulse, to avoid spatiotemporal registration errors for plasma diagnostics and porosity classification. Porous nickel foams with four pore densities (40-100 PPI) and a dense Ni block were analyzed under high vacuum (5 &amp; times; 10-5 mbar) to isolate pore structure effects. Plasma diagnostics confirmed local thermodynamic equilibrium (LTE) with electron densities ranging from 9.3 &amp; times; 1016 to 1.76 &amp; times; 1017 cm- 3 and plasma temperatures of 6500-9500 K, both increasing systematically with pore density. Classical machine learning (ML) models (SVM, RF, MLP, XGBoost) and deep learning architectures (1D-CNN for spectra, CNN-ResNet18 for images) were trained via five-fold stratified cross-validation. Standalone spectral models achieved a maximum accuracy of 69%, while image-based models reached 93%, demonstrating the superior discriminative power of morphology-driven features. A late-fusion model combining XGBoost-derived spectral features and CNNResNet18-extracted image features yielded an unprecedented classification accuracy of 98.2% with minimal variance, representing a 29.2% improvement over spectral-only models and 5.2% over the best unimodal approach. This work's innovations lie in: synchronized acquisition of complementary spectral and morphological data to eliminate cross-instrument registration errors; quantitative linking of pore density to plasma thermodynamic properties (temperature, electron density); and a physics-consistent fusion framework that harnesses compositional and structural information synergistically. The results validate a robust, data-driven approach for LIBS-based characterization of porous metallic foams, overcoming porosity-dependent plasma variability and enabling accurate assessment of structurally diverse porous materials.</t>
  </si>
  <si>
    <t>Rehman, Fahad; Hai, Ran; Shabbir, Muhammad Amir; Mu, Jianping; Ishtiaq, Muhammad; Li, Cong; Wu, Ding; Ding, Hongbin</t>
  </si>
  <si>
    <t>Hai, R; Ding, HB (corresponding author), Dalian Univ Technol, Sch Phys, Key Lab Mat Modificat Laser Ion &amp; Electron Beams, Chinese Minist Educ, Dalian 116024, Liaoning, Peoples R China.</t>
  </si>
  <si>
    <t>rhai@dlut.edu.cn; hding@dlut.edu.cn</t>
  </si>
  <si>
    <t>National Key Research and Development Program of China [2023YFF0714901, 2023YFF0714902]; National MCF Energy R&amp;D Program of China [2022YFE03200100]; Natural Science Foundation of China [12375208, 12575218]</t>
  </si>
  <si>
    <t>National Key Research and Development Program of China (National Key Research &amp; Development Program of China); National MCF Energy R&amp;D Program of China; Natural Science Foundation of China (National Natural Science Foundation of China (NSFC))</t>
  </si>
  <si>
    <t>This research was supported by National Key Research and Development Program of China (Nos. 2023YFF0714901 and 2023YFF0714902) , the National MCF Energy R&amp;D Program of China (No. 2022YFE03200100) , and the Natural Science Foundation of China (Nos. 12375208, and 12575218) .</t>
  </si>
  <si>
    <t>[Rehman, Fahad; Hai, Ran; Shabbir, Muhammad Amir; Mu, Jianping; Li, Cong; Wu, Ding; Ding, Hongbin] Dalian Univ Technol, Sch Phys, Key Lab Mat Modificat Laser Ion &amp; Electron Beams, Chinese Minist Educ, Dalian 116024, Liaoning, Peoples R China; [Ishtiaq, Muhammad] Dalian Univ Technol, Sch Software Technol, Key Lab Ubiquitous Network &amp; Serv Software Liaonin, Dalian 116024, Liaoning, Peoples R China</t>
  </si>
  <si>
    <t>Multimodal fusion of synchronized LIBS spectra and plasma plume images for high-precision porosity classification of nickel foams</t>
  </si>
  <si>
    <t>OPTICS AND LASER TECHNOLOGY</t>
  </si>
  <si>
    <t>LIBS; Plasma plume images; Porous nickel foam; Porosity classification; Multimodal data fusion; Plasma diagnostics</t>
  </si>
  <si>
    <t>BREAKDOWN SPECTROSCOPY LIBS</t>
  </si>
  <si>
    <t>Ishtiaq, Muhammad/PJT-3522-2026; Rehman, Fahad/GVS-7477-2022; Li, Cong/ABA-4844-2021; RAN, HAI/K-3619-2019; Wu, Ding/AAR-2480-2021</t>
  </si>
  <si>
    <t>Rehman, Fahad/0009-0005-8804-8846</t>
  </si>
  <si>
    <t>0030-3992</t>
  </si>
  <si>
    <t>1879-2545</t>
  </si>
  <si>
    <t>OPT LASER TECHNOL</t>
  </si>
  <si>
    <t>Opt. Laser Technol.</t>
  </si>
  <si>
    <t>202</t>
  </si>
  <si>
    <t>115330</t>
  </si>
  <si>
    <t>10.1016/j.optlastec.2026.115330</t>
  </si>
  <si>
    <t>http://dx.doi.org/10.1016/j.optlastec.2026.115330</t>
  </si>
  <si>
    <t>Optics; Physics, Applied</t>
  </si>
  <si>
    <t>Optics; Physics</t>
  </si>
  <si>
    <t>HT2CL</t>
  </si>
  <si>
    <t>WOS:001762117600001</t>
  </si>
  <si>
    <t>Qiu, X; Chen, HW; Huang, P; Zhong, D; Guo, T; Pu, CB; Li, ZN; Liu, YL; Chen, J; Wang, S</t>
  </si>
  <si>
    <t>Diseases pose a significant threat to the citrus industry, and the accurate detection of these diseases represent key factors for their early diagnosis and precise control. Existing diagnostic methods primarily rely on image models trained on vast datasets and limited their applicability due to singular backgrounds. To devise a more accurate, robust, and versatile model for citrus disease classification, this study focused on data diversity, knowledge assistance, and modal fusion. Leaves from healthy plants and plants infected with 10 prevalent diseases (citrus greening, citrus canker, anthracnose, scab, greasy spot, melanose, sooty mold, nitrogen deficiency, magnesium deficiency, and iron deficiency) were used as materials. Initially, three datasets with white, natural, and mixed backgrounds were constructed to analyze their effects on the training accuracy, test generalization ability, and classification balance. This diversification of data significantly improved the model's adaptability to natural settings. Subsequently, by leveraging agricultural domain knowledge, a structured citrus disease features glossary was developed to enhance the efficiency of data preparation and the credibility of identification results. To address the underutilization of multimodal data in existing models, this study explored semantic embedding methods for disease images and structured descriptive texts. Convolutional networks with different depths (VGG16, ResNet50, MobileNetV2, and ShuffleNetV2) were used to extract the visual features of leaves. Concurrently, TextCNN and fastText were used to extract textual features and semantic relationships. By integrating the complementary nature of the image and text information, a joint learning model for citrus disease features was achieved. ShuffleNetV2 + TextCNN, the optimal multimodal model, achieved a classification accuracy of 98.33% on the mixed dataset, which represented improvements of 9.78% and 21.11% over the single-image and single-text models, respectively. This model also exhibited faster convergence, superior classification balance, and enhanced generalization capability, compared with the other methods. The image-text multimodal feature fusion network proposed in this study, which integrates text and image features with domain knowledge, can identify and classify citrus diseases in scenarios with limited samples and multiple background noise. The proposed model provides a more reliable decision-making basis for the precise application of biological and chemical control strategies for citrus production.</t>
  </si>
  <si>
    <t>Qiu, Xia; Chen, Hongwen; Huang, Ping; Zhong, Dan; Guo, Tao; Pu, Changbin; Li, Zongnan; Liu, Yongling; Chen, Jin; Wang, Si</t>
  </si>
  <si>
    <t>Wang, S (corresponding author), Sichuan Acad Agr Sci, Inst Remote Sensing &amp; Digital Agr, Chengdu, Peoples R China.; Wang, S (corresponding author), Sichuan Acad Agr Sci, Sci &amp; Technol Ctr Intelligent Agr, Chengdu, Peoples R China.</t>
  </si>
  <si>
    <t>frankly@163.com.cn</t>
  </si>
  <si>
    <t>National Key Research and Development Program of China [2021YFD1600800]; Sichuan Science and Technology Program [2021YFG0028]; Science and Technology Program of Sichuan Academy of Agricultural Sciences [1 + 9KJGG008/022ZZCX032]</t>
  </si>
  <si>
    <t>National Key Research and Development Program of China (National Key Research &amp; Development Program of China); Sichuan Science and Technology Program (Sichuan Science and Technology Program); Science and Technology Program of Sichuan Academy of Agricultural Sciences</t>
  </si>
  <si>
    <t>The author(s) declare financial support was received for the research, authorship, and/or publication of this article. This research was supported by the National Key Research and Development Program of China, grant number 2021YFD1600800; Sichuan Science and Technology Program, grant number 2021YFG0028; and the Science and Technology Program of Sichuan Academy of Agricultural Sciences grant numbers 1 + 9KJGG008/022ZZCX032.</t>
  </si>
  <si>
    <t>[Qiu, Xia; Chen, Hongwen; Huang, Ping; Zhong, Dan; Guo, Tao; Pu, Changbin; Li, Zongnan; Liu, Yongling; Wang, Si] Sichuan Acad Agr Sci, Inst Remote Sensing &amp; Digital Agr, Chengdu, Peoples R China; [Qiu, Xia; Chen, Hongwen; Zhong, Dan; Guo, Tao; Pu, Changbin; Li, Zongnan; Wang, Si] Sichuan Acad Agr Sci, Sci &amp; Technol Ctr Intelligent Agr, Chengdu, Peoples R China; [Chen, Jin] Beijing Normal Univ, Inst Remote Sensing Sci &amp; Engn, Fac Geog Sci, State Key Lab Remote Sensing Sci, Beijing 100875, Peoples R China</t>
  </si>
  <si>
    <t>Sichuan Academy of Agricultural Sciences (SAAS); Sichuan Academy of Agricultural Sciences (SAAS); Beijing Normal University</t>
  </si>
  <si>
    <t>Detection of citrus diseases in complex backgrounds based on image-text multimodal fusion and knowledge assistance</t>
  </si>
  <si>
    <t>FRONTIERS IN PLANT SCIENCE</t>
  </si>
  <si>
    <t>citrus disease; deep learning; multimodal fusion; background diversity; knowledge assistance</t>
  </si>
  <si>
    <t>DEEP; CLASSIFICATION; RECOGNITION</t>
  </si>
  <si>
    <t>Chen, Jin/A-6417-2011; Guo, Tao/HNB-8670-2023</t>
  </si>
  <si>
    <t>kishk, salma/0009-0003-2382-0562</t>
  </si>
  <si>
    <t>71</t>
  </si>
  <si>
    <t>1664-462X</t>
  </si>
  <si>
    <t>FRONT PLANT SCI</t>
  </si>
  <si>
    <t>Front. Plant Sci.</t>
  </si>
  <si>
    <t>NOV 27 2023</t>
  </si>
  <si>
    <t>1280365</t>
  </si>
  <si>
    <t>10.3389/fpls.2023.1280365</t>
  </si>
  <si>
    <t>http://dx.doi.org/10.3389/fpls.2023.1280365</t>
  </si>
  <si>
    <t>Plant Sciences</t>
  </si>
  <si>
    <t>AL3G3</t>
  </si>
  <si>
    <t>38089795</t>
  </si>
  <si>
    <t>WOS:001118575000001</t>
  </si>
  <si>
    <t>Telangore, H; Azad, V; Sharma, M; Bhurane, A; San Tan, R; Acharya, UR</t>
  </si>
  <si>
    <t>Background and Objective: Sudden cardiac death (SCD) is a critical health issue characterized by the sudden failure of heart function, often caused by ventricular fibrillation (VF). Early prediction of SCD is crucial to enable timely interventions. However, current methods predict SCD only a few minutes before its onset, limiting intervention time. This study aims to develop a deep learning-based model for the early prediction of SCD using electrocardiography (ECG) signals. Methods: A multimodal explainable deep learning-based model is developed to analyze ECG signals at discrete intervals ranging from 5 to 30 min before SCD onset. The raw ECG signals, 2D scalograms generated through wavelet transform and 2D Hilbert spectrum generated through Hilbert-Huang transform (HHT) of ECG signals were applied to multiple deep learning algorithms. For raw ECG, a combination of 1D-convolutional neural networks (1D-CNN) and long short-term memory networks were employed for feature extraction and temporal pattern recognition. Besides, to extract and analyze features from scalograms and Hilbert spectra, Vision Transformer (ViT) and 2D-CNN have been used. Results: The developed model achieved high performance, with accuracy, precision, recall and F1-score of 98.81%, 98.83%, 98.81%, and 98.81% respectively to predict SCD onset 30 min in advance. Further, the proposed model can accurately classify SCD patients and normal controls with 100% accuracy. Thus, the proposed method outperforms the existing state-of-the-art methods. Conclusions: The developed model is capable of capturing diverse patterns on ECG signals recorded at multiple discrete time intervals (at 5-minute increments from 5 min to 30 min) prior to SCD onset that could discriminate for SCD. The proposed model significantly improves early SCD prediction, providing a valuable tool for continuous ECG monitoring in high-risk patients.</t>
  </si>
  <si>
    <t>Telangore, Hardik; Azad, Victor; Sharma, Manish; Bhurane, Ankit; San Tan, Ru; Acharya, U. Rajendra</t>
  </si>
  <si>
    <t>Sharma, M (corresponding author), Inst Infrastruct Technol Res &amp; Management IITRAM, Dept Elect &amp; Comp Sci Engn, Ahmadabad 380026, Gujarat, India.</t>
  </si>
  <si>
    <t>rajendra.acharya@usq.edu.au; victor.azad.20e@iitram.ac.in; tanrsnhc@gmail.com; manishsharma@iitram.ac.in; ankitbhurane@ece.vnit.ac.in; telangore.hardik.23pe@iitram.ac.in</t>
  </si>
  <si>
    <t>Centre of Advanced Defence Technology (CADT) , Institute of Infrastructure, Technology, Research and Management (IITRAM) , Maninagar, Ahmedabad, India</t>
  </si>
  <si>
    <t>We acknowledge the support from the Centre of Advanced Defence Technology (CADT) , Institute of Infrastructure, Technology, Research and Management (IITRAM) , Maninagar, Ahmedabad, India in carrying out the study.</t>
  </si>
  <si>
    <t>[Telangore, Hardik; Azad, Victor; Sharma, Manish] Inst Infrastruct Technol Res &amp; Management IITRAM, Dept Elect &amp; Comp Sci Engn, Ahmadabad 380026, Gujarat, India; [Telangore, Hardik; Sharma, Manish] Inst Infrastruct Technol Res &amp; Management IITRAM, Ctr Adv Def Technol, Ahmadabad 380026, Gujarat, India; [Bhurane, Ankit] Visvesvaraya Natl Inst Technol VNIT, Dept Elect &amp; Commun Engn, Nagpur 440010, Maharashtra, India; [San Tan, Ru] Natl Heart Ctr, Singapore 169609, Singapore; [San Tan, Ru] Duke NUS Med Sch, Singapore 169857, Singapore; [Acharya, U. Rajendra] Univ Southern Queensland, Sch Math Phys &amp; Comp, Springfield, Australia; [Acharya, U. Rajendra] Univ Southern Queensland, Ctr Hlth Res, Toowoomba, Australia</t>
  </si>
  <si>
    <t>Institute of Infrastructure, Technology, Research &amp; Management; Institute of Infrastructure, Technology, Research &amp; Management; National Institute of Technology (NIT System); Visvesvaraya National Institute of Technology, Nagpur; National Heart Centre Singapore; National University of Singapore; University of Southern Queensland; University of Southern Queensland</t>
  </si>
  <si>
    <t>Early prediction of sudden cardiac death using multimodal fusion of ECG Features extracted from Hilbert-Huang and wavelet transforms with explainable vision transformer and CNN models</t>
  </si>
  <si>
    <t>Sudden cardiac death; ECG signals; Deep learning; Vision transformer; Multimodal feature fusion</t>
  </si>
  <si>
    <t>FILTER BANKS; VENTRICULAR-ARRHYTHMIAS; DECOMPOSITION; PREVENTION; GUIDELINES; MANAGEMENT; DIAGNOSIS; WOMEN; RISK</t>
  </si>
  <si>
    <t>Bhurane, Ankit/AAJ-4880-2020; Acharya, U Rajendra/E-3791-2010; Sharma, Manish/X-8109-2019</t>
  </si>
  <si>
    <t>Telangore, Hardik/0009-0003-2803-7411; Azad, Victor/0009-0009-7386-7979; Tan, Ru San/0000-0003-2086-6517; Bhurane, Ankit/0000-0001-8181-7685; Acharya, U Rajendra/0000-0003-2689-8552; Sharma, Manish/0000-0002-2266-5332</t>
  </si>
  <si>
    <t>257</t>
  </si>
  <si>
    <t>108455</t>
  </si>
  <si>
    <t>10.1016/j.cmpb.2024.108455</t>
  </si>
  <si>
    <t>http://dx.doi.org/10.1016/j.cmpb.2024.108455</t>
  </si>
  <si>
    <t>K4Q3S</t>
  </si>
  <si>
    <t>39447439</t>
  </si>
  <si>
    <t>WOS:001343733800001</t>
  </si>
  <si>
    <t>Fu, JC; Dai, D; Huang, SY; Xie, JM; He, YK; Dong, C; Xia, K; Zheng, J; Chen, SS</t>
  </si>
  <si>
    <t>To address the complexity of crispness evolution in Lin'an mountain walnuts under eight distinct thermal processing methods, this study proposes a novel Multi-modal Cross-Attention Fusion Network (MCAFNet), aiming to achieve intelligent and non-destructive evaluation of the physical quality of nut-based foods. First, the Markov Transition Field (MTF) is creatively introduced to transform one-dimensional electronic nose time-series signals into multi-channel images, combined with multi-scale parallel convolutions to capture implicit temporal dynamic features across different time scales. Second, spectral indices and a reconstruction-stacking strategy are adopted to synergistically extract local and global features via multi-stage convolutions, significantly enhancing the representation capability of spectral information. Third, to overcome the semantic gap between multi-modal data, MCAFNet designs a Dual-Branch Feature Fusion (DBFF) module to perform feature-level fusion on onedimensional image and spectral features, while introducing a bidirectional cross-attention mechanism to achieve deep interaction and model-level fusion between the spatial features of pseudo-spectral images and the temporal features of MTF images. Finally, the prediction results are output via a hybrid stacking ensemble strategy. Experimental results demonstrate the superior performance of MCAFNet, achieving a coefficient of determination (R2) of 0.968 and a residual predictive deviation (RPD) of 5.578 for crispness prediction. In conclusion, MCAFNet not only offers an efficient solution for the non-destructive crispness evaluation of nutbased products but also establishes a solid theoretical and practical foundation for intelligent quality monitoring in food engineering.</t>
  </si>
  <si>
    <t>Fu, Jiacheng; Dai, Dan; Huang, Shunying; Xie, Jieming; He, Yongkang; Dong, Chen; Xia, Kai; Zheng, Jian; Chen, Sisi</t>
  </si>
  <si>
    <t>Zheng, J (corresponding author), Zhejiang A&amp;F Univ, Coll Food &amp; Hlth, Hangzhou 311300, Peoples R China.; Chen, SS (corresponding author), Hangzhou Linan Dist Agr &amp; Forestry Technol Extens, Hangzhou 311302, Peoples R China.</t>
  </si>
  <si>
    <t>zhengjian622@126.com</t>
  </si>
  <si>
    <t>National Science Fund for Distin-guished Young Scholars [No32301585, No32271869]</t>
  </si>
  <si>
    <t>National Science Fund for Distin-guished Young Scholars (National Natural Science Foundation of China (NSFC), National Science Fund for Distinguished Young Scholars)</t>
  </si>
  <si>
    <t>This work was supported by the National Science Fund for Distin-guished Young Scholars (Grant No32301585 and Grant No32271869) .</t>
  </si>
  <si>
    <t>[Fu, Jiacheng; Dai, Dan; Huang, Shunying; Xie, Jieming; Dong, Chen; Xia, Kai] Zhejiang A&amp;F Univ, Coll Math &amp; Comp Sci, Hangzhou 311300, Peoples R China; [He, Yongkang; Zheng, Jian] Zhejiang A&amp;F Univ, Coll Food &amp; Hlth, Hangzhou 311300, Peoples R China; [Chen, Sisi] Hangzhou Linan Dist Agr &amp; Forestry Technol Extens, Hangzhou 311302, Peoples R China</t>
  </si>
  <si>
    <t>Zhejiang A&amp;F University; Zhejiang A&amp;F University</t>
  </si>
  <si>
    <t>A multimodal fusion model for predicting the roasting-induced crispness of walnut kernels using machine vision, hyperspectral imaging, and electronic nose</t>
  </si>
  <si>
    <t>CURRENT RESEARCH IN FOOD SCIENCE</t>
  </si>
  <si>
    <t>Crispness detection of walnut kernels; Non-destructive testing; Multimodal fusion; Deep learning</t>
  </si>
  <si>
    <t>REGRESSION; REFLECTANCE; TEXTURE; CLASSIFICATION; SPECTROSCOPY</t>
  </si>
  <si>
    <t>fu, jiacheng/OIS-0055-2025</t>
  </si>
  <si>
    <t>2665-9271</t>
  </si>
  <si>
    <t>CURR RES FOOD SCI</t>
  </si>
  <si>
    <t>Curr. Res. Food Sci.</t>
  </si>
  <si>
    <t>101269</t>
  </si>
  <si>
    <t>10.1016/j.crfs.2025.101269</t>
  </si>
  <si>
    <t>http://dx.doi.org/10.1016/j.crfs.2025.101269</t>
  </si>
  <si>
    <t>U7082</t>
  </si>
  <si>
    <t>41477030</t>
  </si>
  <si>
    <t>WOS:001638869800001</t>
  </si>
  <si>
    <t>Wang, J; Zhao, YJ; Li, XX; Zhou, Y; Zhao, KX; Wang, H; Shakweer, WME</t>
  </si>
  <si>
    <t>The combination of multimodal features based on vocalization and behavioral traits has been proven to enhance the robustness and accuracy of estrus detection. However, challenges still need to be addressed to improve the reliability and practicality of the identification of estrus cows, including unclear association mechanisms between multi-feature estrus traits and complex estrus states, inadequate feature selection and fusion strategies, and limitations in algorithm performance. To cope with these difficulties, the Friedman test, Mantel test, Spearman rank correlation coefficient, Kruskal-Wallis test, and Canonical Correspondence Analysis (CCA) were employed to explore the complex interactions among high-dimensional estrus data. Moreover, the model interpretability framework based on the self-attention mechanism was constructed to reveal the importance of critical features and optimize feature combinations. In addition, the multimodal fusion approach integrating standardization processing, principal component analysis, Fourier transform, statistical indicators extraction, and semi-tensor product was designed to elevate the depth of representation and the fusion effect of multidimensional data by comprehensively analyzing the relationships among various features. Furthermore, a neural network-optimized Hidden Markov Model (NN-HMM) for estrus detection was proposed to promote the capability of estrus detection by overcoming the imperfections of traditional HMM in capturing long distance dependence effect in state transition matrices, describing complex feature relationship in emission probability matrices, and dynamic adaptability of optimal path generation. The experimental results demonstrated that the selection of optimal feature combination integrating acoustic and behavioral features (number of bellowings, number of lowings, number of consecutive bellowings, vocalization frequency, standing duration, lying duration, walking duration, feeding duration, activity index, number of standing mounts, number of social behaviors, and ruminating variation index) improved estrus detection accuracy by over 18 % compared to using suboptimal feature combinations. Meanwhile, compared with Support Vector Machine (SVM), Convolutional Neural Network (CNN), and Long Short-Term Memory (LSTM) models, the accuracy of the developed multimodal fusion-based detection method increased by 8.8 %, 7.4 %, and 6.1 %, while the precision enhanced by 7.4 %, 6.0 %, and 4.3 %, respectively. Blind testing conducted on multisource estrus data from 24 multiparous and 16 primiparous cows found that the proposed prediction method advanced the prediction of estrus onset by up to 85 and 40 mins for primiparous cows and up to 75 and 60 mins for multiparous cows, respectively, significantly surpassing conventional activity index and acoustic-based methods. Therefore, the method proposed in this study undoubtedly provides a reliable solution for timely and efficient detection of estrus in dairy farms.</t>
  </si>
  <si>
    <t>Wang, Jun; Zhao, Yijia; Li, Xiaoxia; Zhou, Yu; Zhao, Kaixuan; Wang, Hui; Shakweer, Waleid Mohamed EL-Sayed</t>
  </si>
  <si>
    <t>Wang, J (corresponding author), Henan Univ Sci &amp; Technol, Sch Informat Engn, Luoyang 471003, Henan, Peoples R China.</t>
  </si>
  <si>
    <t>wangjun_haust@163.com</t>
  </si>
  <si>
    <t>National Natural Science Foundation of China [32372933]; National Key Research and Development Program [2023YFD2000702]; Outstanding Foreign Scientist Studio in Henan Province, China [GZS2025005]</t>
  </si>
  <si>
    <t>National Natural Science Foundation of China (National Natural Science Foundation of China (NSFC)); National Key Research and Development Program (National Key Research &amp; Development Program of China); Outstanding Foreign Scientist Studio in Henan Province, China</t>
  </si>
  <si>
    <t>This research activity described in this paper is supported in part by National Natural Science Foundation of China (Grant No. 32372933) , National Key Research and Development Program (Grant No. 2023YFD2000702) , and Outstanding Foreign Scientist Studio in Henan Province, China (Grant No. GZS2025005) .</t>
  </si>
  <si>
    <t>[Wang, Jun; Zhao, Yijia] Henan Univ Sci &amp; Technol, Sch Informat Engn, Luoyang 471003, Henan, Peoples R China; [Li, Xiaoxia] Henan Univ Sci &amp; Technol, Sch Anim Sci &amp; Technol, Luoyang 471003, Henan, Peoples R China; [Zhou, Yu] Henan Univ Sci &amp; Technol, Sch Med Technol &amp; Engn, Luoyang 471003, Henan, Peoples R China; [Zhao, Kaixuan] Henan Univ Sci &amp; Technol, Sch Agr Equipment Engn, Luoyang 471003, Henan, Peoples R China; [Wang, Hui] Chinese Acad Agr Sci, State Key Lab Anim Nutr, Inst Anim Sci, Beijing 100193, Peoples R China; [Shakweer, Waleid Mohamed EL-Sayed] Agr &amp; Biol Res Inst, Natl Res Ctr, Cairo 12622, Egypt</t>
  </si>
  <si>
    <t>Henan University of Science &amp; Technology; Henan University of Science &amp; Technology; Henan University of Science &amp; Technology; Henan University of Science &amp; Technology; Chinese Academy of Agricultural Sciences; Institute of Animal Science, CAAS; Egyptian Knowledge Bank (EKB); National Research Centre (NRC)</t>
  </si>
  <si>
    <t>Multimodal fusion-based detection method of estrus cows using multisource data inspired by hidden Markov model algorithms</t>
  </si>
  <si>
    <t>COMPUTERS AND ELECTRONICS IN AGRICULTURE</t>
  </si>
  <si>
    <t>Estrus detection; Statistical tests; Multimodal features; Feature fusion; neural network-optimized HMM</t>
  </si>
  <si>
    <t>AUTOMATIC RECOGNITION; DAIRY-COWS</t>
  </si>
  <si>
    <t>wang, hui/ABG-3281-2021</t>
  </si>
  <si>
    <t>Zhou, Yu/0000-0002-5132-4174; Shakweer, Waleid/0000-0002-5177-2743</t>
  </si>
  <si>
    <t>0168-1699</t>
  </si>
  <si>
    <t>1872-7107</t>
  </si>
  <si>
    <t>COMPUT ELECTRON AGR</t>
  </si>
  <si>
    <t>Comput. Electron. Agric.</t>
  </si>
  <si>
    <t>235</t>
  </si>
  <si>
    <t>110391</t>
  </si>
  <si>
    <t>10.1016/j.compag.2025.110391</t>
  </si>
  <si>
    <t>http://dx.doi.org/10.1016/j.compag.2025.110391</t>
  </si>
  <si>
    <t>Agriculture, Multidisciplinary; Computer Science, Interdisciplinary Applications</t>
  </si>
  <si>
    <t>Agriculture; Computer Science</t>
  </si>
  <si>
    <t>1PX2C</t>
  </si>
  <si>
    <t>WOS:001470845300001</t>
  </si>
</sst>
</file>

<file path=xl/styles.xml><?xml version="1.0" encoding="utf-8"?>
<styleSheet xmlns="http://schemas.openxmlformats.org/spreadsheetml/2006/main">
  <numFmts count="0"/>
  <fonts count="583">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583">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xf numFmtId="0" fontId="415" fillId="0" borderId="0" xfId="0" applyFont="true"/>
    <xf numFmtId="0" fontId="416" fillId="0" borderId="0" xfId="0" applyFont="true"/>
    <xf numFmtId="0" fontId="417" fillId="0" borderId="0" xfId="0" applyFont="true"/>
    <xf numFmtId="0" fontId="418" fillId="0" borderId="0" xfId="0" applyFont="true"/>
    <xf numFmtId="0" fontId="419" fillId="0" borderId="0" xfId="0" applyFont="true"/>
    <xf numFmtId="0" fontId="420" fillId="0" borderId="0" xfId="0" applyFont="true"/>
    <xf numFmtId="0" fontId="421" fillId="0" borderId="0" xfId="0" applyFont="true"/>
    <xf numFmtId="0" fontId="422" fillId="0" borderId="0" xfId="0" applyFont="true"/>
    <xf numFmtId="0" fontId="423" fillId="0" borderId="0" xfId="0" applyFont="true"/>
    <xf numFmtId="0" fontId="424" fillId="0" borderId="0" xfId="0" applyFont="true"/>
    <xf numFmtId="0" fontId="425" fillId="0" borderId="0" xfId="0" applyFont="true"/>
    <xf numFmtId="0" fontId="426" fillId="0" borderId="0" xfId="0" applyFont="true"/>
    <xf numFmtId="0" fontId="427" fillId="0" borderId="0" xfId="0" applyFont="true"/>
    <xf numFmtId="0" fontId="428" fillId="0" borderId="0" xfId="0" applyFont="true"/>
    <xf numFmtId="0" fontId="429" fillId="0" borderId="0" xfId="0" applyFont="true"/>
    <xf numFmtId="0" fontId="430" fillId="0" borderId="0" xfId="0" applyFont="true"/>
    <xf numFmtId="0" fontId="431" fillId="0" borderId="0" xfId="0" applyFont="true"/>
    <xf numFmtId="0" fontId="432" fillId="0" borderId="0" xfId="0" applyFont="true"/>
    <xf numFmtId="0" fontId="433" fillId="0" borderId="0" xfId="0" applyFont="true"/>
    <xf numFmtId="0" fontId="434" fillId="0" borderId="0" xfId="0" applyFont="true"/>
    <xf numFmtId="0" fontId="435" fillId="0" borderId="0" xfId="0" applyFont="true"/>
    <xf numFmtId="0" fontId="436" fillId="0" borderId="0" xfId="0" applyFont="true"/>
    <xf numFmtId="0" fontId="437" fillId="0" borderId="0" xfId="0" applyFont="true"/>
    <xf numFmtId="0" fontId="438" fillId="0" borderId="0" xfId="0" applyFont="true"/>
    <xf numFmtId="0" fontId="439" fillId="0" borderId="0" xfId="0" applyFont="true"/>
    <xf numFmtId="0" fontId="440" fillId="0" borderId="0" xfId="0" applyFont="true"/>
    <xf numFmtId="0" fontId="441" fillId="0" borderId="0" xfId="0" applyFont="true"/>
    <xf numFmtId="0" fontId="442" fillId="0" borderId="0" xfId="0" applyFont="true"/>
    <xf numFmtId="0" fontId="443" fillId="0" borderId="0" xfId="0" applyFont="true"/>
    <xf numFmtId="0" fontId="444" fillId="0" borderId="0" xfId="0" applyFont="true"/>
    <xf numFmtId="0" fontId="445" fillId="0" borderId="0" xfId="0" applyFont="true"/>
    <xf numFmtId="0" fontId="446" fillId="0" borderId="0" xfId="0" applyFont="true"/>
    <xf numFmtId="0" fontId="447" fillId="0" borderId="0" xfId="0" applyFont="true"/>
    <xf numFmtId="0" fontId="448" fillId="0" borderId="0" xfId="0" applyFont="true"/>
    <xf numFmtId="0" fontId="449" fillId="0" borderId="0" xfId="0" applyFont="true"/>
    <xf numFmtId="0" fontId="450" fillId="0" borderId="0" xfId="0" applyFont="true"/>
    <xf numFmtId="0" fontId="451" fillId="0" borderId="0" xfId="0" applyFont="true"/>
    <xf numFmtId="0" fontId="452" fillId="0" borderId="0" xfId="0" applyFont="true"/>
    <xf numFmtId="0" fontId="453" fillId="0" borderId="0" xfId="0" applyFont="true"/>
    <xf numFmtId="0" fontId="454" fillId="0" borderId="0" xfId="0" applyFont="true"/>
    <xf numFmtId="0" fontId="455" fillId="0" borderId="0" xfId="0" applyFont="true"/>
    <xf numFmtId="0" fontId="456" fillId="0" borderId="0" xfId="0" applyFont="true"/>
    <xf numFmtId="0" fontId="457" fillId="0" borderId="0" xfId="0" applyFont="true"/>
    <xf numFmtId="0" fontId="458" fillId="0" borderId="0" xfId="0" applyFont="true"/>
    <xf numFmtId="0" fontId="459" fillId="0" borderId="0" xfId="0" applyFont="true"/>
    <xf numFmtId="0" fontId="460" fillId="0" borderId="0" xfId="0" applyFont="true"/>
    <xf numFmtId="0" fontId="461" fillId="0" borderId="0" xfId="0" applyFont="true"/>
    <xf numFmtId="0" fontId="462" fillId="0" borderId="0" xfId="0" applyFont="true"/>
    <xf numFmtId="0" fontId="463" fillId="0" borderId="0" xfId="0" applyFont="true"/>
    <xf numFmtId="0" fontId="464" fillId="0" borderId="0" xfId="0" applyFont="true"/>
    <xf numFmtId="0" fontId="465" fillId="0" borderId="0" xfId="0" applyFont="true"/>
    <xf numFmtId="0" fontId="466" fillId="0" borderId="0" xfId="0" applyFont="true"/>
    <xf numFmtId="0" fontId="467" fillId="0" borderId="0" xfId="0" applyFont="true"/>
    <xf numFmtId="0" fontId="468" fillId="0" borderId="0" xfId="0" applyFont="true"/>
    <xf numFmtId="0" fontId="469" fillId="0" borderId="0" xfId="0" applyFont="true"/>
    <xf numFmtId="0" fontId="470" fillId="0" borderId="0" xfId="0" applyFont="true"/>
    <xf numFmtId="0" fontId="471" fillId="0" borderId="0" xfId="0" applyFont="true"/>
    <xf numFmtId="0" fontId="472" fillId="0" borderId="0" xfId="0" applyFont="true"/>
    <xf numFmtId="0" fontId="473" fillId="0" borderId="0" xfId="0" applyFont="true"/>
    <xf numFmtId="0" fontId="474" fillId="0" borderId="0" xfId="0" applyFont="true"/>
    <xf numFmtId="0" fontId="475" fillId="0" borderId="0" xfId="0" applyFont="true"/>
    <xf numFmtId="0" fontId="476" fillId="0" borderId="0" xfId="0" applyFont="true"/>
    <xf numFmtId="0" fontId="477" fillId="0" borderId="0" xfId="0" applyFont="true"/>
    <xf numFmtId="0" fontId="478" fillId="0" borderId="0" xfId="0" applyFont="true"/>
    <xf numFmtId="0" fontId="479" fillId="0" borderId="0" xfId="0" applyFont="true"/>
    <xf numFmtId="0" fontId="480" fillId="0" borderId="0" xfId="0" applyFont="true"/>
    <xf numFmtId="0" fontId="481" fillId="0" borderId="0" xfId="0" applyFont="true"/>
    <xf numFmtId="0" fontId="482" fillId="0" borderId="0" xfId="0" applyFont="true"/>
    <xf numFmtId="0" fontId="483" fillId="0" borderId="0" xfId="0" applyFont="true"/>
    <xf numFmtId="0" fontId="484" fillId="0" borderId="0" xfId="0" applyFont="true"/>
    <xf numFmtId="0" fontId="485" fillId="0" borderId="0" xfId="0" applyFont="true"/>
    <xf numFmtId="0" fontId="486" fillId="0" borderId="0" xfId="0" applyFont="true"/>
    <xf numFmtId="0" fontId="487" fillId="0" borderId="0" xfId="0" applyFont="true"/>
    <xf numFmtId="0" fontId="488" fillId="0" borderId="0" xfId="0" applyFont="true"/>
    <xf numFmtId="0" fontId="489" fillId="0" borderId="0" xfId="0" applyFont="true"/>
    <xf numFmtId="0" fontId="490" fillId="0" borderId="0" xfId="0" applyFont="true"/>
    <xf numFmtId="0" fontId="491" fillId="0" borderId="0" xfId="0" applyFont="true"/>
    <xf numFmtId="0" fontId="492" fillId="0" borderId="0" xfId="0" applyFont="true"/>
    <xf numFmtId="0" fontId="493" fillId="0" borderId="0" xfId="0" applyFont="true"/>
    <xf numFmtId="0" fontId="494" fillId="0" borderId="0" xfId="0" applyFont="true"/>
    <xf numFmtId="0" fontId="495" fillId="0" borderId="0" xfId="0" applyFont="true"/>
    <xf numFmtId="0" fontId="496" fillId="0" borderId="0" xfId="0" applyFont="true"/>
    <xf numFmtId="0" fontId="497" fillId="0" borderId="0" xfId="0" applyFont="true"/>
    <xf numFmtId="0" fontId="498" fillId="0" borderId="0" xfId="0" applyFont="true"/>
    <xf numFmtId="0" fontId="499" fillId="0" borderId="0" xfId="0" applyFont="true"/>
    <xf numFmtId="0" fontId="500" fillId="0" borderId="0" xfId="0" applyFont="true"/>
    <xf numFmtId="0" fontId="501" fillId="0" borderId="0" xfId="0" applyFont="true"/>
    <xf numFmtId="0" fontId="502" fillId="0" borderId="0" xfId="0" applyFont="true"/>
    <xf numFmtId="0" fontId="503" fillId="0" borderId="0" xfId="0" applyFont="true"/>
    <xf numFmtId="0" fontId="504" fillId="0" borderId="0" xfId="0" applyFont="true"/>
    <xf numFmtId="0" fontId="505" fillId="0" borderId="0" xfId="0" applyFont="true"/>
    <xf numFmtId="0" fontId="506" fillId="0" borderId="0" xfId="0" applyFont="true"/>
    <xf numFmtId="0" fontId="507" fillId="0" borderId="0" xfId="0" applyFont="true"/>
    <xf numFmtId="0" fontId="508" fillId="0" borderId="0" xfId="0" applyFont="true"/>
    <xf numFmtId="0" fontId="509" fillId="0" borderId="0" xfId="0" applyFont="true"/>
    <xf numFmtId="0" fontId="510" fillId="0" borderId="0" xfId="0" applyFont="true"/>
    <xf numFmtId="0" fontId="511" fillId="0" borderId="0" xfId="0" applyFont="true"/>
    <xf numFmtId="0" fontId="512" fillId="0" borderId="0" xfId="0" applyFont="true"/>
    <xf numFmtId="0" fontId="513" fillId="0" borderId="0" xfId="0" applyFont="true"/>
    <xf numFmtId="0" fontId="514" fillId="0" borderId="0" xfId="0" applyFont="true"/>
    <xf numFmtId="0" fontId="515" fillId="0" borderId="0" xfId="0" applyFont="true"/>
    <xf numFmtId="0" fontId="516" fillId="0" borderId="0" xfId="0" applyFont="true"/>
    <xf numFmtId="0" fontId="517" fillId="0" borderId="0" xfId="0" applyFont="true"/>
    <xf numFmtId="0" fontId="518" fillId="0" borderId="0" xfId="0" applyFont="true"/>
    <xf numFmtId="0" fontId="519" fillId="0" borderId="0" xfId="0" applyFont="true"/>
    <xf numFmtId="0" fontId="520" fillId="0" borderId="0" xfId="0" applyFont="true"/>
    <xf numFmtId="0" fontId="521" fillId="0" borderId="0" xfId="0" applyFont="true"/>
    <xf numFmtId="0" fontId="522" fillId="0" borderId="0" xfId="0" applyFont="true"/>
    <xf numFmtId="0" fontId="523" fillId="0" borderId="0" xfId="0" applyFont="true"/>
    <xf numFmtId="0" fontId="524" fillId="0" borderId="0" xfId="0" applyFont="true"/>
    <xf numFmtId="0" fontId="525" fillId="0" borderId="0" xfId="0" applyFont="true"/>
    <xf numFmtId="0" fontId="526" fillId="0" borderId="0" xfId="0" applyFont="true"/>
    <xf numFmtId="0" fontId="527" fillId="0" borderId="0" xfId="0" applyFont="true"/>
    <xf numFmtId="0" fontId="528" fillId="0" borderId="0" xfId="0" applyFont="true"/>
    <xf numFmtId="0" fontId="529" fillId="0" borderId="0" xfId="0" applyFont="true"/>
    <xf numFmtId="0" fontId="530" fillId="0" borderId="0" xfId="0" applyFont="true"/>
    <xf numFmtId="0" fontId="531" fillId="0" borderId="0" xfId="0" applyFont="true"/>
    <xf numFmtId="0" fontId="532" fillId="0" borderId="0" xfId="0" applyFont="true"/>
    <xf numFmtId="0" fontId="533" fillId="0" borderId="0" xfId="0" applyFont="true"/>
    <xf numFmtId="0" fontId="534" fillId="0" borderId="0" xfId="0" applyFont="true"/>
    <xf numFmtId="0" fontId="535" fillId="0" borderId="0" xfId="0" applyFont="true"/>
    <xf numFmtId="0" fontId="536" fillId="0" borderId="0" xfId="0" applyFont="true"/>
    <xf numFmtId="0" fontId="537" fillId="0" borderId="0" xfId="0" applyFont="true"/>
    <xf numFmtId="0" fontId="538" fillId="0" borderId="0" xfId="0" applyFont="true"/>
    <xf numFmtId="0" fontId="539" fillId="0" borderId="0" xfId="0" applyFont="true"/>
    <xf numFmtId="0" fontId="540" fillId="0" borderId="0" xfId="0" applyFont="true"/>
    <xf numFmtId="0" fontId="541" fillId="0" borderId="0" xfId="0" applyFont="true"/>
    <xf numFmtId="0" fontId="542" fillId="0" borderId="0" xfId="0" applyFont="true"/>
    <xf numFmtId="0" fontId="543" fillId="0" borderId="0" xfId="0" applyFont="true"/>
    <xf numFmtId="0" fontId="544" fillId="0" borderId="0" xfId="0" applyFont="true"/>
    <xf numFmtId="0" fontId="545" fillId="0" borderId="0" xfId="0" applyFont="true"/>
    <xf numFmtId="0" fontId="546" fillId="0" borderId="0" xfId="0" applyFont="true"/>
    <xf numFmtId="0" fontId="547" fillId="0" borderId="0" xfId="0" applyFont="true"/>
    <xf numFmtId="0" fontId="548" fillId="0" borderId="0" xfId="0" applyFont="true"/>
    <xf numFmtId="0" fontId="549" fillId="0" borderId="0" xfId="0" applyFont="true"/>
    <xf numFmtId="0" fontId="550" fillId="0" borderId="0" xfId="0" applyFont="true"/>
    <xf numFmtId="0" fontId="551" fillId="0" borderId="0" xfId="0" applyFont="true"/>
    <xf numFmtId="0" fontId="552" fillId="0" borderId="0" xfId="0" applyFont="true"/>
    <xf numFmtId="0" fontId="553" fillId="0" borderId="0" xfId="0" applyFont="true"/>
    <xf numFmtId="0" fontId="554" fillId="0" borderId="0" xfId="0" applyFont="true"/>
    <xf numFmtId="0" fontId="555" fillId="0" borderId="0" xfId="0" applyFont="true"/>
    <xf numFmtId="0" fontId="556" fillId="0" borderId="0" xfId="0" applyFont="true"/>
    <xf numFmtId="0" fontId="557" fillId="0" borderId="0" xfId="0" applyFont="true"/>
    <xf numFmtId="0" fontId="558" fillId="0" borderId="0" xfId="0" applyFont="true"/>
    <xf numFmtId="0" fontId="559" fillId="0" borderId="0" xfId="0" applyFont="true"/>
    <xf numFmtId="0" fontId="560" fillId="0" borderId="0" xfId="0" applyFont="true"/>
    <xf numFmtId="0" fontId="561" fillId="0" borderId="0" xfId="0" applyFont="true"/>
    <xf numFmtId="0" fontId="562" fillId="0" borderId="0" xfId="0" applyFont="true"/>
    <xf numFmtId="0" fontId="563" fillId="0" borderId="0" xfId="0" applyFont="true"/>
    <xf numFmtId="0" fontId="564" fillId="0" borderId="0" xfId="0" applyFont="true"/>
    <xf numFmtId="0" fontId="565" fillId="0" borderId="0" xfId="0" applyFont="true"/>
    <xf numFmtId="0" fontId="566" fillId="0" borderId="0" xfId="0" applyFont="true"/>
    <xf numFmtId="0" fontId="567" fillId="0" borderId="0" xfId="0" applyFont="true"/>
    <xf numFmtId="0" fontId="568" fillId="0" borderId="0" xfId="0" applyFont="true"/>
    <xf numFmtId="0" fontId="569" fillId="0" borderId="0" xfId="0" applyFont="true"/>
    <xf numFmtId="0" fontId="570" fillId="0" borderId="0" xfId="0" applyFont="true"/>
    <xf numFmtId="0" fontId="571" fillId="0" borderId="0" xfId="0" applyFont="true"/>
    <xf numFmtId="0" fontId="572" fillId="0" borderId="0" xfId="0" applyFont="true"/>
    <xf numFmtId="0" fontId="573" fillId="0" borderId="0" xfId="0" applyFont="true"/>
    <xf numFmtId="0" fontId="574" fillId="0" borderId="0" xfId="0" applyFont="true"/>
    <xf numFmtId="0" fontId="575" fillId="0" borderId="0" xfId="0" applyFont="true"/>
    <xf numFmtId="0" fontId="576" fillId="0" borderId="0" xfId="0" applyFont="true"/>
    <xf numFmtId="0" fontId="577" fillId="0" borderId="0" xfId="0" applyFont="true"/>
    <xf numFmtId="0" fontId="578" fillId="0" borderId="0" xfId="0" applyFont="true"/>
    <xf numFmtId="0" fontId="579" fillId="0" borderId="0" xfId="0" applyFont="true"/>
    <xf numFmtId="0" fontId="580" fillId="0" borderId="0" xfId="0" applyFont="true"/>
    <xf numFmtId="0" fontId="581" fillId="0" borderId="0" xfId="0" applyFont="true"/>
    <xf numFmtId="0" fontId="58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016%2Fj.cmpb.2025.108848" TargetMode="External" Type="http://schemas.openxmlformats.org/officeDocument/2006/relationships/hyperlink"/><Relationship Id="rId10" Target="https%3A%2F%2Fwww.webofscience.com%2Fwos%2Fwoscc%2Ffull-record%2FWOS%3A001708803900001" TargetMode="External" Type="http://schemas.openxmlformats.org/officeDocument/2006/relationships/hyperlink"/><Relationship Id="rId100" Target="https%3A%2F%2Fwww.webofscience.com%2Fwos%2Fwoscc%2Ffull-record%2FWOS%3A001749792500001" TargetMode="External" Type="http://schemas.openxmlformats.org/officeDocument/2006/relationships/hyperlink"/><Relationship Id="rId101" Target="http%3A%2F%2Fdx.doi.org%2F10.1002%2Fadvs.202407060" TargetMode="External" Type="http://schemas.openxmlformats.org/officeDocument/2006/relationships/hyperlink"/><Relationship Id="rId102" Target="https%3A%2F%2Fwww.webofscience.com%2Fwos%2Fwoscc%2Ffull-record%2FWOS%3A001438977100001" TargetMode="External" Type="http://schemas.openxmlformats.org/officeDocument/2006/relationships/hyperlink"/><Relationship Id="rId103" Target="http%3A%2F%2Fdx.doi.org%2F10.36306%2Fkonjes.1716813" TargetMode="External" Type="http://schemas.openxmlformats.org/officeDocument/2006/relationships/hyperlink"/><Relationship Id="rId104" Target="https%3A%2F%2Fwww.webofscience.com%2Fwos%2Fwoscc%2Ffull-record%2FWOS%3A001805107900002" TargetMode="External" Type="http://schemas.openxmlformats.org/officeDocument/2006/relationships/hyperlink"/><Relationship Id="rId105" Target="http%3A%2F%2Fdx.doi.org%2F10.1016%2Fj.molstruc.2025.144614" TargetMode="External" Type="http://schemas.openxmlformats.org/officeDocument/2006/relationships/hyperlink"/><Relationship Id="rId106" Target="https%3A%2F%2Fwww.webofscience.com%2Fwos%2Fwoscc%2Ffull-record%2FWOS%3A001615833000004" TargetMode="External" Type="http://schemas.openxmlformats.org/officeDocument/2006/relationships/hyperlink"/><Relationship Id="rId107" Target="http%3A%2F%2Fdx.doi.org%2F10.34133%2Fresearch.1136" TargetMode="External" Type="http://schemas.openxmlformats.org/officeDocument/2006/relationships/hyperlink"/><Relationship Id="rId108" Target="https%3A%2F%2Fwww.webofscience.com%2Fwos%2Fwoscc%2Ffull-record%2FWOS%3A001727655000001" TargetMode="External" Type="http://schemas.openxmlformats.org/officeDocument/2006/relationships/hyperlink"/><Relationship Id="rId109" Target="http%3A%2F%2Fdx.doi.org%2F10.1088%2F1873-4030%2Fae449b" TargetMode="External" Type="http://schemas.openxmlformats.org/officeDocument/2006/relationships/hyperlink"/><Relationship Id="rId11" Target="http%3A%2F%2Fdx.doi.org%2F10.1186%2Fs12967-026-08079-0" TargetMode="External" Type="http://schemas.openxmlformats.org/officeDocument/2006/relationships/hyperlink"/><Relationship Id="rId110" Target="https%3A%2F%2Fwww.webofscience.com%2Fwos%2Fwoscc%2Ffull-record%2FWOS%3A001751399300001" TargetMode="External" Type="http://schemas.openxmlformats.org/officeDocument/2006/relationships/hyperlink"/><Relationship Id="rId111" Target="http%3A%2F%2Fdx.doi.org%2F10.21037%2Fjtd-2025-1012" TargetMode="External" Type="http://schemas.openxmlformats.org/officeDocument/2006/relationships/hyperlink"/><Relationship Id="rId112" Target="https%3A%2F%2Fwww.webofscience.com%2Fwos%2Fwoscc%2Ffull-record%2FWOS%3A001615901300001" TargetMode="External" Type="http://schemas.openxmlformats.org/officeDocument/2006/relationships/hyperlink"/><Relationship Id="rId113" Target="http%3A%2F%2Fdx.doi.org%2F10.1016%2Fj.inffus.2026.104437" TargetMode="External" Type="http://schemas.openxmlformats.org/officeDocument/2006/relationships/hyperlink"/><Relationship Id="rId114" Target="https%3A%2F%2Fwww.webofscience.com%2Fwos%2Fwoscc%2Ffull-record%2FWOS%3A001778956600001" TargetMode="External" Type="http://schemas.openxmlformats.org/officeDocument/2006/relationships/hyperlink"/><Relationship Id="rId115" Target="http%3A%2F%2Fdx.doi.org%2F10.1016%2Fj.jbi.2023.104415" TargetMode="External" Type="http://schemas.openxmlformats.org/officeDocument/2006/relationships/hyperlink"/><Relationship Id="rId116" Target="https%3A%2F%2Fwww.webofscience.com%2Fwos%2Fwoscc%2Ffull-record%2FWOS%3A001036089700001" TargetMode="External" Type="http://schemas.openxmlformats.org/officeDocument/2006/relationships/hyperlink"/><Relationship Id="rId117" Target="http%3A%2F%2Fdx.doi.org%2F10.3390%2Fcancers18020210" TargetMode="External" Type="http://schemas.openxmlformats.org/officeDocument/2006/relationships/hyperlink"/><Relationship Id="rId118" Target="https%3A%2F%2Fwww.webofscience.com%2Fwos%2Fwoscc%2Ffull-record%2FWOS%3A001671995700001" TargetMode="External" Type="http://schemas.openxmlformats.org/officeDocument/2006/relationships/hyperlink"/><Relationship Id="rId119" Target="http%3A%2F%2Fdx.doi.org%2F10.1186%2Fs12911-024-02772-0" TargetMode="External" Type="http://schemas.openxmlformats.org/officeDocument/2006/relationships/hyperlink"/><Relationship Id="rId12" Target="https%3A%2F%2Fwww.webofscience.com%2Fwos%2Fwoscc%2Ffull-record%2FWOS%3A001752283100001" TargetMode="External" Type="http://schemas.openxmlformats.org/officeDocument/2006/relationships/hyperlink"/><Relationship Id="rId120" Target="https%3A%2F%2Fwww.webofscience.com%2Fwos%2Fwoscc%2Ffull-record%2FWOS%3A001361222400001" TargetMode="External" Type="http://schemas.openxmlformats.org/officeDocument/2006/relationships/hyperlink"/><Relationship Id="rId121" Target="http%3A%2F%2Fdx.doi.org%2F10.2196%2F67356" TargetMode="External" Type="http://schemas.openxmlformats.org/officeDocument/2006/relationships/hyperlink"/><Relationship Id="rId122" Target="https%3A%2F%2Fwww.webofscience.com%2Fwos%2Fwoscc%2Ffull-record%2FWOS%3A001488674200001" TargetMode="External" Type="http://schemas.openxmlformats.org/officeDocument/2006/relationships/hyperlink"/><Relationship Id="rId123" Target="http%3A%2F%2Fdx.doi.org%2F10.1038%2Fs41524-025-01767-3" TargetMode="External" Type="http://schemas.openxmlformats.org/officeDocument/2006/relationships/hyperlink"/><Relationship Id="rId124" Target="https%3A%2F%2Fwww.webofscience.com%2Fwos%2Fwoscc%2Ffull-record%2FWOS%3A001558608800001" TargetMode="External" Type="http://schemas.openxmlformats.org/officeDocument/2006/relationships/hyperlink"/><Relationship Id="rId125" Target="http%3A%2F%2Fdx.doi.org%2F10.1371%2Fjournal.pdig.0001517" TargetMode="External" Type="http://schemas.openxmlformats.org/officeDocument/2006/relationships/hyperlink"/><Relationship Id="rId126" Target="https%3A%2F%2Fwww.webofscience.com%2Fwos%2Fwoscc%2Ffull-record%2FWOS%3A001823121700001" TargetMode="External" Type="http://schemas.openxmlformats.org/officeDocument/2006/relationships/hyperlink"/><Relationship Id="rId127" Target="http%3A%2F%2Fdx.doi.org%2F10.1016%2Fj.eswa.2025.130174" TargetMode="External" Type="http://schemas.openxmlformats.org/officeDocument/2006/relationships/hyperlink"/><Relationship Id="rId128" Target="https%3A%2F%2Fwww.webofscience.com%2Fwos%2Fwoscc%2Ffull-record%2FWOS%3A001617982400017" TargetMode="External" Type="http://schemas.openxmlformats.org/officeDocument/2006/relationships/hyperlink"/><Relationship Id="rId129" Target="http%3A%2F%2Fdx.doi.org%2F10.3390%2Fjtaer20040343" TargetMode="External" Type="http://schemas.openxmlformats.org/officeDocument/2006/relationships/hyperlink"/><Relationship Id="rId13" Target="http%3A%2F%2Fdx.doi.org%2F10.1038%2Fs41598-024-60914-w" TargetMode="External" Type="http://schemas.openxmlformats.org/officeDocument/2006/relationships/hyperlink"/><Relationship Id="rId130" Target="https%3A%2F%2Fwww.webofscience.com%2Fwos%2Fwoscc%2Ffull-record%2FWOS%3A001646834100001" TargetMode="External" Type="http://schemas.openxmlformats.org/officeDocument/2006/relationships/hyperlink"/><Relationship Id="rId131" Target="http%3A%2F%2Fdx.doi.org%2F10.1016%2Fj.imavis.2025.105509" TargetMode="External" Type="http://schemas.openxmlformats.org/officeDocument/2006/relationships/hyperlink"/><Relationship Id="rId132" Target="https%3A%2F%2Fwww.webofscience.com%2Fwos%2Fwoscc%2Ffull-record%2FWOS%3A001461385100001" TargetMode="External" Type="http://schemas.openxmlformats.org/officeDocument/2006/relationships/hyperlink"/><Relationship Id="rId133" Target="http%3A%2F%2Fdx.doi.org%2F10.1016%2Fj.inffus.2025.102981" TargetMode="External" Type="http://schemas.openxmlformats.org/officeDocument/2006/relationships/hyperlink"/><Relationship Id="rId134" Target="https%3A%2F%2Fwww.webofscience.com%2Fwos%2Fwoscc%2Ffull-record%2FWOS%3A001424816800001" TargetMode="External" Type="http://schemas.openxmlformats.org/officeDocument/2006/relationships/hyperlink"/><Relationship Id="rId135" Target="http%3A%2F%2Fdx.doi.org%2F10.1007%2Fs11655-022-3541-8" TargetMode="External" Type="http://schemas.openxmlformats.org/officeDocument/2006/relationships/hyperlink"/><Relationship Id="rId136" Target="https%3A%2F%2Fwww.webofscience.com%2Fwos%2Fwoscc%2Ffull-record%2FWOS%3A000883206300002" TargetMode="External" Type="http://schemas.openxmlformats.org/officeDocument/2006/relationships/hyperlink"/><Relationship Id="rId137" Target="http%3A%2F%2Fdx.doi.org%2F10.1002%2Fitl2.70324" TargetMode="External" Type="http://schemas.openxmlformats.org/officeDocument/2006/relationships/hyperlink"/><Relationship Id="rId138" Target="https%3A%2F%2Fwww.webofscience.com%2Fwos%2Fwoscc%2Ffull-record%2FWOS%3A001786616500001" TargetMode="External" Type="http://schemas.openxmlformats.org/officeDocument/2006/relationships/hyperlink"/><Relationship Id="rId139" Target="http%3A%2F%2Fdx.doi.org%2F10.1007%2Fs10044-026-01644-9" TargetMode="External" Type="http://schemas.openxmlformats.org/officeDocument/2006/relationships/hyperlink"/><Relationship Id="rId14" Target="https%3A%2F%2Fwww.webofscience.com%2Fwos%2Fwoscc%2Ffull-record%2FWOS%3A001218726300057" TargetMode="External" Type="http://schemas.openxmlformats.org/officeDocument/2006/relationships/hyperlink"/><Relationship Id="rId140" Target="https%3A%2F%2Fwww.webofscience.com%2Fwos%2Fwoscc%2Ffull-record%2FWOS%3A001711759500001" TargetMode="External" Type="http://schemas.openxmlformats.org/officeDocument/2006/relationships/hyperlink"/><Relationship Id="rId141" Target="http%3A%2F%2Fdx.doi.org%2F10.1016%2Fj.compmedimag.2026.102795" TargetMode="External" Type="http://schemas.openxmlformats.org/officeDocument/2006/relationships/hyperlink"/><Relationship Id="rId142" Target="https%3A%2F%2Fwww.webofscience.com%2Fwos%2Fwoscc%2Ffull-record%2FWOS%3A001822179100001" TargetMode="External" Type="http://schemas.openxmlformats.org/officeDocument/2006/relationships/hyperlink"/><Relationship Id="rId143" Target="http%3A%2F%2Fdx.doi.org%2F10.1109%2FJBHI.2024.3448238" TargetMode="External" Type="http://schemas.openxmlformats.org/officeDocument/2006/relationships/hyperlink"/><Relationship Id="rId144" Target="https%3A%2F%2Fwww.webofscience.com%2Fwos%2Fwoscc%2Ffull-record%2FWOS%3A001359232100017" TargetMode="External" Type="http://schemas.openxmlformats.org/officeDocument/2006/relationships/hyperlink"/><Relationship Id="rId145" Target="http%3A%2F%2Fdx.doi.org%2F10.1016%2Fj.patrec.2025.04.001" TargetMode="External" Type="http://schemas.openxmlformats.org/officeDocument/2006/relationships/hyperlink"/><Relationship Id="rId146" Target="https%3A%2F%2Fwww.webofscience.com%2Fwos%2Fwoscc%2Ffull-record%2FWOS%3A001482467000001" TargetMode="External" Type="http://schemas.openxmlformats.org/officeDocument/2006/relationships/hyperlink"/><Relationship Id="rId147" Target="http%3A%2F%2Fdx.doi.org%2F10.1016%2Fj.tourman.2026.105450" TargetMode="External" Type="http://schemas.openxmlformats.org/officeDocument/2006/relationships/hyperlink"/><Relationship Id="rId148" Target="https%3A%2F%2Fwww.webofscience.com%2Fwos%2Fwoscc%2Ffull-record%2FWOS%3A001763135000001" TargetMode="External" Type="http://schemas.openxmlformats.org/officeDocument/2006/relationships/hyperlink"/><Relationship Id="rId149" Target="http%3A%2F%2Fdx.doi.org%2F10.3390%2Felectronics14040799" TargetMode="External" Type="http://schemas.openxmlformats.org/officeDocument/2006/relationships/hyperlink"/><Relationship Id="rId15" Target="http%3A%2F%2Fdx.doi.org%2F10.1007%2Fs12539-026-00813-y" TargetMode="External" Type="http://schemas.openxmlformats.org/officeDocument/2006/relationships/hyperlink"/><Relationship Id="rId150" Target="https%3A%2F%2Fwww.webofscience.com%2Fwos%2Fwoscc%2Ffull-record%2FWOS%3A001431860200001" TargetMode="External" Type="http://schemas.openxmlformats.org/officeDocument/2006/relationships/hyperlink"/><Relationship Id="rId151" Target="http%3A%2F%2Fdx.doi.org%2F10.1109%2FACCESS.2023.3275126" TargetMode="External" Type="http://schemas.openxmlformats.org/officeDocument/2006/relationships/hyperlink"/><Relationship Id="rId152" Target="https%3A%2F%2Fwww.webofscience.com%2Fwos%2Fwoscc%2Ffull-record%2FWOS%3A001010128600001" TargetMode="External" Type="http://schemas.openxmlformats.org/officeDocument/2006/relationships/hyperlink"/><Relationship Id="rId153" Target="http%3A%2F%2Fdx.doi.org%2F10.1016%2Fj.csbj.2025.10.038" TargetMode="External" Type="http://schemas.openxmlformats.org/officeDocument/2006/relationships/hyperlink"/><Relationship Id="rId154" Target="https%3A%2F%2Fwww.webofscience.com%2Fwos%2Fwoscc%2Ffull-record%2FWOS%3A001606234600001" TargetMode="External" Type="http://schemas.openxmlformats.org/officeDocument/2006/relationships/hyperlink"/><Relationship Id="rId155" Target="http%3A%2F%2Fdx.doi.org%2F10.3390%2Ffractalfract9080545" TargetMode="External" Type="http://schemas.openxmlformats.org/officeDocument/2006/relationships/hyperlink"/><Relationship Id="rId156" Target="https%3A%2F%2Fwww.webofscience.com%2Fwos%2Fwoscc%2Ffull-record%2FWOS%3A001558281700001" TargetMode="External" Type="http://schemas.openxmlformats.org/officeDocument/2006/relationships/hyperlink"/><Relationship Id="rId157" Target="http%3A%2F%2Fdx.doi.org%2F10.15837%2Fijccc.2022.5.4696" TargetMode="External" Type="http://schemas.openxmlformats.org/officeDocument/2006/relationships/hyperlink"/><Relationship Id="rId158" Target="https%3A%2F%2Fwww.webofscience.com%2Fwos%2Fwoscc%2Ffull-record%2FWOS%3A000869482700006" TargetMode="External" Type="http://schemas.openxmlformats.org/officeDocument/2006/relationships/hyperlink"/><Relationship Id="rId159" Target="http%3A%2F%2Fdx.doi.org%2F10.1200%2FCCI-25-00141" TargetMode="External" Type="http://schemas.openxmlformats.org/officeDocument/2006/relationships/hyperlink"/><Relationship Id="rId16" Target="https%3A%2F%2Fwww.webofscience.com%2Fwos%2Fwoscc%2Ffull-record%2FWOS%3A001711805800001" TargetMode="External" Type="http://schemas.openxmlformats.org/officeDocument/2006/relationships/hyperlink"/><Relationship Id="rId160" Target="https%3A%2F%2Fwww.webofscience.com%2Fwos%2Fwoscc%2Ffull-record%2FWOS%3A001800356100001" TargetMode="External" Type="http://schemas.openxmlformats.org/officeDocument/2006/relationships/hyperlink"/><Relationship Id="rId161" Target="http%3A%2F%2Fdx.doi.org%2F10.1016%2Fj.wnsx.2026.100616" TargetMode="External" Type="http://schemas.openxmlformats.org/officeDocument/2006/relationships/hyperlink"/><Relationship Id="rId162" Target="https%3A%2F%2Fwww.webofscience.com%2Fwos%2Fwoscc%2Ffull-record%2FWOS%3A001815604400001" TargetMode="External" Type="http://schemas.openxmlformats.org/officeDocument/2006/relationships/hyperlink"/><Relationship Id="rId163" Target="http%3A%2F%2Fdx.doi.org%2F10.1109%2FJBHI.2022.3161466" TargetMode="External" Type="http://schemas.openxmlformats.org/officeDocument/2006/relationships/hyperlink"/><Relationship Id="rId164" Target="https%3A%2F%2Fwww.webofscience.com%2Fwos%2Fwoscc%2Ffull-record%2FWOS%3A000841851000051" TargetMode="External" Type="http://schemas.openxmlformats.org/officeDocument/2006/relationships/hyperlink"/><Relationship Id="rId165" Target="http%3A%2F%2Fdx.doi.org%2F10.3390%2Fai7040126" TargetMode="External" Type="http://schemas.openxmlformats.org/officeDocument/2006/relationships/hyperlink"/><Relationship Id="rId166" Target="https%3A%2F%2Fwww.webofscience.com%2Fwos%2Fwoscc%2Ffull-record%2FWOS%3A001749221900001" TargetMode="External" Type="http://schemas.openxmlformats.org/officeDocument/2006/relationships/hyperlink"/><Relationship Id="rId167" Target="http%3A%2F%2Fdx.doi.org%2F10.1038%2Fs41598-023-34303-8" TargetMode="External" Type="http://schemas.openxmlformats.org/officeDocument/2006/relationships/hyperlink"/><Relationship Id="rId168" Target="https%3A%2F%2Fwww.webofscience.com%2Fwos%2Fwoscc%2Ffull-record%2FWOS%3A001037834400051" TargetMode="External" Type="http://schemas.openxmlformats.org/officeDocument/2006/relationships/hyperlink"/><Relationship Id="rId169" Target="http%3A%2F%2Fdx.doi.org%2F10.1016%2Fj.inffus.2025.103659" TargetMode="External" Type="http://schemas.openxmlformats.org/officeDocument/2006/relationships/hyperlink"/><Relationship Id="rId17" Target="http%3A%2F%2Fdx.doi.org%2F10.1038%2Fs41531-026-01344-5" TargetMode="External" Type="http://schemas.openxmlformats.org/officeDocument/2006/relationships/hyperlink"/><Relationship Id="rId170" Target="https%3A%2F%2Fwww.webofscience.com%2Fwos%2Fwoscc%2Ffull-record%2FWOS%3A001585511300001" TargetMode="External" Type="http://schemas.openxmlformats.org/officeDocument/2006/relationships/hyperlink"/><Relationship Id="rId171" Target="http%3A%2F%2Fdx.doi.org%2F10.3389%2Ffneur.2026.1791696" TargetMode="External" Type="http://schemas.openxmlformats.org/officeDocument/2006/relationships/hyperlink"/><Relationship Id="rId172" Target="https%3A%2F%2Fwww.webofscience.com%2Fwos%2Fwoscc%2Ffull-record%2FWOS%3A001755531300001" TargetMode="External" Type="http://schemas.openxmlformats.org/officeDocument/2006/relationships/hyperlink"/><Relationship Id="rId173" Target="http%3A%2F%2Fdx.doi.org%2F10.1016%2Fj.jbi.2025.104834" TargetMode="External" Type="http://schemas.openxmlformats.org/officeDocument/2006/relationships/hyperlink"/><Relationship Id="rId174" Target="https%3A%2F%2Fwww.webofscience.com%2Fwos%2Fwoscc%2Ffull-record%2FWOS%3A001509235100001" TargetMode="External" Type="http://schemas.openxmlformats.org/officeDocument/2006/relationships/hyperlink"/><Relationship Id="rId175" Target="http%3A%2F%2Fdx.doi.org%2F10.3390%2Fbrainsci15090990" TargetMode="External" Type="http://schemas.openxmlformats.org/officeDocument/2006/relationships/hyperlink"/><Relationship Id="rId176" Target="https%3A%2F%2Fwww.webofscience.com%2Fwos%2Fwoscc%2Ffull-record%2FWOS%3A001581555900001" TargetMode="External" Type="http://schemas.openxmlformats.org/officeDocument/2006/relationships/hyperlink"/><Relationship Id="rId177" Target="http%3A%2F%2Fdx.doi.org%2F10.1007%2Fs00330-025-11450-2" TargetMode="External" Type="http://schemas.openxmlformats.org/officeDocument/2006/relationships/hyperlink"/><Relationship Id="rId178" Target="https%3A%2F%2Fwww.webofscience.com%2Fwos%2Fwoscc%2Ffull-record%2FWOS%3A001423008600001" TargetMode="External" Type="http://schemas.openxmlformats.org/officeDocument/2006/relationships/hyperlink"/><Relationship Id="rId179" Target="http%3A%2F%2Fdx.doi.org%2F10.1109%2FTNSRE.2023.3237375" TargetMode="External" Type="http://schemas.openxmlformats.org/officeDocument/2006/relationships/hyperlink"/><Relationship Id="rId18" Target="https%3A%2F%2Fwww.webofscience.com%2Fwos%2Fwoscc%2Ffull-record%2FWOS%3A001810967500001" TargetMode="External" Type="http://schemas.openxmlformats.org/officeDocument/2006/relationships/hyperlink"/><Relationship Id="rId180" Target="https%3A%2F%2Fwww.webofscience.com%2Fwos%2Fwoscc%2Ffull-record%2FWOS%3A000966486200001" TargetMode="External" Type="http://schemas.openxmlformats.org/officeDocument/2006/relationships/hyperlink"/><Relationship Id="rId181" Target="http%3A%2F%2Fdx.doi.org%2F10.1097%2FRLI.0000000000001102" TargetMode="External" Type="http://schemas.openxmlformats.org/officeDocument/2006/relationships/hyperlink"/><Relationship Id="rId182" Target="https%3A%2F%2Fwww.webofscience.com%2Fwos%2Fwoscc%2Ffull-record%2FWOS%3A001350965200001" TargetMode="External" Type="http://schemas.openxmlformats.org/officeDocument/2006/relationships/hyperlink"/><Relationship Id="rId183" Target="http%3A%2F%2Fdx.doi.org%2F10.1016%2Fj.inffus.2026.104223" TargetMode="External" Type="http://schemas.openxmlformats.org/officeDocument/2006/relationships/hyperlink"/><Relationship Id="rId184" Target="https%3A%2F%2Fwww.webofscience.com%2Fwos%2Fwoscc%2Ffull-record%2FWOS%3A001696371800001" TargetMode="External" Type="http://schemas.openxmlformats.org/officeDocument/2006/relationships/hyperlink"/><Relationship Id="rId185" Target="http%3A%2F%2Fdx.doi.org%2F10.1088%2F1402-4896%2Fae777a" TargetMode="External" Type="http://schemas.openxmlformats.org/officeDocument/2006/relationships/hyperlink"/><Relationship Id="rId186" Target="https%3A%2F%2Fwww.webofscience.com%2Fwos%2Fwoscc%2Ffull-record%2FWOS%3A001792361700001" TargetMode="External" Type="http://schemas.openxmlformats.org/officeDocument/2006/relationships/hyperlink"/><Relationship Id="rId187" Target="http%3A%2F%2Fdx.doi.org%2F10.1016%2Fj.dld.2026.07.005" TargetMode="External" Type="http://schemas.openxmlformats.org/officeDocument/2006/relationships/hyperlink"/><Relationship Id="rId188" Target="https%3A%2F%2Fwww.webofscience.com%2Fwos%2Fwoscc%2Ffull-record%2FWOS%3A001851497600001" TargetMode="External" Type="http://schemas.openxmlformats.org/officeDocument/2006/relationships/hyperlink"/><Relationship Id="rId189" Target="http%3A%2F%2Fdx.doi.org%2F10.1109%2FTGRS.2025.3648127" TargetMode="External" Type="http://schemas.openxmlformats.org/officeDocument/2006/relationships/hyperlink"/><Relationship Id="rId19" Target="http%3A%2F%2Fdx.doi.org%2F10.1002%2Fsrin.202400896" TargetMode="External" Type="http://schemas.openxmlformats.org/officeDocument/2006/relationships/hyperlink"/><Relationship Id="rId190" Target="https%3A%2F%2Fwww.webofscience.com%2Fwos%2Fwoscc%2Ffull-record%2FWOS%3A001655702700007" TargetMode="External" Type="http://schemas.openxmlformats.org/officeDocument/2006/relationships/hyperlink"/><Relationship Id="rId191" Target="http%3A%2F%2Fdx.doi.org%2F10.1504%2FIJBIC.2025.149561" TargetMode="External" Type="http://schemas.openxmlformats.org/officeDocument/2006/relationships/hyperlink"/><Relationship Id="rId192" Target="https%3A%2F%2Fwww.webofscience.com%2Fwos%2Fwoscc%2Ffull-record%2FWOS%3A001611250500001" TargetMode="External" Type="http://schemas.openxmlformats.org/officeDocument/2006/relationships/hyperlink"/><Relationship Id="rId193" Target="http%3A%2F%2Fdx.doi.org%2F10.3389%2Ffcvm.2025.1606159" TargetMode="External" Type="http://schemas.openxmlformats.org/officeDocument/2006/relationships/hyperlink"/><Relationship Id="rId194" Target="https%3A%2F%2Fwww.webofscience.com%2Fwos%2Fwoscc%2Ffull-record%2FWOS%3A001553133900001" TargetMode="External" Type="http://schemas.openxmlformats.org/officeDocument/2006/relationships/hyperlink"/><Relationship Id="rId195" Target="http%3A%2F%2Fdx.doi.org%2F10.1109%2FACCESS.2023.3240422" TargetMode="External" Type="http://schemas.openxmlformats.org/officeDocument/2006/relationships/hyperlink"/><Relationship Id="rId196" Target="https%3A%2F%2Fwww.webofscience.com%2Fwos%2Fwoscc%2Ffull-record%2FWOS%3A000927891500001" TargetMode="External" Type="http://schemas.openxmlformats.org/officeDocument/2006/relationships/hyperlink"/><Relationship Id="rId197" Target="http%3A%2F%2Fdx.doi.org%2F10.1016%2Fj.asoc.2026.115731" TargetMode="External" Type="http://schemas.openxmlformats.org/officeDocument/2006/relationships/hyperlink"/><Relationship Id="rId198" Target="https%3A%2F%2Fwww.webofscience.com%2Fwos%2Fwoscc%2Ffull-record%2FWOS%3A001800550600001" TargetMode="External" Type="http://schemas.openxmlformats.org/officeDocument/2006/relationships/hyperlink"/><Relationship Id="rId199" Target="http%3A%2F%2Fdx.doi.org%2F10.2298%2FCSIS241110011Y" TargetMode="External" Type="http://schemas.openxmlformats.org/officeDocument/2006/relationships/hyperlink"/><Relationship Id="rId2" Target="https%3A%2F%2Fwww.webofscience.com%2Fwos%2Fwoscc%2Ffull-record%2FWOS%3A001506930800002" TargetMode="External" Type="http://schemas.openxmlformats.org/officeDocument/2006/relationships/hyperlink"/><Relationship Id="rId20" Target="https%3A%2F%2Fwww.webofscience.com%2Fwos%2Fwoscc%2Ffull-record%2FWOS%3A001481218600001" TargetMode="External" Type="http://schemas.openxmlformats.org/officeDocument/2006/relationships/hyperlink"/><Relationship Id="rId200" Target="https%3A%2F%2Fwww.webofscience.com%2Fwos%2Fwoscc%2Ffull-record%2FWOS%3A001429349700016" TargetMode="External" Type="http://schemas.openxmlformats.org/officeDocument/2006/relationships/hyperlink"/><Relationship Id="rId201" Target="http%3A%2F%2Fdx.doi.org%2F10.1007%2Fs11307-026-02114-8" TargetMode="External" Type="http://schemas.openxmlformats.org/officeDocument/2006/relationships/hyperlink"/><Relationship Id="rId202" Target="https%3A%2F%2Fwww.webofscience.com%2Fwos%2Fwoscc%2Ffull-record%2FWOS%3A001815412200001" TargetMode="External" Type="http://schemas.openxmlformats.org/officeDocument/2006/relationships/hyperlink"/><Relationship Id="rId203" Target="http%3A%2F%2Fdx.doi.org%2F10.3390%2Felectronics14071464" TargetMode="External" Type="http://schemas.openxmlformats.org/officeDocument/2006/relationships/hyperlink"/><Relationship Id="rId204" Target="https%3A%2F%2Fwww.webofscience.com%2Fwos%2Fwoscc%2Ffull-record%2FWOS%3A001465765400001" TargetMode="External" Type="http://schemas.openxmlformats.org/officeDocument/2006/relationships/hyperlink"/><Relationship Id="rId205" Target="http%3A%2F%2Fdx.doi.org%2F10.1016%2Fj.ecoinf.2025.103531" TargetMode="External" Type="http://schemas.openxmlformats.org/officeDocument/2006/relationships/hyperlink"/><Relationship Id="rId206" Target="https%3A%2F%2Fwww.webofscience.com%2Fwos%2Fwoscc%2Ffull-record%2FWOS%3A001629479300001" TargetMode="External" Type="http://schemas.openxmlformats.org/officeDocument/2006/relationships/hyperlink"/><Relationship Id="rId207" Target="http%3A%2F%2Fdx.doi.org%2F10.3389%2Ffpubh.2022.982289" TargetMode="External" Type="http://schemas.openxmlformats.org/officeDocument/2006/relationships/hyperlink"/><Relationship Id="rId208" Target="https%3A%2F%2Fwww.webofscience.com%2Fwos%2Fwoscc%2Ffull-record%2FWOS%3A000893969800001" TargetMode="External" Type="http://schemas.openxmlformats.org/officeDocument/2006/relationships/hyperlink"/><Relationship Id="rId209" Target="http%3A%2F%2Fdx.doi.org%2F10.1093%2Fbib%2Fbbad397" TargetMode="External" Type="http://schemas.openxmlformats.org/officeDocument/2006/relationships/hyperlink"/><Relationship Id="rId21" Target="http%3A%2F%2Fdx.doi.org%2F10.3389%2Ffimmu.2026.1867606" TargetMode="External" Type="http://schemas.openxmlformats.org/officeDocument/2006/relationships/hyperlink"/><Relationship Id="rId210" Target="https%3A%2F%2Fwww.webofscience.com%2Fwos%2Fwoscc%2Ffull-record%2FWOS%3A001136371500063" TargetMode="External" Type="http://schemas.openxmlformats.org/officeDocument/2006/relationships/hyperlink"/><Relationship Id="rId211" Target="http%3A%2F%2Fdx.doi.org%2F10.1109%2FJSTARS.2026.3680135" TargetMode="External" Type="http://schemas.openxmlformats.org/officeDocument/2006/relationships/hyperlink"/><Relationship Id="rId212" Target="https%3A%2F%2Fwww.webofscience.com%2Fwos%2Fwoscc%2Ffull-record%2FWOS%3A001746920600025" TargetMode="External" Type="http://schemas.openxmlformats.org/officeDocument/2006/relationships/hyperlink"/><Relationship Id="rId213" Target="http%3A%2F%2Fdx.doi.org%2F10.1109%2FJIOT.2023.3245067" TargetMode="External" Type="http://schemas.openxmlformats.org/officeDocument/2006/relationships/hyperlink"/><Relationship Id="rId214" Target="https%3A%2F%2Fwww.webofscience.com%2Fwos%2Fwoscc%2Ffull-record%2FWOS%3A001018925700025" TargetMode="External" Type="http://schemas.openxmlformats.org/officeDocument/2006/relationships/hyperlink"/><Relationship Id="rId215" Target="http%3A%2F%2Fdx.doi.org%2F10.1038%2Fs41746-025-01903-9" TargetMode="External" Type="http://schemas.openxmlformats.org/officeDocument/2006/relationships/hyperlink"/><Relationship Id="rId216" Target="https%3A%2F%2Fwww.webofscience.com%2Fwos%2Fwoscc%2Ffull-record%2FWOS%3A001544479500003" TargetMode="External" Type="http://schemas.openxmlformats.org/officeDocument/2006/relationships/hyperlink"/><Relationship Id="rId217" Target="http%3A%2F%2Fdx.doi.org%2F10.1109%2FACCESS.2024.3420444" TargetMode="External" Type="http://schemas.openxmlformats.org/officeDocument/2006/relationships/hyperlink"/><Relationship Id="rId218" Target="https%3A%2F%2Fwww.webofscience.com%2Fwos%2Fwoscc%2Ffull-record%2FWOS%3A001263371500001" TargetMode="External" Type="http://schemas.openxmlformats.org/officeDocument/2006/relationships/hyperlink"/><Relationship Id="rId219" Target="http%3A%2F%2Fdx.doi.org%2F10.1038%2Fs41746-025-02144-6" TargetMode="External" Type="http://schemas.openxmlformats.org/officeDocument/2006/relationships/hyperlink"/><Relationship Id="rId22" Target="https%3A%2F%2Fwww.webofscience.com%2Fwos%2Fwoscc%2Ffull-record%2FWOS%3A001835441500001" TargetMode="External" Type="http://schemas.openxmlformats.org/officeDocument/2006/relationships/hyperlink"/><Relationship Id="rId220" Target="https%3A%2F%2Fwww.webofscience.com%2Fwos%2Fwoscc%2Ffull-record%2FWOS%3A001641099400002" TargetMode="External" Type="http://schemas.openxmlformats.org/officeDocument/2006/relationships/hyperlink"/><Relationship Id="rId221" Target="http%3A%2F%2Fdx.doi.org%2F10.3390%2Fmake7010023" TargetMode="External" Type="http://schemas.openxmlformats.org/officeDocument/2006/relationships/hyperlink"/><Relationship Id="rId222" Target="https%3A%2F%2Fwww.webofscience.com%2Fwos%2Fwoscc%2Ffull-record%2FWOS%3A001452766400001" TargetMode="External" Type="http://schemas.openxmlformats.org/officeDocument/2006/relationships/hyperlink"/><Relationship Id="rId223" Target="http%3A%2F%2Fdx.doi.org%2F10.34133%2Fresearch.0795" TargetMode="External" Type="http://schemas.openxmlformats.org/officeDocument/2006/relationships/hyperlink"/><Relationship Id="rId224" Target="https%3A%2F%2Fwww.webofscience.com%2Fwos%2Fwoscc%2Ffull-record%2FWOS%3A001543996600001" TargetMode="External" Type="http://schemas.openxmlformats.org/officeDocument/2006/relationships/hyperlink"/><Relationship Id="rId225" Target="http%3A%2F%2Fdx.doi.org%2F10.1016%2Fj.acra.2024.12.018" TargetMode="External" Type="http://schemas.openxmlformats.org/officeDocument/2006/relationships/hyperlink"/><Relationship Id="rId226" Target="https%3A%2F%2Fwww.webofscience.com%2Fwos%2Fwoscc%2Ffull-record%2FWOS%3A001477411000001" TargetMode="External" Type="http://schemas.openxmlformats.org/officeDocument/2006/relationships/hyperlink"/><Relationship Id="rId227" Target="http%3A%2F%2Fdx.doi.org%2F10.1002%2Fmarc.202500471" TargetMode="External" Type="http://schemas.openxmlformats.org/officeDocument/2006/relationships/hyperlink"/><Relationship Id="rId228" Target="https%3A%2F%2Fwww.webofscience.com%2Fwos%2Fwoscc%2Ffull-record%2FWOS%3A001581907200001" TargetMode="External" Type="http://schemas.openxmlformats.org/officeDocument/2006/relationships/hyperlink"/><Relationship Id="rId229" Target="http%3A%2F%2Fdx.doi.org%2F10.1109%2FTBME.2026.3691657" TargetMode="External" Type="http://schemas.openxmlformats.org/officeDocument/2006/relationships/hyperlink"/><Relationship Id="rId23" Target="http%3A%2F%2Fdx.doi.org%2F10.1002%2Fima.70359" TargetMode="External" Type="http://schemas.openxmlformats.org/officeDocument/2006/relationships/hyperlink"/><Relationship Id="rId230" Target="https%3A%2F%2Fwww.webofscience.com%2Fwos%2Fwoscc%2Ffull-record%2FWOS%3A001848669500004" TargetMode="External" Type="http://schemas.openxmlformats.org/officeDocument/2006/relationships/hyperlink"/><Relationship Id="rId231" Target="http%3A%2F%2Fdx.doi.org%2F10.1038%2Fs41746-025-01560-y" TargetMode="External" Type="http://schemas.openxmlformats.org/officeDocument/2006/relationships/hyperlink"/><Relationship Id="rId232" Target="https%3A%2F%2Fwww.webofscience.com%2Fwos%2Fwoscc%2Ffull-record%2FWOS%3A001468348700001" TargetMode="External" Type="http://schemas.openxmlformats.org/officeDocument/2006/relationships/hyperlink"/><Relationship Id="rId233" Target="http%3A%2F%2Fdx.doi.org%2F10.20892%2Fj.issn.2095-3941.2025.0771" TargetMode="External" Type="http://schemas.openxmlformats.org/officeDocument/2006/relationships/hyperlink"/><Relationship Id="rId234" Target="https%3A%2F%2Fwww.webofscience.com%2Fwos%2Fwoscc%2Ffull-record%2FWOS%3A001739009200011" TargetMode="External" Type="http://schemas.openxmlformats.org/officeDocument/2006/relationships/hyperlink"/><Relationship Id="rId235" Target="http%3A%2F%2Fdx.doi.org%2F10.1186%2Fs13058-025-02181-9" TargetMode="External" Type="http://schemas.openxmlformats.org/officeDocument/2006/relationships/hyperlink"/><Relationship Id="rId236" Target="https%3A%2F%2Fwww.webofscience.com%2Fwos%2Fwoscc%2Ffull-record%2FWOS%3A001659719900001" TargetMode="External" Type="http://schemas.openxmlformats.org/officeDocument/2006/relationships/hyperlink"/><Relationship Id="rId237" Target="http%3A%2F%2Fdx.doi.org%2F10.1111%2Fos.70335" TargetMode="External" Type="http://schemas.openxmlformats.org/officeDocument/2006/relationships/hyperlink"/><Relationship Id="rId238" Target="https%3A%2F%2Fwww.webofscience.com%2Fwos%2Fwoscc%2Ffull-record%2FWOS%3A001795371300001" TargetMode="External" Type="http://schemas.openxmlformats.org/officeDocument/2006/relationships/hyperlink"/><Relationship Id="rId239" Target="http%3A%2F%2Fdx.doi.org%2F10.1038%2Fs41598-025-26715-5" TargetMode="External" Type="http://schemas.openxmlformats.org/officeDocument/2006/relationships/hyperlink"/><Relationship Id="rId24" Target="https%3A%2F%2Fwww.webofscience.com%2Fwos%2Fwoscc%2Ffull-record%2FWOS%3A001796474600001" TargetMode="External" Type="http://schemas.openxmlformats.org/officeDocument/2006/relationships/hyperlink"/><Relationship Id="rId240" Target="https%3A%2F%2Fwww.webofscience.com%2Fwos%2Fwoscc%2Ffull-record%2FWOS%3A001613940600010" TargetMode="External" Type="http://schemas.openxmlformats.org/officeDocument/2006/relationships/hyperlink"/><Relationship Id="rId241" Target="http%3A%2F%2Fdx.doi.org%2F10.1016%2Fj.ijmedinf.2025.105793" TargetMode="External" Type="http://schemas.openxmlformats.org/officeDocument/2006/relationships/hyperlink"/><Relationship Id="rId242" Target="https%3A%2F%2Fwww.webofscience.com%2Fwos%2Fwoscc%2Ffull-record%2FWOS%3A001410569900001" TargetMode="External" Type="http://schemas.openxmlformats.org/officeDocument/2006/relationships/hyperlink"/><Relationship Id="rId243" Target="http%3A%2F%2Fdx.doi.org%2F10.1109%2FACCESS.2025.3586713" TargetMode="External" Type="http://schemas.openxmlformats.org/officeDocument/2006/relationships/hyperlink"/><Relationship Id="rId244" Target="https%3A%2F%2Fwww.webofscience.com%2Fwos%2Fwoscc%2Ffull-record%2FWOS%3A001530262800021" TargetMode="External" Type="http://schemas.openxmlformats.org/officeDocument/2006/relationships/hyperlink"/><Relationship Id="rId245" Target="http%3A%2F%2Fdx.doi.org%2F10.3390%2Fdiagnostics13223481" TargetMode="External" Type="http://schemas.openxmlformats.org/officeDocument/2006/relationships/hyperlink"/><Relationship Id="rId246" Target="https%3A%2F%2Fwww.webofscience.com%2Fwos%2Fwoscc%2Ffull-record%2FWOS%3A001119572200001" TargetMode="External" Type="http://schemas.openxmlformats.org/officeDocument/2006/relationships/hyperlink"/><Relationship Id="rId247" Target="http%3A%2F%2Fdx.doi.org%2F10.1016%2Fj.engappai.2025.110142" TargetMode="External" Type="http://schemas.openxmlformats.org/officeDocument/2006/relationships/hyperlink"/><Relationship Id="rId248" Target="https%3A%2F%2Fwww.webofscience.com%2Fwos%2Fwoscc%2Ffull-record%2FWOS%3A001422227500001" TargetMode="External" Type="http://schemas.openxmlformats.org/officeDocument/2006/relationships/hyperlink"/><Relationship Id="rId249" Target="http%3A%2F%2Fdx.doi.org%2F10.1016%2Fj.artmed.2025.103091" TargetMode="External" Type="http://schemas.openxmlformats.org/officeDocument/2006/relationships/hyperlink"/><Relationship Id="rId25" Target="http%3A%2F%2Fdx.doi.org%2F10.1016%2Fj.knosys.2025.113718" TargetMode="External" Type="http://schemas.openxmlformats.org/officeDocument/2006/relationships/hyperlink"/><Relationship Id="rId250" Target="https%3A%2F%2Fwww.webofscience.com%2Fwos%2Fwoscc%2Ffull-record%2FWOS%3A001435367300001" TargetMode="External" Type="http://schemas.openxmlformats.org/officeDocument/2006/relationships/hyperlink"/><Relationship Id="rId251" Target="http%3A%2F%2Fdx.doi.org%2F10.1097%2FRTI.0000000000000831" TargetMode="External" Type="http://schemas.openxmlformats.org/officeDocument/2006/relationships/hyperlink"/><Relationship Id="rId252" Target="https%3A%2F%2Fwww.webofscience.com%2Fwos%2Fwoscc%2Ffull-record%2FWOS%3A001555619000004" TargetMode="External" Type="http://schemas.openxmlformats.org/officeDocument/2006/relationships/hyperlink"/><Relationship Id="rId253" Target="https%3A%2F%2Fwww.webofscience.com%2Fwos%2Fwoscc%2Ffull-record%2FWOS%3A001799336900001" TargetMode="External" Type="http://schemas.openxmlformats.org/officeDocument/2006/relationships/hyperlink"/><Relationship Id="rId254" Target="http%3A%2F%2Fdx.doi.org%2F10.3390%2Fijms26157135" TargetMode="External" Type="http://schemas.openxmlformats.org/officeDocument/2006/relationships/hyperlink"/><Relationship Id="rId255" Target="https%3A%2F%2Fwww.webofscience.com%2Fwos%2Fwoscc%2Ffull-record%2FWOS%3A001552675900001" TargetMode="External" Type="http://schemas.openxmlformats.org/officeDocument/2006/relationships/hyperlink"/><Relationship Id="rId256" Target="http%3A%2F%2Fdx.doi.org%2F10.3349%2Fymj.2025.0370" TargetMode="External" Type="http://schemas.openxmlformats.org/officeDocument/2006/relationships/hyperlink"/><Relationship Id="rId257" Target="https%3A%2F%2Fwww.webofscience.com%2Fwos%2Fwoscc%2Ffull-record%2FWOS%3A001852291100005" TargetMode="External" Type="http://schemas.openxmlformats.org/officeDocument/2006/relationships/hyperlink"/><Relationship Id="rId258" Target="http%3A%2F%2Fdx.doi.org%2F10.1186%2Fs12911-024-02438-x" TargetMode="External" Type="http://schemas.openxmlformats.org/officeDocument/2006/relationships/hyperlink"/><Relationship Id="rId259" Target="https%3A%2F%2Fwww.webofscience.com%2Fwos%2Fwoscc%2Ffull-record%2FWOS%3A001190556300003" TargetMode="External" Type="http://schemas.openxmlformats.org/officeDocument/2006/relationships/hyperlink"/><Relationship Id="rId26" Target="https%3A%2F%2Fwww.webofscience.com%2Fwos%2Fwoscc%2Ffull-record%2FWOS%3A001504559100006" TargetMode="External" Type="http://schemas.openxmlformats.org/officeDocument/2006/relationships/hyperlink"/><Relationship Id="rId260" Target="http%3A%2F%2Fdx.doi.org%2F10.1016%2Fj.engappai.2025.110554" TargetMode="External" Type="http://schemas.openxmlformats.org/officeDocument/2006/relationships/hyperlink"/><Relationship Id="rId261" Target="https%3A%2F%2Fwww.webofscience.com%2Fwos%2Fwoscc%2Ffull-record%2FWOS%3A001455803700001" TargetMode="External" Type="http://schemas.openxmlformats.org/officeDocument/2006/relationships/hyperlink"/><Relationship Id="rId262" Target="http%3A%2F%2Fdx.doi.org%2F10.1016%2Fj.inffus.2026.104343" TargetMode="External" Type="http://schemas.openxmlformats.org/officeDocument/2006/relationships/hyperlink"/><Relationship Id="rId263" Target="https%3A%2F%2Fwww.webofscience.com%2Fwos%2Fwoscc%2Ffull-record%2FWOS%3A001745018100001" TargetMode="External" Type="http://schemas.openxmlformats.org/officeDocument/2006/relationships/hyperlink"/><Relationship Id="rId264" Target="http%3A%2F%2Fdx.doi.org%2F10.1186%2Fs12911-026-03466-5" TargetMode="External" Type="http://schemas.openxmlformats.org/officeDocument/2006/relationships/hyperlink"/><Relationship Id="rId265" Target="https%3A%2F%2Fwww.webofscience.com%2Fwos%2Fwoscc%2Ffull-record%2FWOS%3A001775878100001" TargetMode="External" Type="http://schemas.openxmlformats.org/officeDocument/2006/relationships/hyperlink"/><Relationship Id="rId266" Target="http%3A%2F%2Fdx.doi.org%2F10.3390%2Fapp15116224" TargetMode="External" Type="http://schemas.openxmlformats.org/officeDocument/2006/relationships/hyperlink"/><Relationship Id="rId267" Target="https%3A%2F%2Fwww.webofscience.com%2Fwos%2Fwoscc%2Ffull-record%2FWOS%3A001505746100001" TargetMode="External" Type="http://schemas.openxmlformats.org/officeDocument/2006/relationships/hyperlink"/><Relationship Id="rId268" Target="http%3A%2F%2Fdx.doi.org%2F10.1016%2Fj.ejrad.2025.112377" TargetMode="External" Type="http://schemas.openxmlformats.org/officeDocument/2006/relationships/hyperlink"/><Relationship Id="rId269" Target="https%3A%2F%2Fwww.webofscience.com%2Fwos%2Fwoscc%2Ffull-record%2FWOS%3A001561228200001" TargetMode="External" Type="http://schemas.openxmlformats.org/officeDocument/2006/relationships/hyperlink"/><Relationship Id="rId27" Target="http%3A%2F%2Fdx.doi.org%2F10.1007%2Fs10278-024-01066-1" TargetMode="External" Type="http://schemas.openxmlformats.org/officeDocument/2006/relationships/hyperlink"/><Relationship Id="rId270" Target="http%3A%2F%2Fdx.doi.org%2F10.1016%2Fj.bspc.2026.110917" TargetMode="External" Type="http://schemas.openxmlformats.org/officeDocument/2006/relationships/hyperlink"/><Relationship Id="rId271" Target="https%3A%2F%2Fwww.webofscience.com%2Fwos%2Fwoscc%2Ffull-record%2FWOS%3A001818156500001" TargetMode="External" Type="http://schemas.openxmlformats.org/officeDocument/2006/relationships/hyperlink"/><Relationship Id="rId272" Target="http%3A%2F%2Fdx.doi.org%2F10.1002%2Facm2.70464" TargetMode="External" Type="http://schemas.openxmlformats.org/officeDocument/2006/relationships/hyperlink"/><Relationship Id="rId273" Target="https%3A%2F%2Fwww.webofscience.com%2Fwos%2Fwoscc%2Ffull-record%2FWOS%3A001664131700001" TargetMode="External" Type="http://schemas.openxmlformats.org/officeDocument/2006/relationships/hyperlink"/><Relationship Id="rId274" Target="http%3A%2F%2Fdx.doi.org%2F10.1177%2F00037028261424291" TargetMode="External" Type="http://schemas.openxmlformats.org/officeDocument/2006/relationships/hyperlink"/><Relationship Id="rId275" Target="https%3A%2F%2Fwww.webofscience.com%2Fwos%2Fwoscc%2Ffull-record%2FWOS%3A001704628900001" TargetMode="External" Type="http://schemas.openxmlformats.org/officeDocument/2006/relationships/hyperlink"/><Relationship Id="rId276" Target="http%3A%2F%2Fdx.doi.org%2F10.1038%2Fs41598-026-41250-7" TargetMode="External" Type="http://schemas.openxmlformats.org/officeDocument/2006/relationships/hyperlink"/><Relationship Id="rId277" Target="https%3A%2F%2Fwww.webofscience.com%2Fwos%2Fwoscc%2Ffull-record%2FWOS%3A001768310700017" TargetMode="External" Type="http://schemas.openxmlformats.org/officeDocument/2006/relationships/hyperlink"/><Relationship Id="rId278" Target="http%3A%2F%2Fdx.doi.org%2F10.1109%2FTSTE.2024.3494266" TargetMode="External" Type="http://schemas.openxmlformats.org/officeDocument/2006/relationships/hyperlink"/><Relationship Id="rId279" Target="https%3A%2F%2Fwww.webofscience.com%2Fwos%2Fwoscc%2Ffull-record%2FWOS%3A001449690500010" TargetMode="External" Type="http://schemas.openxmlformats.org/officeDocument/2006/relationships/hyperlink"/><Relationship Id="rId28" Target="https%3A%2F%2Fwww.webofscience.com%2Fwos%2Fwoscc%2Ffull-record%2FWOS%3A001194042800001" TargetMode="External" Type="http://schemas.openxmlformats.org/officeDocument/2006/relationships/hyperlink"/><Relationship Id="rId280" Target="http%3A%2F%2Fdx.doi.org%2F10.3389%2Ffmed.2026.1829629" TargetMode="External" Type="http://schemas.openxmlformats.org/officeDocument/2006/relationships/hyperlink"/><Relationship Id="rId281" Target="https%3A%2F%2Fwww.webofscience.com%2Fwos%2Fwoscc%2Ffull-record%2FWOS%3A001772435300001" TargetMode="External" Type="http://schemas.openxmlformats.org/officeDocument/2006/relationships/hyperlink"/><Relationship Id="rId282" Target="http%3A%2F%2Fdx.doi.org%2F10.1111%2Fexsy.70216" TargetMode="External" Type="http://schemas.openxmlformats.org/officeDocument/2006/relationships/hyperlink"/><Relationship Id="rId283" Target="https%3A%2F%2Fwww.webofscience.com%2Fwos%2Fwoscc%2Ffull-record%2FWOS%3A001719130200008" TargetMode="External" Type="http://schemas.openxmlformats.org/officeDocument/2006/relationships/hyperlink"/><Relationship Id="rId284" Target="http%3A%2F%2Fdx.doi.org%2F10.1038%2Fs41598-026-42207-6" TargetMode="External" Type="http://schemas.openxmlformats.org/officeDocument/2006/relationships/hyperlink"/><Relationship Id="rId285" Target="https%3A%2F%2Fwww.webofscience.com%2Fwos%2Fwoscc%2Ffull-record%2FWOS%3A001772754500001" TargetMode="External" Type="http://schemas.openxmlformats.org/officeDocument/2006/relationships/hyperlink"/><Relationship Id="rId286" Target="http%3A%2F%2Fdx.doi.org%2F10.3389%2Ffpubh.2024.1369041" TargetMode="External" Type="http://schemas.openxmlformats.org/officeDocument/2006/relationships/hyperlink"/><Relationship Id="rId287" Target="https%3A%2F%2Fwww.webofscience.com%2Fwos%2Fwoscc%2Ffull-record%2FWOS%3A001400536200001" TargetMode="External" Type="http://schemas.openxmlformats.org/officeDocument/2006/relationships/hyperlink"/><Relationship Id="rId288" Target="http%3A%2F%2Fdx.doi.org%2F10.32604%2Fcmc.2024.056666" TargetMode="External" Type="http://schemas.openxmlformats.org/officeDocument/2006/relationships/hyperlink"/><Relationship Id="rId289" Target="https%3A%2F%2Fwww.webofscience.com%2Fwos%2Fwoscc%2Ffull-record%2FWOS%3A001385235800001" TargetMode="External" Type="http://schemas.openxmlformats.org/officeDocument/2006/relationships/hyperlink"/><Relationship Id="rId29" Target="http%3A%2F%2Fdx.doi.org%2F10.1016%2Fj.spinee.2025.03.011" TargetMode="External" Type="http://schemas.openxmlformats.org/officeDocument/2006/relationships/hyperlink"/><Relationship Id="rId290" Target="http%3A%2F%2Fdx.doi.org%2F10.3389%2Ffonc.2025.1622426" TargetMode="External" Type="http://schemas.openxmlformats.org/officeDocument/2006/relationships/hyperlink"/><Relationship Id="rId291" Target="https%3A%2F%2Fwww.webofscience.com%2Fwos%2Fwoscc%2Ffull-record%2FWOS%3A001540907700001" TargetMode="External" Type="http://schemas.openxmlformats.org/officeDocument/2006/relationships/hyperlink"/><Relationship Id="rId292" Target="http%3A%2F%2Fdx.doi.org%2F10.1109%2FACCESS.2025.3571440" TargetMode="External" Type="http://schemas.openxmlformats.org/officeDocument/2006/relationships/hyperlink"/><Relationship Id="rId293" Target="https%3A%2F%2Fwww.webofscience.com%2Fwos%2Fwoscc%2Ffull-record%2FWOS%3A001494088800009" TargetMode="External" Type="http://schemas.openxmlformats.org/officeDocument/2006/relationships/hyperlink"/><Relationship Id="rId294" Target="http%3A%2F%2Fdx.doi.org%2F10.1088%2F2631-8695%2Fae1278" TargetMode="External" Type="http://schemas.openxmlformats.org/officeDocument/2006/relationships/hyperlink"/><Relationship Id="rId295" Target="https%3A%2F%2Fwww.webofscience.com%2Fwos%2Fwoscc%2Ffull-record%2FWOS%3A001599546600001" TargetMode="External" Type="http://schemas.openxmlformats.org/officeDocument/2006/relationships/hyperlink"/><Relationship Id="rId296" Target="http%3A%2F%2Fdx.doi.org%2F10.1186%2Fs12874-026-02845-w" TargetMode="External" Type="http://schemas.openxmlformats.org/officeDocument/2006/relationships/hyperlink"/><Relationship Id="rId297" Target="https%3A%2F%2Fwww.webofscience.com%2Fwos%2Fwoscc%2Ffull-record%2FWOS%3A001764747700001" TargetMode="External" Type="http://schemas.openxmlformats.org/officeDocument/2006/relationships/hyperlink"/><Relationship Id="rId298" Target="https%3A%2F%2Fwww.webofscience.com%2Fwos%2Fwoscc%2Ffull-record%2FWOS%3A001638671300001" TargetMode="External" Type="http://schemas.openxmlformats.org/officeDocument/2006/relationships/hyperlink"/><Relationship Id="rId299" Target="http%3A%2F%2Fdx.doi.org%2F10.1016%2Fj.eswa.2026.132425" TargetMode="External" Type="http://schemas.openxmlformats.org/officeDocument/2006/relationships/hyperlink"/><Relationship Id="rId3" Target="http%3A%2F%2Fdx.doi.org%2F10.1016%2Fj.dss.2025.114457" TargetMode="External" Type="http://schemas.openxmlformats.org/officeDocument/2006/relationships/hyperlink"/><Relationship Id="rId30" Target="https%3A%2F%2Fwww.webofscience.com%2Fwos%2Fwoscc%2Ffull-record%2FWOS%3A001555904900001" TargetMode="External" Type="http://schemas.openxmlformats.org/officeDocument/2006/relationships/hyperlink"/><Relationship Id="rId300" Target="https%3A%2F%2Fwww.webofscience.com%2Fwos%2Fwoscc%2Ffull-record%2FWOS%3A001750825500001" TargetMode="External" Type="http://schemas.openxmlformats.org/officeDocument/2006/relationships/hyperlink"/><Relationship Id="rId301" Target="http%3A%2F%2Fdx.doi.org%2F10.1016%2Fj.neunet.2025.108257" TargetMode="External" Type="http://schemas.openxmlformats.org/officeDocument/2006/relationships/hyperlink"/><Relationship Id="rId302" Target="https%3A%2F%2Fwww.webofscience.com%2Fwos%2Fwoscc%2Ffull-record%2FWOS%3A001613161500002" TargetMode="External" Type="http://schemas.openxmlformats.org/officeDocument/2006/relationships/hyperlink"/><Relationship Id="rId303" Target="http%3A%2F%2Fdx.doi.org%2F10.1016%2Fj.bspc.2025.108538" TargetMode="External" Type="http://schemas.openxmlformats.org/officeDocument/2006/relationships/hyperlink"/><Relationship Id="rId304" Target="https%3A%2F%2Fwww.webofscience.com%2Fwos%2Fwoscc%2Ffull-record%2FWOS%3A001562848800002" TargetMode="External" Type="http://schemas.openxmlformats.org/officeDocument/2006/relationships/hyperlink"/><Relationship Id="rId305" Target="http%3A%2F%2Fdx.doi.org%2F10.1142%2FS0219519426400373" TargetMode="External" Type="http://schemas.openxmlformats.org/officeDocument/2006/relationships/hyperlink"/><Relationship Id="rId306" Target="https%3A%2F%2Fwww.webofscience.com%2Fwos%2Fwoscc%2Ffull-record%2FWOS%3A001721872700001" TargetMode="External" Type="http://schemas.openxmlformats.org/officeDocument/2006/relationships/hyperlink"/><Relationship Id="rId307" Target="http%3A%2F%2Fdx.doi.org%2F10.1002%2Fcpe.70657" TargetMode="External" Type="http://schemas.openxmlformats.org/officeDocument/2006/relationships/hyperlink"/><Relationship Id="rId308" Target="https%3A%2F%2Fwww.webofscience.com%2Fwos%2Fwoscc%2Ffull-record%2FWOS%3A001738036900019" TargetMode="External" Type="http://schemas.openxmlformats.org/officeDocument/2006/relationships/hyperlink"/><Relationship Id="rId309" Target="http%3A%2F%2Fdx.doi.org%2F10.1186%2Fs12885-026-16116-w" TargetMode="External" Type="http://schemas.openxmlformats.org/officeDocument/2006/relationships/hyperlink"/><Relationship Id="rId31" Target="http%3A%2F%2Fdx.doi.org%2F10.3389%2Ffimmu.2026.1915946" TargetMode="External" Type="http://schemas.openxmlformats.org/officeDocument/2006/relationships/hyperlink"/><Relationship Id="rId310" Target="https%3A%2F%2Fwww.webofscience.com%2Fwos%2Fwoscc%2Ffull-record%2FWOS%3A001810951600001" TargetMode="External" Type="http://schemas.openxmlformats.org/officeDocument/2006/relationships/hyperlink"/><Relationship Id="rId311" Target="http%3A%2F%2Fdx.doi.org%2F10.1002%2Feng2.70139" TargetMode="External" Type="http://schemas.openxmlformats.org/officeDocument/2006/relationships/hyperlink"/><Relationship Id="rId312" Target="https%3A%2F%2Fwww.webofscience.com%2Fwos%2Fwoscc%2Ffull-record%2FWOS%3A001477505800009" TargetMode="External" Type="http://schemas.openxmlformats.org/officeDocument/2006/relationships/hyperlink"/><Relationship Id="rId313" Target="http%3A%2F%2Fdx.doi.org%2F10.1109%2FJSEN.2025.3607313" TargetMode="External" Type="http://schemas.openxmlformats.org/officeDocument/2006/relationships/hyperlink"/><Relationship Id="rId314" Target="https%3A%2F%2Fwww.webofscience.com%2Fwos%2Fwoscc%2Ffull-record%2FWOS%3A001594911000034" TargetMode="External" Type="http://schemas.openxmlformats.org/officeDocument/2006/relationships/hyperlink"/><Relationship Id="rId315" Target="http%3A%2F%2Fdx.doi.org%2F10.1016%2Fj.future.2025.107784" TargetMode="External" Type="http://schemas.openxmlformats.org/officeDocument/2006/relationships/hyperlink"/><Relationship Id="rId316" Target="https%3A%2F%2Fwww.webofscience.com%2Fwos%2Fwoscc%2Ffull-record%2FWOS%3A001441474100001" TargetMode="External" Type="http://schemas.openxmlformats.org/officeDocument/2006/relationships/hyperlink"/><Relationship Id="rId317" Target="http%3A%2F%2Fdx.doi.org%2F10.1016%2Fj.eswa.2026.133628" TargetMode="External" Type="http://schemas.openxmlformats.org/officeDocument/2006/relationships/hyperlink"/><Relationship Id="rId318" Target="https%3A%2F%2Fwww.webofscience.com%2Fwos%2Fwoscc%2Ffull-record%2FWOS%3A001828828100001" TargetMode="External" Type="http://schemas.openxmlformats.org/officeDocument/2006/relationships/hyperlink"/><Relationship Id="rId319" Target="http%3A%2F%2Fdx.doi.org%2F10.3389%2Ffimmu.2026.1602846" TargetMode="External" Type="http://schemas.openxmlformats.org/officeDocument/2006/relationships/hyperlink"/><Relationship Id="rId32" Target="https%3A%2F%2Fwww.webofscience.com%2Fwos%2Fwoscc%2Ffull-record%2FWOS%3A001853348000001" TargetMode="External" Type="http://schemas.openxmlformats.org/officeDocument/2006/relationships/hyperlink"/><Relationship Id="rId320" Target="https%3A%2F%2Fwww.webofscience.com%2Fwos%2Fwoscc%2Ffull-record%2FWOS%3A001697538000001" TargetMode="External" Type="http://schemas.openxmlformats.org/officeDocument/2006/relationships/hyperlink"/><Relationship Id="rId321" Target="http%3A%2F%2Fdx.doi.org%2F10.1016%2Fj.patcog.2026.114394" TargetMode="External" Type="http://schemas.openxmlformats.org/officeDocument/2006/relationships/hyperlink"/><Relationship Id="rId322" Target="https%3A%2F%2Fwww.webofscience.com%2Fwos%2Fwoscc%2Ffull-record%2FWOS%3A001823378200001" TargetMode="External" Type="http://schemas.openxmlformats.org/officeDocument/2006/relationships/hyperlink"/><Relationship Id="rId323" Target="http%3A%2F%2Fdx.doi.org%2F10.1016%2Fj.bspc.2026.109643" TargetMode="External" Type="http://schemas.openxmlformats.org/officeDocument/2006/relationships/hyperlink"/><Relationship Id="rId324" Target="https%3A%2F%2Fwww.webofscience.com%2Fwos%2Fwoscc%2Ffull-record%2FWOS%3A001677351600001" TargetMode="External" Type="http://schemas.openxmlformats.org/officeDocument/2006/relationships/hyperlink"/><Relationship Id="rId325" Target="http%3A%2F%2Fdx.doi.org%2F10.3390%2Fapp15094828" TargetMode="External" Type="http://schemas.openxmlformats.org/officeDocument/2006/relationships/hyperlink"/><Relationship Id="rId326" Target="https%3A%2F%2Fwww.webofscience.com%2Fwos%2Fwoscc%2Ffull-record%2FWOS%3A001486143900001" TargetMode="External" Type="http://schemas.openxmlformats.org/officeDocument/2006/relationships/hyperlink"/><Relationship Id="rId327" Target="http%3A%2F%2Fdx.doi.org%2F10.1364%2FBOE.541570" TargetMode="External" Type="http://schemas.openxmlformats.org/officeDocument/2006/relationships/hyperlink"/><Relationship Id="rId328" Target="https%3A%2F%2Fwww.webofscience.com%2Fwos%2Fwoscc%2Ffull-record%2FWOS%3A001381605800005" TargetMode="External" Type="http://schemas.openxmlformats.org/officeDocument/2006/relationships/hyperlink"/><Relationship Id="rId329" Target="http%3A%2F%2Fdx.doi.org%2F10.1109%2FACCESS.2025.3626339" TargetMode="External" Type="http://schemas.openxmlformats.org/officeDocument/2006/relationships/hyperlink"/><Relationship Id="rId33" Target="http%3A%2F%2Fdx.doi.org%2F10.1109%2FJBHI.2025.3600652" TargetMode="External" Type="http://schemas.openxmlformats.org/officeDocument/2006/relationships/hyperlink"/><Relationship Id="rId330" Target="https%3A%2F%2Fwww.webofscience.com%2Fwos%2Fwoscc%2Ffull-record%2FWOS%3A001611725700001" TargetMode="External" Type="http://schemas.openxmlformats.org/officeDocument/2006/relationships/hyperlink"/><Relationship Id="rId331" Target="http%3A%2F%2Fdx.doi.org%2F10.1016%2Fj.ejmp.2024.103359" TargetMode="External" Type="http://schemas.openxmlformats.org/officeDocument/2006/relationships/hyperlink"/><Relationship Id="rId332" Target="https%3A%2F%2Fwww.webofscience.com%2Fwos%2Fwoscc%2Ffull-record%2FWOS%3A001236793600001" TargetMode="External" Type="http://schemas.openxmlformats.org/officeDocument/2006/relationships/hyperlink"/><Relationship Id="rId333" Target="http%3A%2F%2Fdx.doi.org%2F10.1109%2FACCESS.2026.3693953" TargetMode="External" Type="http://schemas.openxmlformats.org/officeDocument/2006/relationships/hyperlink"/><Relationship Id="rId334" Target="https%3A%2F%2Fwww.webofscience.com%2Fwos%2Fwoscc%2Ffull-record%2FWOS%3A001772893300024" TargetMode="External" Type="http://schemas.openxmlformats.org/officeDocument/2006/relationships/hyperlink"/><Relationship Id="rId335" Target="http%3A%2F%2Fdx.doi.org%2F10.1016%2Fj.knosys.2024.111502" TargetMode="External" Type="http://schemas.openxmlformats.org/officeDocument/2006/relationships/hyperlink"/><Relationship Id="rId336" Target="https%3A%2F%2Fwww.webofscience.com%2Fwos%2Fwoscc%2Ffull-record%2FWOS%3A001194408800001" TargetMode="External" Type="http://schemas.openxmlformats.org/officeDocument/2006/relationships/hyperlink"/><Relationship Id="rId337" Target="http%3A%2F%2Fdx.doi.org%2F10.3389%2Ffmed.2026.1871689" TargetMode="External" Type="http://schemas.openxmlformats.org/officeDocument/2006/relationships/hyperlink"/><Relationship Id="rId338" Target="https%3A%2F%2Fwww.webofscience.com%2Fwos%2Fwoscc%2Ffull-record%2FWOS%3A001845731000001" TargetMode="External" Type="http://schemas.openxmlformats.org/officeDocument/2006/relationships/hyperlink"/><Relationship Id="rId339" Target="http%3A%2F%2Fdx.doi.org%2F10.1016%2Fj.compbiolchem.2026.108972" TargetMode="External" Type="http://schemas.openxmlformats.org/officeDocument/2006/relationships/hyperlink"/><Relationship Id="rId34" Target="https%3A%2F%2Fwww.webofscience.com%2Fwos%2Fwoscc%2Ffull-record%2FWOS%3A001708168300024" TargetMode="External" Type="http://schemas.openxmlformats.org/officeDocument/2006/relationships/hyperlink"/><Relationship Id="rId340" Target="https%3A%2F%2Fwww.webofscience.com%2Fwos%2Fwoscc%2Ffull-record%2FWOS%3A001703935600001" TargetMode="External" Type="http://schemas.openxmlformats.org/officeDocument/2006/relationships/hyperlink"/><Relationship Id="rId341" Target="http%3A%2F%2Fdx.doi.org%2F10.1109%2FTMI.2026.3681722" TargetMode="External" Type="http://schemas.openxmlformats.org/officeDocument/2006/relationships/hyperlink"/><Relationship Id="rId342" Target="https%3A%2F%2Fwww.webofscience.com%2Fwos%2Fwoscc%2Ffull-record%2FWOS%3A001841529200043" TargetMode="External" Type="http://schemas.openxmlformats.org/officeDocument/2006/relationships/hyperlink"/><Relationship Id="rId343" Target="http%3A%2F%2Fdx.doi.org%2F10.1016%2Fj.elerap.2025.101485" TargetMode="External" Type="http://schemas.openxmlformats.org/officeDocument/2006/relationships/hyperlink"/><Relationship Id="rId344" Target="https%3A%2F%2Fwww.webofscience.com%2Fwos%2Fwoscc%2Ffull-record%2FWOS%3A001426085100001" TargetMode="External" Type="http://schemas.openxmlformats.org/officeDocument/2006/relationships/hyperlink"/><Relationship Id="rId345" Target="http%3A%2F%2Fdx.doi.org%2F10.1016%2Fj.bspc.2025.108458" TargetMode="External" Type="http://schemas.openxmlformats.org/officeDocument/2006/relationships/hyperlink"/><Relationship Id="rId346" Target="https%3A%2F%2Fwww.webofscience.com%2Fwos%2Fwoscc%2Ffull-record%2FWOS%3A001561880300001" TargetMode="External" Type="http://schemas.openxmlformats.org/officeDocument/2006/relationships/hyperlink"/><Relationship Id="rId347" Target="http%3A%2F%2Fdx.doi.org%2F10.1016%2Fj.bspc.2026.110388" TargetMode="External" Type="http://schemas.openxmlformats.org/officeDocument/2006/relationships/hyperlink"/><Relationship Id="rId348" Target="https%3A%2F%2Fwww.webofscience.com%2Fwos%2Fwoscc%2Ffull-record%2FWOS%3A001756203600001" TargetMode="External" Type="http://schemas.openxmlformats.org/officeDocument/2006/relationships/hyperlink"/><Relationship Id="rId349" Target="http%3A%2F%2Fdx.doi.org%2F10.1016%2Fj.soildyn.2025.109430" TargetMode="External" Type="http://schemas.openxmlformats.org/officeDocument/2006/relationships/hyperlink"/><Relationship Id="rId35" Target="http%3A%2F%2Fdx.doi.org%2F10.1016%2Fj.patcog.2025.112413" TargetMode="External" Type="http://schemas.openxmlformats.org/officeDocument/2006/relationships/hyperlink"/><Relationship Id="rId350" Target="https%3A%2F%2Fwww.webofscience.com%2Fwos%2Fwoscc%2Ffull-record%2FWOS%3A001465536400001" TargetMode="External" Type="http://schemas.openxmlformats.org/officeDocument/2006/relationships/hyperlink"/><Relationship Id="rId351" Target="http%3A%2F%2Fdx.doi.org%2F10.1016%2Fj.bspc.2026.109672" TargetMode="External" Type="http://schemas.openxmlformats.org/officeDocument/2006/relationships/hyperlink"/><Relationship Id="rId352" Target="https%3A%2F%2Fwww.webofscience.com%2Fwos%2Fwoscc%2Ffull-record%2FWOS%3A001677400400001" TargetMode="External" Type="http://schemas.openxmlformats.org/officeDocument/2006/relationships/hyperlink"/><Relationship Id="rId353" Target="http%3A%2F%2Fdx.doi.org%2F10.1109%2FTVT.2023.3308093" TargetMode="External" Type="http://schemas.openxmlformats.org/officeDocument/2006/relationships/hyperlink"/><Relationship Id="rId354" Target="https%3A%2F%2Fwww.webofscience.com%2Fwos%2Fwoscc%2Ffull-record%2FWOS%3A001166813500057" TargetMode="External" Type="http://schemas.openxmlformats.org/officeDocument/2006/relationships/hyperlink"/><Relationship Id="rId355" Target="http%3A%2F%2Fdx.doi.org%2F10.4018%2FIJITSA.393876" TargetMode="External" Type="http://schemas.openxmlformats.org/officeDocument/2006/relationships/hyperlink"/><Relationship Id="rId356" Target="https%3A%2F%2Fwww.webofscience.com%2Fwos%2Fwoscc%2Ffull-record%2FWOS%3A001668116000001" TargetMode="External" Type="http://schemas.openxmlformats.org/officeDocument/2006/relationships/hyperlink"/><Relationship Id="rId357" Target="http%3A%2F%2Fdx.doi.org%2F10.1061%2FJCCEE5.CPENG-7075" TargetMode="External" Type="http://schemas.openxmlformats.org/officeDocument/2006/relationships/hyperlink"/><Relationship Id="rId358" Target="https%3A%2F%2Fwww.webofscience.com%2Fwos%2Fwoscc%2Ffull-record%2FWOS%3A001617963100011" TargetMode="External" Type="http://schemas.openxmlformats.org/officeDocument/2006/relationships/hyperlink"/><Relationship Id="rId359" Target="http%3A%2F%2Fdx.doi.org%2F10.22967%2FHCIS.2024.14.047" TargetMode="External" Type="http://schemas.openxmlformats.org/officeDocument/2006/relationships/hyperlink"/><Relationship Id="rId36" Target="https%3A%2F%2Fwww.webofscience.com%2Fwos%2Fwoscc%2Ffull-record%2FWOS%3A001571771800001" TargetMode="External" Type="http://schemas.openxmlformats.org/officeDocument/2006/relationships/hyperlink"/><Relationship Id="rId360" Target="https%3A%2F%2Fwww.webofscience.com%2Fwos%2Fwoscc%2Ffull-record%2FWOS%3A001363020100001" TargetMode="External" Type="http://schemas.openxmlformats.org/officeDocument/2006/relationships/hyperlink"/><Relationship Id="rId361" Target="http%3A%2F%2Fdx.doi.org%2F10.1016%2Fj.ijrmms.2025.106225" TargetMode="External" Type="http://schemas.openxmlformats.org/officeDocument/2006/relationships/hyperlink"/><Relationship Id="rId362" Target="https%3A%2F%2Fwww.webofscience.com%2Fwos%2Fwoscc%2Ffull-record%2FWOS%3A001545545500002" TargetMode="External" Type="http://schemas.openxmlformats.org/officeDocument/2006/relationships/hyperlink"/><Relationship Id="rId363" Target="http%3A%2F%2Fdx.doi.org%2F10.2215%2FCJN.0000000695" TargetMode="External" Type="http://schemas.openxmlformats.org/officeDocument/2006/relationships/hyperlink"/><Relationship Id="rId364" Target="https%3A%2F%2Fwww.webofscience.com%2Fwos%2Fwoscc%2Ffull-record%2FWOS%3A001504732600001" TargetMode="External" Type="http://schemas.openxmlformats.org/officeDocument/2006/relationships/hyperlink"/><Relationship Id="rId365" Target="http%3A%2F%2Fdx.doi.org%2F10.1109%2FJTEHM.2025.3588427" TargetMode="External" Type="http://schemas.openxmlformats.org/officeDocument/2006/relationships/hyperlink"/><Relationship Id="rId366" Target="https%3A%2F%2Fwww.webofscience.com%2Fwos%2Fwoscc%2Ffull-record%2FWOS%3A001718370200001" TargetMode="External" Type="http://schemas.openxmlformats.org/officeDocument/2006/relationships/hyperlink"/><Relationship Id="rId367" Target="http%3A%2F%2Fdx.doi.org%2F10.2196%2F70738" TargetMode="External" Type="http://schemas.openxmlformats.org/officeDocument/2006/relationships/hyperlink"/><Relationship Id="rId368" Target="https%3A%2F%2Fwww.webofscience.com%2Fwos%2Fwoscc%2Ffull-record%2FWOS%3A001578958700001" TargetMode="External" Type="http://schemas.openxmlformats.org/officeDocument/2006/relationships/hyperlink"/><Relationship Id="rId369" Target="http%3A%2F%2Fdx.doi.org%2F10.1016%2Fj.measurement.2026.120400" TargetMode="External" Type="http://schemas.openxmlformats.org/officeDocument/2006/relationships/hyperlink"/><Relationship Id="rId37" Target="http%3A%2F%2Fdx.doi.org%2F10.1016%2Fj.inffus.2023.102200" TargetMode="External" Type="http://schemas.openxmlformats.org/officeDocument/2006/relationships/hyperlink"/><Relationship Id="rId370" Target="https%3A%2F%2Fwww.webofscience.com%2Fwos%2Fwoscc%2Ffull-record%2FWOS%3A001670918600001" TargetMode="External" Type="http://schemas.openxmlformats.org/officeDocument/2006/relationships/hyperlink"/><Relationship Id="rId371" Target="http%3A%2F%2Fdx.doi.org%2F10.1016%2Fj.buildenv.2025.112706" TargetMode="External" Type="http://schemas.openxmlformats.org/officeDocument/2006/relationships/hyperlink"/><Relationship Id="rId372" Target="https%3A%2F%2Fwww.webofscience.com%2Fwos%2Fwoscc%2Ffull-record%2FWOS%3A001428734500001" TargetMode="External" Type="http://schemas.openxmlformats.org/officeDocument/2006/relationships/hyperlink"/><Relationship Id="rId373" Target="http%3A%2F%2Fdx.doi.org%2F10.3390%2Fmath14122064" TargetMode="External" Type="http://schemas.openxmlformats.org/officeDocument/2006/relationships/hyperlink"/><Relationship Id="rId374" Target="https%3A%2F%2Fwww.webofscience.com%2Fwos%2Fwoscc%2Ffull-record%2FWOS%3A001802929300001" TargetMode="External" Type="http://schemas.openxmlformats.org/officeDocument/2006/relationships/hyperlink"/><Relationship Id="rId375" Target="http%3A%2F%2Fdx.doi.org%2F10.3897%2Fjucs.127703" TargetMode="External" Type="http://schemas.openxmlformats.org/officeDocument/2006/relationships/hyperlink"/><Relationship Id="rId376" Target="https%3A%2F%2Fwww.webofscience.com%2Fwos%2Fwoscc%2Ffull-record%2FWOS%3A001460585800006" TargetMode="External" Type="http://schemas.openxmlformats.org/officeDocument/2006/relationships/hyperlink"/><Relationship Id="rId377" Target="http%3A%2F%2Fdx.doi.org%2F10.2174%2F0113862073484389260528213445" TargetMode="External" Type="http://schemas.openxmlformats.org/officeDocument/2006/relationships/hyperlink"/><Relationship Id="rId378" Target="https%3A%2F%2Fwww.webofscience.com%2Fwos%2Fwoscc%2Ffull-record%2FWOS%3A001796074900001" TargetMode="External" Type="http://schemas.openxmlformats.org/officeDocument/2006/relationships/hyperlink"/><Relationship Id="rId379" Target="http%3A%2F%2Fdx.doi.org%2F10.1093%2Fnoajnl%2Fvdae122" TargetMode="External" Type="http://schemas.openxmlformats.org/officeDocument/2006/relationships/hyperlink"/><Relationship Id="rId38" Target="https%3A%2F%2Fwww.webofscience.com%2Fwos%2Fwoscc%2Ffull-record%2FWOS%3A001149732600001" TargetMode="External" Type="http://schemas.openxmlformats.org/officeDocument/2006/relationships/hyperlink"/><Relationship Id="rId380" Target="https%3A%2F%2Fwww.webofscience.com%2Fwos%2Fwoscc%2Ffull-record%2FWOS%3A001291399400001" TargetMode="External" Type="http://schemas.openxmlformats.org/officeDocument/2006/relationships/hyperlink"/><Relationship Id="rId381" Target="http%3A%2F%2Fdx.doi.org%2F10.1007%2Fs10115-025-02386-6" TargetMode="External" Type="http://schemas.openxmlformats.org/officeDocument/2006/relationships/hyperlink"/><Relationship Id="rId382" Target="https%3A%2F%2Fwww.webofscience.com%2Fwos%2Fwoscc%2Ffull-record%2FWOS%3A001448392400001" TargetMode="External" Type="http://schemas.openxmlformats.org/officeDocument/2006/relationships/hyperlink"/><Relationship Id="rId383" Target="http%3A%2F%2Fdx.doi.org%2F10.26599%2FBDMA.2024.9020012" TargetMode="External" Type="http://schemas.openxmlformats.org/officeDocument/2006/relationships/hyperlink"/><Relationship Id="rId384" Target="https%3A%2F%2Fwww.webofscience.com%2Fwos%2Fwoscc%2Ffull-record%2FWOS%3A001306486900006" TargetMode="External" Type="http://schemas.openxmlformats.org/officeDocument/2006/relationships/hyperlink"/><Relationship Id="rId385" Target="http%3A%2F%2Fdx.doi.org%2F10.1109%2FJSTARS.2025.3637891" TargetMode="External" Type="http://schemas.openxmlformats.org/officeDocument/2006/relationships/hyperlink"/><Relationship Id="rId386" Target="https%3A%2F%2Fwww.webofscience.com%2Fwos%2Fwoscc%2Ffull-record%2FWOS%3A001649663000001" TargetMode="External" Type="http://schemas.openxmlformats.org/officeDocument/2006/relationships/hyperlink"/><Relationship Id="rId387" Target="http%3A%2F%2Fdx.doi.org%2F10.1016%2Fj.jksuci.2022.03.011" TargetMode="External" Type="http://schemas.openxmlformats.org/officeDocument/2006/relationships/hyperlink"/><Relationship Id="rId388" Target="https%3A%2F%2Fwww.webofscience.com%2Fwos%2Fwoscc%2Ffull-record%2FWOS%3A000835043700011" TargetMode="External" Type="http://schemas.openxmlformats.org/officeDocument/2006/relationships/hyperlink"/><Relationship Id="rId389" Target="http%3A%2F%2Fdx.doi.org%2F10.1145%2F3672565" TargetMode="External" Type="http://schemas.openxmlformats.org/officeDocument/2006/relationships/hyperlink"/><Relationship Id="rId39" Target="http%3A%2F%2Fdx.doi.org%2F10.1016%2Fj.cmpb.2022.107165" TargetMode="External" Type="http://schemas.openxmlformats.org/officeDocument/2006/relationships/hyperlink"/><Relationship Id="rId390" Target="https%3A%2F%2Fwww.webofscience.com%2Fwos%2Fwoscc%2Ffull-record%2FWOS%3A001325876400001" TargetMode="External" Type="http://schemas.openxmlformats.org/officeDocument/2006/relationships/hyperlink"/><Relationship Id="rId391" Target="http%3A%2F%2Fdx.doi.org%2F10.1016%2Fj.measurement.2026.122694" TargetMode="External" Type="http://schemas.openxmlformats.org/officeDocument/2006/relationships/hyperlink"/><Relationship Id="rId392" Target="https%3A%2F%2Fwww.webofscience.com%2Fwos%2Fwoscc%2Ffull-record%2FWOS%3A001841110200001" TargetMode="External" Type="http://schemas.openxmlformats.org/officeDocument/2006/relationships/hyperlink"/><Relationship Id="rId393" Target="http%3A%2F%2Fdx.doi.org%2F10.1109%2FJBHI.2024.3501386" TargetMode="External" Type="http://schemas.openxmlformats.org/officeDocument/2006/relationships/hyperlink"/><Relationship Id="rId394" Target="https%3A%2F%2Fwww.webofscience.com%2Fwos%2Fwoscc%2Ffull-record%2FWOS%3A001427944500003" TargetMode="External" Type="http://schemas.openxmlformats.org/officeDocument/2006/relationships/hyperlink"/><Relationship Id="rId395" Target="http%3A%2F%2Fdx.doi.org%2F10.3389%2Ffrai.2025.1731633" TargetMode="External" Type="http://schemas.openxmlformats.org/officeDocument/2006/relationships/hyperlink"/><Relationship Id="rId396" Target="https%3A%2F%2Fwww.webofscience.com%2Fwos%2Fwoscc%2Ffull-record%2FWOS%3A001690694700001" TargetMode="External" Type="http://schemas.openxmlformats.org/officeDocument/2006/relationships/hyperlink"/><Relationship Id="rId397" Target="http%3A%2F%2Fdx.doi.org%2F10.3389%2Ffrai.2025.1731062" TargetMode="External" Type="http://schemas.openxmlformats.org/officeDocument/2006/relationships/hyperlink"/><Relationship Id="rId398" Target="https%3A%2F%2Fwww.webofscience.com%2Fwos%2Fwoscc%2Ffull-record%2FWOS%3A001651595900001" TargetMode="External" Type="http://schemas.openxmlformats.org/officeDocument/2006/relationships/hyperlink"/><Relationship Id="rId399" Target="http%3A%2F%2Fdx.doi.org%2F10.3389%2Ffphys.2025.1605406" TargetMode="External" Type="http://schemas.openxmlformats.org/officeDocument/2006/relationships/hyperlink"/><Relationship Id="rId4" Target="https%3A%2F%2Fwww.webofscience.com%2Fwos%2Fwoscc%2Ffull-record%2FWOS%3A001487224100001" TargetMode="External" Type="http://schemas.openxmlformats.org/officeDocument/2006/relationships/hyperlink"/><Relationship Id="rId40" Target="https%3A%2F%2Fwww.webofscience.com%2Fwos%2Fwoscc%2Ffull-record%2FWOS%3A000872389100006" TargetMode="External" Type="http://schemas.openxmlformats.org/officeDocument/2006/relationships/hyperlink"/><Relationship Id="rId400" Target="https%3A%2F%2Fwww.webofscience.com%2Fwos%2Fwoscc%2Ffull-record%2FWOS%3A001584638200001" TargetMode="External" Type="http://schemas.openxmlformats.org/officeDocument/2006/relationships/hyperlink"/><Relationship Id="rId401" Target="http%3A%2F%2Fdx.doi.org%2F10.1016%2Fj.acra.2026.03.044" TargetMode="External" Type="http://schemas.openxmlformats.org/officeDocument/2006/relationships/hyperlink"/><Relationship Id="rId402" Target="https%3A%2F%2Fwww.webofscience.com%2Fwos%2Fwoscc%2Ffull-record%2FWOS%3A001789528500001" TargetMode="External" Type="http://schemas.openxmlformats.org/officeDocument/2006/relationships/hyperlink"/><Relationship Id="rId403" Target="http%3A%2F%2Fdx.doi.org%2F10.1016%2Fj.eswa.2026.131440" TargetMode="External" Type="http://schemas.openxmlformats.org/officeDocument/2006/relationships/hyperlink"/><Relationship Id="rId404" Target="https%3A%2F%2Fwww.webofscience.com%2Fwos%2Fwoscc%2Ffull-record%2FWOS%3A001689609400001" TargetMode="External" Type="http://schemas.openxmlformats.org/officeDocument/2006/relationships/hyperlink"/><Relationship Id="rId405" Target="http%3A%2F%2Fdx.doi.org%2F10.1109%2FTASLPRO.2025.3634976" TargetMode="External" Type="http://schemas.openxmlformats.org/officeDocument/2006/relationships/hyperlink"/><Relationship Id="rId406" Target="https%3A%2F%2Fwww.webofscience.com%2Fwos%2Fwoscc%2Ffull-record%2FWOS%3A001642136500005" TargetMode="External" Type="http://schemas.openxmlformats.org/officeDocument/2006/relationships/hyperlink"/><Relationship Id="rId407" Target="http%3A%2F%2Fdx.doi.org%2F10.1016%2Fj.inffus.2026.104384" TargetMode="External" Type="http://schemas.openxmlformats.org/officeDocument/2006/relationships/hyperlink"/><Relationship Id="rId408" Target="https%3A%2F%2Fwww.webofscience.com%2Fwos%2Fwoscc%2Ffull-record%2FWOS%3A001759525000001" TargetMode="External" Type="http://schemas.openxmlformats.org/officeDocument/2006/relationships/hyperlink"/><Relationship Id="rId409" Target="http%3A%2F%2Fdx.doi.org%2F10.1038%2Fs41598-025-03524-4" TargetMode="External" Type="http://schemas.openxmlformats.org/officeDocument/2006/relationships/hyperlink"/><Relationship Id="rId41" Target="http%3A%2F%2Fdx.doi.org%2F10.1145%2F3702243" TargetMode="External" Type="http://schemas.openxmlformats.org/officeDocument/2006/relationships/hyperlink"/><Relationship Id="rId410" Target="https%3A%2F%2Fwww.webofscience.com%2Fwos%2Fwoscc%2Ffull-record%2FWOS%3A001522988600008" TargetMode="External" Type="http://schemas.openxmlformats.org/officeDocument/2006/relationships/hyperlink"/><Relationship Id="rId411" Target="http%3A%2F%2Fdx.doi.org%2F10.1016%2Fj.apacoust.2024.110301" TargetMode="External" Type="http://schemas.openxmlformats.org/officeDocument/2006/relationships/hyperlink"/><Relationship Id="rId412" Target="https%3A%2F%2Fwww.webofscience.com%2Fwos%2Fwoscc%2Ffull-record%2FWOS%3A001331025000001" TargetMode="External" Type="http://schemas.openxmlformats.org/officeDocument/2006/relationships/hyperlink"/><Relationship Id="rId413" Target="http%3A%2F%2Fdx.doi.org%2F10.3389%2Ffnagi.2025.1527323" TargetMode="External" Type="http://schemas.openxmlformats.org/officeDocument/2006/relationships/hyperlink"/><Relationship Id="rId414" Target="https%3A%2F%2Fwww.webofscience.com%2Fwos%2Fwoscc%2Ffull-record%2FWOS%3A001431332300001" TargetMode="External" Type="http://schemas.openxmlformats.org/officeDocument/2006/relationships/hyperlink"/><Relationship Id="rId415" Target="http%3A%2F%2Fdx.doi.org%2F10.1016%2Fj.scitotenv.2024.176598" TargetMode="External" Type="http://schemas.openxmlformats.org/officeDocument/2006/relationships/hyperlink"/><Relationship Id="rId416" Target="https%3A%2F%2Fwww.webofscience.com%2Fwos%2Fwoscc%2Ffull-record%2FWOS%3A001332704500001" TargetMode="External" Type="http://schemas.openxmlformats.org/officeDocument/2006/relationships/hyperlink"/><Relationship Id="rId417" Target="http%3A%2F%2Fdx.doi.org%2F10.1007%2Fs12206-026-0705-z" TargetMode="External" Type="http://schemas.openxmlformats.org/officeDocument/2006/relationships/hyperlink"/><Relationship Id="rId418" Target="https%3A%2F%2Fwww.webofscience.com%2Fwos%2Fwoscc%2Ffull-record%2FWOS%3A001841956400001" TargetMode="External" Type="http://schemas.openxmlformats.org/officeDocument/2006/relationships/hyperlink"/><Relationship Id="rId419" Target="http%3A%2F%2Fdx.doi.org%2F10.1007%2Fs12206-026-0513-5" TargetMode="External" Type="http://schemas.openxmlformats.org/officeDocument/2006/relationships/hyperlink"/><Relationship Id="rId42" Target="https%3A%2F%2Fwww.webofscience.com%2Fwos%2Fwoscc%2Ffull-record%2FWOS%3A001432818300003" TargetMode="External" Type="http://schemas.openxmlformats.org/officeDocument/2006/relationships/hyperlink"/><Relationship Id="rId420" Target="https%3A%2F%2Fwww.webofscience.com%2Fwos%2Fwoscc%2Ffull-record%2FWOS%3A001783157700001" TargetMode="External" Type="http://schemas.openxmlformats.org/officeDocument/2006/relationships/hyperlink"/><Relationship Id="rId421" Target="http%3A%2F%2Fdx.doi.org%2F10.1007%2Fs00530-025-02088-7" TargetMode="External" Type="http://schemas.openxmlformats.org/officeDocument/2006/relationships/hyperlink"/><Relationship Id="rId422" Target="https%3A%2F%2Fwww.webofscience.com%2Fwos%2Fwoscc%2Ffull-record%2FWOS%3A001631727700008" TargetMode="External" Type="http://schemas.openxmlformats.org/officeDocument/2006/relationships/hyperlink"/><Relationship Id="rId423" Target="http%3A%2F%2Fdx.doi.org%2F10.1371%2Fjournal.pone.0351405" TargetMode="External" Type="http://schemas.openxmlformats.org/officeDocument/2006/relationships/hyperlink"/><Relationship Id="rId424" Target="https%3A%2F%2Fwww.webofscience.com%2Fwos%2Fwoscc%2Ffull-record%2FWOS%3A001792566300026" TargetMode="External" Type="http://schemas.openxmlformats.org/officeDocument/2006/relationships/hyperlink"/><Relationship Id="rId425" Target="http%3A%2F%2Fdx.doi.org%2F10.3390%2Ffoods15061095" TargetMode="External" Type="http://schemas.openxmlformats.org/officeDocument/2006/relationships/hyperlink"/><Relationship Id="rId426" Target="https%3A%2F%2Fwww.webofscience.com%2Fwos%2Fwoscc%2Ffull-record%2FWOS%3A001726132700001" TargetMode="External" Type="http://schemas.openxmlformats.org/officeDocument/2006/relationships/hyperlink"/><Relationship Id="rId427" Target="http%3A%2F%2Fdx.doi.org%2F10.3390%2Fdrones9070496" TargetMode="External" Type="http://schemas.openxmlformats.org/officeDocument/2006/relationships/hyperlink"/><Relationship Id="rId428" Target="https%3A%2F%2Fwww.webofscience.com%2Fwos%2Fwoscc%2Ffull-record%2FWOS%3A001535809100001" TargetMode="External" Type="http://schemas.openxmlformats.org/officeDocument/2006/relationships/hyperlink"/><Relationship Id="rId429" Target="http%3A%2F%2Fdx.doi.org%2F10.1016%2Fj.sna.2023.114433" TargetMode="External" Type="http://schemas.openxmlformats.org/officeDocument/2006/relationships/hyperlink"/><Relationship Id="rId43" Target="http%3A%2F%2Fdx.doi.org%2F10.1016%2Fj.neucom.2025.130502" TargetMode="External" Type="http://schemas.openxmlformats.org/officeDocument/2006/relationships/hyperlink"/><Relationship Id="rId430" Target="https%3A%2F%2Fwww.webofscience.com%2Fwos%2Fwoscc%2Ffull-record%2FWOS%3A001005413600001" TargetMode="External" Type="http://schemas.openxmlformats.org/officeDocument/2006/relationships/hyperlink"/><Relationship Id="rId431" Target="http%3A%2F%2Fdx.doi.org%2F10.1109%2FTMM.2025.3535347" TargetMode="External" Type="http://schemas.openxmlformats.org/officeDocument/2006/relationships/hyperlink"/><Relationship Id="rId432" Target="https%3A%2F%2Fwww.webofscience.com%2Fwos%2Fwoscc%2Ffull-record%2FWOS%3A001525570100030" TargetMode="External" Type="http://schemas.openxmlformats.org/officeDocument/2006/relationships/hyperlink"/><Relationship Id="rId433" Target="http%3A%2F%2Fdx.doi.org%2F10.1080%2F10589759.2026.2651926" TargetMode="External" Type="http://schemas.openxmlformats.org/officeDocument/2006/relationships/hyperlink"/><Relationship Id="rId434" Target="https%3A%2F%2Fwww.webofscience.com%2Fwos%2Fwoscc%2Ffull-record%2FWOS%3A001739970000001" TargetMode="External" Type="http://schemas.openxmlformats.org/officeDocument/2006/relationships/hyperlink"/><Relationship Id="rId435" Target="http%3A%2F%2Fdx.doi.org%2F10.3390%2Fjcm15145525" TargetMode="External" Type="http://schemas.openxmlformats.org/officeDocument/2006/relationships/hyperlink"/><Relationship Id="rId436" Target="https%3A%2F%2Fwww.webofscience.com%2Fwos%2Fwoscc%2Ffull-record%2FWOS%3A001832223300001" TargetMode="External" Type="http://schemas.openxmlformats.org/officeDocument/2006/relationships/hyperlink"/><Relationship Id="rId437" Target="http%3A%2F%2Fdx.doi.org%2F10.1007%2Fs11760-025-03916-z" TargetMode="External" Type="http://schemas.openxmlformats.org/officeDocument/2006/relationships/hyperlink"/><Relationship Id="rId438" Target="https%3A%2F%2Fwww.webofscience.com%2Fwos%2Fwoscc%2Ffull-record%2FWOS%3A001441305500016" TargetMode="External" Type="http://schemas.openxmlformats.org/officeDocument/2006/relationships/hyperlink"/><Relationship Id="rId439" Target="http%3A%2F%2Fdx.doi.org%2F10.1016%2Fj.eswa.2025.128580" TargetMode="External" Type="http://schemas.openxmlformats.org/officeDocument/2006/relationships/hyperlink"/><Relationship Id="rId44" Target="https%3A%2F%2Fwww.webofscience.com%2Fwos%2Fwoscc%2Ffull-record%2FWOS%3A001505824600001" TargetMode="External" Type="http://schemas.openxmlformats.org/officeDocument/2006/relationships/hyperlink"/><Relationship Id="rId440" Target="https%3A%2F%2Fwww.webofscience.com%2Fwos%2Fwoscc%2Ffull-record%2FWOS%3A001516216900002" TargetMode="External" Type="http://schemas.openxmlformats.org/officeDocument/2006/relationships/hyperlink"/><Relationship Id="rId441" Target="http%3A%2F%2Fdx.doi.org%2F10.3389%2Ffphar.2025.1639979" TargetMode="External" Type="http://schemas.openxmlformats.org/officeDocument/2006/relationships/hyperlink"/><Relationship Id="rId442" Target="https%3A%2F%2Fwww.webofscience.com%2Fwos%2Fwoscc%2Ffull-record%2FWOS%3A001629533600001" TargetMode="External" Type="http://schemas.openxmlformats.org/officeDocument/2006/relationships/hyperlink"/><Relationship Id="rId443" Target="http%3A%2F%2Fdx.doi.org%2F10.1007%2Fs13369-025-10848-w" TargetMode="External" Type="http://schemas.openxmlformats.org/officeDocument/2006/relationships/hyperlink"/><Relationship Id="rId444" Target="https%3A%2F%2Fwww.webofscience.com%2Fwos%2Fwoscc%2Ffull-record%2FWOS%3A001613162900001" TargetMode="External" Type="http://schemas.openxmlformats.org/officeDocument/2006/relationships/hyperlink"/><Relationship Id="rId445" Target="http%3A%2F%2Fdx.doi.org%2F10.1038%2Fs41598-026-48978-2" TargetMode="External" Type="http://schemas.openxmlformats.org/officeDocument/2006/relationships/hyperlink"/><Relationship Id="rId446" Target="https%3A%2F%2Fwww.webofscience.com%2Fwos%2Fwoscc%2Ffull-record%2FWOS%3A001814572200001" TargetMode="External" Type="http://schemas.openxmlformats.org/officeDocument/2006/relationships/hyperlink"/><Relationship Id="rId447" Target="http%3A%2F%2Fdx.doi.org%2F10.1016%2Fj.neucom.2025.131233" TargetMode="External" Type="http://schemas.openxmlformats.org/officeDocument/2006/relationships/hyperlink"/><Relationship Id="rId448" Target="https%3A%2F%2Fwww.webofscience.com%2Fwos%2Fwoscc%2Ffull-record%2FWOS%3A001693872300013" TargetMode="External" Type="http://schemas.openxmlformats.org/officeDocument/2006/relationships/hyperlink"/><Relationship Id="rId449" Target="http%3A%2F%2Fdx.doi.org%2F10.1016%2Fj.asoc.2025.113823" TargetMode="External" Type="http://schemas.openxmlformats.org/officeDocument/2006/relationships/hyperlink"/><Relationship Id="rId45" Target="http%3A%2F%2Fdx.doi.org%2F10.1002%2Fadvs.202510931" TargetMode="External" Type="http://schemas.openxmlformats.org/officeDocument/2006/relationships/hyperlink"/><Relationship Id="rId450" Target="https%3A%2F%2Fwww.webofscience.com%2Fwos%2Fwoscc%2Ffull-record%2FWOS%3A001582156200001" TargetMode="External" Type="http://schemas.openxmlformats.org/officeDocument/2006/relationships/hyperlink"/><Relationship Id="rId451" Target="http%3A%2F%2Fdx.doi.org%2F10.1016%2Fj.ijbiomac.2026.151617" TargetMode="External" Type="http://schemas.openxmlformats.org/officeDocument/2006/relationships/hyperlink"/><Relationship Id="rId452" Target="https%3A%2F%2Fwww.webofscience.com%2Fwos%2Fwoscc%2Ffull-record%2FWOS%3A001740093000001" TargetMode="External" Type="http://schemas.openxmlformats.org/officeDocument/2006/relationships/hyperlink"/><Relationship Id="rId453" Target="http%3A%2F%2Fdx.doi.org%2F10.1109%2FTNSRE.2025.3561942" TargetMode="External" Type="http://schemas.openxmlformats.org/officeDocument/2006/relationships/hyperlink"/><Relationship Id="rId454" Target="https%3A%2F%2Fwww.webofscience.com%2Fwos%2Fwoscc%2Ffull-record%2FWOS%3A001479397100003" TargetMode="External" Type="http://schemas.openxmlformats.org/officeDocument/2006/relationships/hyperlink"/><Relationship Id="rId455" Target="http%3A%2F%2Fdx.doi.org%2F10.3847%2F1538-4365%2Fae88f7" TargetMode="External" Type="http://schemas.openxmlformats.org/officeDocument/2006/relationships/hyperlink"/><Relationship Id="rId456" Target="https%3A%2F%2Fwww.webofscience.com%2Fwos%2Fwoscc%2Ffull-record%2FWOS%3A001843595800001" TargetMode="External" Type="http://schemas.openxmlformats.org/officeDocument/2006/relationships/hyperlink"/><Relationship Id="rId457" Target="http%3A%2F%2Fdx.doi.org%2F10.1016%2Fj.array.2025.100565" TargetMode="External" Type="http://schemas.openxmlformats.org/officeDocument/2006/relationships/hyperlink"/><Relationship Id="rId458" Target="https%3A%2F%2Fwww.webofscience.com%2Fwos%2Fwoscc%2Ffull-record%2FWOS%3A001617356000001" TargetMode="External" Type="http://schemas.openxmlformats.org/officeDocument/2006/relationships/hyperlink"/><Relationship Id="rId459" Target="http%3A%2F%2Fdx.doi.org%2F10.3390%2Fhorticulturae12010008" TargetMode="External" Type="http://schemas.openxmlformats.org/officeDocument/2006/relationships/hyperlink"/><Relationship Id="rId46" Target="https%3A%2F%2Fwww.webofscience.com%2Fwos%2Fwoscc%2Ffull-record%2FWOS%3A001664846200001" TargetMode="External" Type="http://schemas.openxmlformats.org/officeDocument/2006/relationships/hyperlink"/><Relationship Id="rId460" Target="https%3A%2F%2Fwww.webofscience.com%2Fwos%2Fwoscc%2Ffull-record%2FWOS%3A001670553200001" TargetMode="External" Type="http://schemas.openxmlformats.org/officeDocument/2006/relationships/hyperlink"/><Relationship Id="rId461" Target="http%3A%2F%2Fdx.doi.org%2F10.1016%2Fj.atech.2026.102038" TargetMode="External" Type="http://schemas.openxmlformats.org/officeDocument/2006/relationships/hyperlink"/><Relationship Id="rId462" Target="https%3A%2F%2Fwww.webofscience.com%2Fwos%2Fwoscc%2Ffull-record%2FWOS%3A001733427300001" TargetMode="External" Type="http://schemas.openxmlformats.org/officeDocument/2006/relationships/hyperlink"/><Relationship Id="rId463" Target="http%3A%2F%2Fdx.doi.org%2F10.1016%2Fj.neunet.2025.108057" TargetMode="External" Type="http://schemas.openxmlformats.org/officeDocument/2006/relationships/hyperlink"/><Relationship Id="rId464" Target="https%3A%2F%2Fwww.webofscience.com%2Fwos%2Fwoscc%2Ffull-record%2FWOS%3A001568140000001" TargetMode="External" Type="http://schemas.openxmlformats.org/officeDocument/2006/relationships/hyperlink"/><Relationship Id="rId465" Target="http%3A%2F%2Fdx.doi.org%2F10.3934%2Fmath.20231169" TargetMode="External" Type="http://schemas.openxmlformats.org/officeDocument/2006/relationships/hyperlink"/><Relationship Id="rId466" Target="https%3A%2F%2Fwww.webofscience.com%2Fwos%2Fwoscc%2Ffull-record%2FWOS%3A001038431500007" TargetMode="External" Type="http://schemas.openxmlformats.org/officeDocument/2006/relationships/hyperlink"/><Relationship Id="rId467" Target="http%3A%2F%2Fdx.doi.org%2F10.1109%2FTASE.2026.3713693" TargetMode="External" Type="http://schemas.openxmlformats.org/officeDocument/2006/relationships/hyperlink"/><Relationship Id="rId468" Target="https%3A%2F%2Fwww.webofscience.com%2Fwos%2Fwoscc%2Ffull-record%2FWOS%3A001835561800004" TargetMode="External" Type="http://schemas.openxmlformats.org/officeDocument/2006/relationships/hyperlink"/><Relationship Id="rId469" Target="http%3A%2F%2Fdx.doi.org%2F10.1016%2Fj.compmedimag.2022.102176" TargetMode="External" Type="http://schemas.openxmlformats.org/officeDocument/2006/relationships/hyperlink"/><Relationship Id="rId47" Target="http%3A%2F%2Fdx.doi.org%2F10.1016%2Fj.compmedimag.2024.102386" TargetMode="External" Type="http://schemas.openxmlformats.org/officeDocument/2006/relationships/hyperlink"/><Relationship Id="rId470" Target="https%3A%2F%2Fwww.webofscience.com%2Fwos%2Fwoscc%2Ffull-record%2FWOS%3A000924290500001" TargetMode="External" Type="http://schemas.openxmlformats.org/officeDocument/2006/relationships/hyperlink"/><Relationship Id="rId471" Target="http%3A%2F%2Fdx.doi.org%2F10.1002%2Fmp.70450" TargetMode="External" Type="http://schemas.openxmlformats.org/officeDocument/2006/relationships/hyperlink"/><Relationship Id="rId472" Target="https%3A%2F%2Fwww.webofscience.com%2Fwos%2Fwoscc%2Ffull-record%2FWOS%3A001752168200001" TargetMode="External" Type="http://schemas.openxmlformats.org/officeDocument/2006/relationships/hyperlink"/><Relationship Id="rId473" Target="http%3A%2F%2Fdx.doi.org%2F10.1109%2FJBHI.2025.3538582" TargetMode="External" Type="http://schemas.openxmlformats.org/officeDocument/2006/relationships/hyperlink"/><Relationship Id="rId474" Target="https%3A%2F%2Fwww.webofscience.com%2Fwos%2Fwoscc%2Ffull-record%2FWOS%3A001484010400009" TargetMode="External" Type="http://schemas.openxmlformats.org/officeDocument/2006/relationships/hyperlink"/><Relationship Id="rId475" Target="http%3A%2F%2Fdx.doi.org%2F10.1016%2Fj.jaecs.2026.100523" TargetMode="External" Type="http://schemas.openxmlformats.org/officeDocument/2006/relationships/hyperlink"/><Relationship Id="rId476" Target="https%3A%2F%2Fwww.webofscience.com%2Fwos%2Fwoscc%2Ffull-record%2FWOS%3A001792363700001" TargetMode="External" Type="http://schemas.openxmlformats.org/officeDocument/2006/relationships/hyperlink"/><Relationship Id="rId477" Target="http%3A%2F%2Fdx.doi.org%2F10.1016%2Fj.aej.2025.07.021" TargetMode="External" Type="http://schemas.openxmlformats.org/officeDocument/2006/relationships/hyperlink"/><Relationship Id="rId478" Target="https%3A%2F%2Fwww.webofscience.com%2Fwos%2Fwoscc%2Ffull-record%2FWOS%3A001585879200002" TargetMode="External" Type="http://schemas.openxmlformats.org/officeDocument/2006/relationships/hyperlink"/><Relationship Id="rId479" Target="http%3A%2F%2Fdx.doi.org%2F10.32604%2Fcmc.2025.068246" TargetMode="External" Type="http://schemas.openxmlformats.org/officeDocument/2006/relationships/hyperlink"/><Relationship Id="rId48" Target="https%3A%2F%2Fwww.webofscience.com%2Fwos%2Fwoscc%2Ffull-record%2FWOS%3A001239082600001" TargetMode="External" Type="http://schemas.openxmlformats.org/officeDocument/2006/relationships/hyperlink"/><Relationship Id="rId480" Target="https%3A%2F%2Fwww.webofscience.com%2Fwos%2Fwoscc%2Ffull-record%2FWOS%3A001621380900001" TargetMode="External" Type="http://schemas.openxmlformats.org/officeDocument/2006/relationships/hyperlink"/><Relationship Id="rId481" Target="http%3A%2F%2Fdx.doi.org%2F10.3390%2Fjcm14228074" TargetMode="External" Type="http://schemas.openxmlformats.org/officeDocument/2006/relationships/hyperlink"/><Relationship Id="rId482" Target="https%3A%2F%2Fwww.webofscience.com%2Fwos%2Fwoscc%2Ffull-record%2FWOS%3A001623916400001" TargetMode="External" Type="http://schemas.openxmlformats.org/officeDocument/2006/relationships/hyperlink"/><Relationship Id="rId483" Target="http%3A%2F%2Fdx.doi.org%2F10.1007%2Fs43538-025-00685-8" TargetMode="External" Type="http://schemas.openxmlformats.org/officeDocument/2006/relationships/hyperlink"/><Relationship Id="rId484" Target="https%3A%2F%2Fwww.webofscience.com%2Fwos%2Fwoscc%2Ffull-record%2FWOS%3A001667896100001" TargetMode="External" Type="http://schemas.openxmlformats.org/officeDocument/2006/relationships/hyperlink"/><Relationship Id="rId485" Target="http%3A%2F%2Fdx.doi.org%2F10.32604%2Fcmes.2025.070272" TargetMode="External" Type="http://schemas.openxmlformats.org/officeDocument/2006/relationships/hyperlink"/><Relationship Id="rId486" Target="https%3A%2F%2Fwww.webofscience.com%2Fwos%2Fwoscc%2Ffull-record%2FWOS%3A001590054200001" TargetMode="External" Type="http://schemas.openxmlformats.org/officeDocument/2006/relationships/hyperlink"/><Relationship Id="rId487" Target="http%3A%2F%2Fdx.doi.org%2F10.1109%2FLGRS.2025.3610188" TargetMode="External" Type="http://schemas.openxmlformats.org/officeDocument/2006/relationships/hyperlink"/><Relationship Id="rId488" Target="https%3A%2F%2Fwww.webofscience.com%2Fwos%2Fwoscc%2Ffull-record%2FWOS%3A001589835100010" TargetMode="External" Type="http://schemas.openxmlformats.org/officeDocument/2006/relationships/hyperlink"/><Relationship Id="rId489" Target="http%3A%2F%2Fdx.doi.org%2F10.1016%2Fj.energy.2025.138099" TargetMode="External" Type="http://schemas.openxmlformats.org/officeDocument/2006/relationships/hyperlink"/><Relationship Id="rId49" Target="http%3A%2F%2Fdx.doi.org%2F10.1016%2Fj.compbiolchem.2026.109224" TargetMode="External" Type="http://schemas.openxmlformats.org/officeDocument/2006/relationships/hyperlink"/><Relationship Id="rId490" Target="https%3A%2F%2Fwww.webofscience.com%2Fwos%2Fwoscc%2Ffull-record%2FWOS%3A001585800400007" TargetMode="External" Type="http://schemas.openxmlformats.org/officeDocument/2006/relationships/hyperlink"/><Relationship Id="rId491" Target="http%3A%2F%2Fdx.doi.org%2F10.1016%2Fj.engappai.2025.113636" TargetMode="External" Type="http://schemas.openxmlformats.org/officeDocument/2006/relationships/hyperlink"/><Relationship Id="rId492" Target="https%3A%2F%2Fwww.webofscience.com%2Fwos%2Fwoscc%2Ffull-record%2FWOS%3A001654615600001" TargetMode="External" Type="http://schemas.openxmlformats.org/officeDocument/2006/relationships/hyperlink"/><Relationship Id="rId493" Target="http%3A%2F%2Fdx.doi.org%2F10.1016%2Fj.jwpe.2026.109966" TargetMode="External" Type="http://schemas.openxmlformats.org/officeDocument/2006/relationships/hyperlink"/><Relationship Id="rId494" Target="https%3A%2F%2Fwww.webofscience.com%2Fwos%2Fwoscc%2Ffull-record%2FWOS%3A001736232700001" TargetMode="External" Type="http://schemas.openxmlformats.org/officeDocument/2006/relationships/hyperlink"/><Relationship Id="rId495" Target="http%3A%2F%2Fdx.doi.org%2F10.1093%2Fbib%2Fbbaf590" TargetMode="External" Type="http://schemas.openxmlformats.org/officeDocument/2006/relationships/hyperlink"/><Relationship Id="rId496" Target="https%3A%2F%2Fwww.webofscience.com%2Fwos%2Fwoscc%2Ffull-record%2FWOS%3A001612959200001" TargetMode="External" Type="http://schemas.openxmlformats.org/officeDocument/2006/relationships/hyperlink"/><Relationship Id="rId497" Target="http%3A%2F%2Fdx.doi.org%2F10.1177%2F03611981221130026" TargetMode="External" Type="http://schemas.openxmlformats.org/officeDocument/2006/relationships/hyperlink"/><Relationship Id="rId498" Target="https%3A%2F%2Fwww.webofscience.com%2Fwos%2Fwoscc%2Ffull-record%2FWOS%3A000884987100001" TargetMode="External" Type="http://schemas.openxmlformats.org/officeDocument/2006/relationships/hyperlink"/><Relationship Id="rId499" Target="http%3A%2F%2Fdx.doi.org%2F10.1016%2Fj.solener.2026.114864" TargetMode="External" Type="http://schemas.openxmlformats.org/officeDocument/2006/relationships/hyperlink"/><Relationship Id="rId5" Target="http%3A%2F%2Fdx.doi.org%2F10.3390%2Felectronics12071516" TargetMode="External" Type="http://schemas.openxmlformats.org/officeDocument/2006/relationships/hyperlink"/><Relationship Id="rId50" Target="https%3A%2F%2Fwww.webofscience.com%2Fwos%2Fwoscc%2Ffull-record%2FWOS%3A001820901100001" TargetMode="External" Type="http://schemas.openxmlformats.org/officeDocument/2006/relationships/hyperlink"/><Relationship Id="rId500" Target="https%3A%2F%2Fwww.webofscience.com%2Fwos%2Fwoscc%2Ffull-record%2FWOS%3A001820902000001" TargetMode="External" Type="http://schemas.openxmlformats.org/officeDocument/2006/relationships/hyperlink"/><Relationship Id="rId501" Target="http%3A%2F%2Fdx.doi.org%2F10.1016%2Fj.array.2026.100792" TargetMode="External" Type="http://schemas.openxmlformats.org/officeDocument/2006/relationships/hyperlink"/><Relationship Id="rId502" Target="https%3A%2F%2Fwww.webofscience.com%2Fwos%2Fwoscc%2Ffull-record%2FWOS%3A001730812000001" TargetMode="External" Type="http://schemas.openxmlformats.org/officeDocument/2006/relationships/hyperlink"/><Relationship Id="rId503" Target="http%3A%2F%2Fdx.doi.org%2F10.3390%2Fmath13111868" TargetMode="External" Type="http://schemas.openxmlformats.org/officeDocument/2006/relationships/hyperlink"/><Relationship Id="rId504" Target="https%3A%2F%2Fwww.webofscience.com%2Fwos%2Fwoscc%2Ffull-record%2FWOS%3A001506064700001" TargetMode="External" Type="http://schemas.openxmlformats.org/officeDocument/2006/relationships/hyperlink"/><Relationship Id="rId505" Target="http%3A%2F%2Fdx.doi.org%2F10.1016%2Fj.engstruct.2025.119710" TargetMode="External" Type="http://schemas.openxmlformats.org/officeDocument/2006/relationships/hyperlink"/><Relationship Id="rId506" Target="https%3A%2F%2Fwww.webofscience.com%2Fwos%2Fwoscc%2Ffull-record%2FWOS%3A001403257100001" TargetMode="External" Type="http://schemas.openxmlformats.org/officeDocument/2006/relationships/hyperlink"/><Relationship Id="rId507" Target="http%3A%2F%2Fdx.doi.org%2F10.2196%2F74902" TargetMode="External" Type="http://schemas.openxmlformats.org/officeDocument/2006/relationships/hyperlink"/><Relationship Id="rId508" Target="https%3A%2F%2Fwww.webofscience.com%2Fwos%2Fwoscc%2Ffull-record%2FWOS%3A001604598200003" TargetMode="External" Type="http://schemas.openxmlformats.org/officeDocument/2006/relationships/hyperlink"/><Relationship Id="rId509" Target="http%3A%2F%2Fdx.doi.org%2F10.1007%2Fs00530-026-02505-5" TargetMode="External" Type="http://schemas.openxmlformats.org/officeDocument/2006/relationships/hyperlink"/><Relationship Id="rId51" Target="http%3A%2F%2Fdx.doi.org%2F10.1016%2Fj.jbi.2023.104466" TargetMode="External" Type="http://schemas.openxmlformats.org/officeDocument/2006/relationships/hyperlink"/><Relationship Id="rId510" Target="https%3A%2F%2Fwww.webofscience.com%2Fwos%2Fwoscc%2Ffull-record%2FWOS%3A001822352300006" TargetMode="External" Type="http://schemas.openxmlformats.org/officeDocument/2006/relationships/hyperlink"/><Relationship Id="rId511" Target="http%3A%2F%2Fdx.doi.org%2F10.1109%2FTAFFC.2023.3318367" TargetMode="External" Type="http://schemas.openxmlformats.org/officeDocument/2006/relationships/hyperlink"/><Relationship Id="rId512" Target="https%3A%2F%2Fwww.webofscience.com%2Fwos%2Fwoscc%2Ffull-record%2FWOS%3A001308401200048" TargetMode="External" Type="http://schemas.openxmlformats.org/officeDocument/2006/relationships/hyperlink"/><Relationship Id="rId513" Target="http%3A%2F%2Fdx.doi.org%2F10.1109%2FJSTARS.2025.3544865" TargetMode="External" Type="http://schemas.openxmlformats.org/officeDocument/2006/relationships/hyperlink"/><Relationship Id="rId514" Target="https%3A%2F%2Fwww.webofscience.com%2Fwos%2Fwoscc%2Ffull-record%2FWOS%3A001445060000001" TargetMode="External" Type="http://schemas.openxmlformats.org/officeDocument/2006/relationships/hyperlink"/><Relationship Id="rId515" Target="http%3A%2F%2Fdx.doi.org%2F10.1016%2Fj.bspc.2026.110977" TargetMode="External" Type="http://schemas.openxmlformats.org/officeDocument/2006/relationships/hyperlink"/><Relationship Id="rId516" Target="https%3A%2F%2Fwww.webofscience.com%2Fwos%2Fwoscc%2Ffull-record%2FWOS%3A001819971700001" TargetMode="External" Type="http://schemas.openxmlformats.org/officeDocument/2006/relationships/hyperlink"/><Relationship Id="rId517" Target="http%3A%2F%2Fdx.doi.org%2F10.3847%2F1538-4365%2Fae6cd5" TargetMode="External" Type="http://schemas.openxmlformats.org/officeDocument/2006/relationships/hyperlink"/><Relationship Id="rId518" Target="https%3A%2F%2Fwww.webofscience.com%2Fwos%2Fwoscc%2Ffull-record%2FWOS%3A001804479200001" TargetMode="External" Type="http://schemas.openxmlformats.org/officeDocument/2006/relationships/hyperlink"/><Relationship Id="rId519" Target="http%3A%2F%2Fdx.doi.org%2F10.1016%2Fj.iliver.2025.100181" TargetMode="External" Type="http://schemas.openxmlformats.org/officeDocument/2006/relationships/hyperlink"/><Relationship Id="rId52" Target="https%3A%2F%2Fwww.webofscience.com%2Fwos%2Fwoscc%2Ffull-record%2FWOS%3A001064959900001" TargetMode="External" Type="http://schemas.openxmlformats.org/officeDocument/2006/relationships/hyperlink"/><Relationship Id="rId520" Target="https%3A%2F%2Fwww.webofscience.com%2Fwos%2Fwoscc%2Ffull-record%2FWOS%3A001716518500001" TargetMode="External" Type="http://schemas.openxmlformats.org/officeDocument/2006/relationships/hyperlink"/><Relationship Id="rId521" Target="http%3A%2F%2Fdx.doi.org%2F10.1016%2Fj.aej.2024.12.052" TargetMode="External" Type="http://schemas.openxmlformats.org/officeDocument/2006/relationships/hyperlink"/><Relationship Id="rId522" Target="https%3A%2F%2Fwww.webofscience.com%2Fwos%2Fwoscc%2Ffull-record%2FWOS%3A001409683900001" TargetMode="External" Type="http://schemas.openxmlformats.org/officeDocument/2006/relationships/hyperlink"/><Relationship Id="rId523" Target="http%3A%2F%2Fdx.doi.org%2F10.1016%2Fj.engappai.2024.108057" TargetMode="External" Type="http://schemas.openxmlformats.org/officeDocument/2006/relationships/hyperlink"/><Relationship Id="rId524" Target="https%3A%2F%2Fwww.webofscience.com%2Fwos%2Fwoscc%2Ffull-record%2FWOS%3A001198446400001" TargetMode="External" Type="http://schemas.openxmlformats.org/officeDocument/2006/relationships/hyperlink"/><Relationship Id="rId525" Target="http%3A%2F%2Fdx.doi.org%2F10.1080%2F0144929X.2026.2658719" TargetMode="External" Type="http://schemas.openxmlformats.org/officeDocument/2006/relationships/hyperlink"/><Relationship Id="rId526" Target="https%3A%2F%2Fwww.webofscience.com%2Fwos%2Fwoscc%2Ffull-record%2FWOS%3A001745957300001" TargetMode="External" Type="http://schemas.openxmlformats.org/officeDocument/2006/relationships/hyperlink"/><Relationship Id="rId527" Target="http%3A%2F%2Fdx.doi.org%2F10.1007%2Fs10845-024-02544-7" TargetMode="External" Type="http://schemas.openxmlformats.org/officeDocument/2006/relationships/hyperlink"/><Relationship Id="rId528" Target="https%3A%2F%2Fwww.webofscience.com%2Fwos%2Fwoscc%2Ffull-record%2FWOS%3A001377507400001" TargetMode="External" Type="http://schemas.openxmlformats.org/officeDocument/2006/relationships/hyperlink"/><Relationship Id="rId529" Target="http%3A%2F%2Fdx.doi.org%2F10.1016%2Fj.inffus.2025.103530" TargetMode="External" Type="http://schemas.openxmlformats.org/officeDocument/2006/relationships/hyperlink"/><Relationship Id="rId53" Target="http%3A%2F%2Fdx.doi.org%2F10.1177%2F11769351251376192" TargetMode="External" Type="http://schemas.openxmlformats.org/officeDocument/2006/relationships/hyperlink"/><Relationship Id="rId530" Target="https%3A%2F%2Fwww.webofscience.com%2Fwos%2Fwoscc%2Ffull-record%2FWOS%3A001542725700002" TargetMode="External" Type="http://schemas.openxmlformats.org/officeDocument/2006/relationships/hyperlink"/><Relationship Id="rId531" Target="http%3A%2F%2Fdx.doi.org%2F10.1016%2Fj.compeleceng.2022.108127" TargetMode="External" Type="http://schemas.openxmlformats.org/officeDocument/2006/relationships/hyperlink"/><Relationship Id="rId532" Target="https%3A%2F%2Fwww.webofscience.com%2Fwos%2Fwoscc%2Ffull-record%2FWOS%3A000841077000002" TargetMode="External" Type="http://schemas.openxmlformats.org/officeDocument/2006/relationships/hyperlink"/><Relationship Id="rId533" Target="http%3A%2F%2Fdx.doi.org%2F10.1016%2Fj.eswa.2026.133978" TargetMode="External" Type="http://schemas.openxmlformats.org/officeDocument/2006/relationships/hyperlink"/><Relationship Id="rId534" Target="https%3A%2F%2Fwww.webofscience.com%2Fwos%2Fwoscc%2Ffull-record%2FWOS%3A001850612400001" TargetMode="External" Type="http://schemas.openxmlformats.org/officeDocument/2006/relationships/hyperlink"/><Relationship Id="rId535" Target="http%3A%2F%2Fdx.doi.org%2F10.1088%2F2631-8695%2Fae6b04" TargetMode="External" Type="http://schemas.openxmlformats.org/officeDocument/2006/relationships/hyperlink"/><Relationship Id="rId536" Target="https%3A%2F%2Fwww.webofscience.com%2Fwos%2Fwoscc%2Ffull-record%2FWOS%3A001828317000001" TargetMode="External" Type="http://schemas.openxmlformats.org/officeDocument/2006/relationships/hyperlink"/><Relationship Id="rId537" Target="http%3A%2F%2Fdx.doi.org%2F10.1007%2Fs10278-025-01831-w" TargetMode="External" Type="http://schemas.openxmlformats.org/officeDocument/2006/relationships/hyperlink"/><Relationship Id="rId538" Target="https%3A%2F%2Fwww.webofscience.com%2Fwos%2Fwoscc%2Ffull-record%2FWOS%3A001665562800001" TargetMode="External" Type="http://schemas.openxmlformats.org/officeDocument/2006/relationships/hyperlink"/><Relationship Id="rId539" Target="http%3A%2F%2Fdx.doi.org%2F10.1007%2Fs11030-026-11699-9" TargetMode="External" Type="http://schemas.openxmlformats.org/officeDocument/2006/relationships/hyperlink"/><Relationship Id="rId54" Target="https%3A%2F%2Fwww.webofscience.com%2Fwos%2Fwoscc%2Ffull-record%2FWOS%3A001582012200001" TargetMode="External" Type="http://schemas.openxmlformats.org/officeDocument/2006/relationships/hyperlink"/><Relationship Id="rId540" Target="https%3A%2F%2Fwww.webofscience.com%2Fwos%2Fwoscc%2Ffull-record%2FWOS%3A001854274100001" TargetMode="External" Type="http://schemas.openxmlformats.org/officeDocument/2006/relationships/hyperlink"/><Relationship Id="rId541" Target="http%3A%2F%2Fdx.doi.org%2F10.1016%2Fj.knosys.2026.115336" TargetMode="External" Type="http://schemas.openxmlformats.org/officeDocument/2006/relationships/hyperlink"/><Relationship Id="rId542" Target="https%3A%2F%2Fwww.webofscience.com%2Fwos%2Fwoscc%2Ffull-record%2FWOS%3A001675093000001" TargetMode="External" Type="http://schemas.openxmlformats.org/officeDocument/2006/relationships/hyperlink"/><Relationship Id="rId543" Target="http%3A%2F%2Fdx.doi.org%2F10.1016%2Fj.patcog.2026.113267" TargetMode="External" Type="http://schemas.openxmlformats.org/officeDocument/2006/relationships/hyperlink"/><Relationship Id="rId544" Target="https%3A%2F%2Fwww.webofscience.com%2Fwos%2Fwoscc%2Ffull-record%2FWOS%3A001695360600001" TargetMode="External" Type="http://schemas.openxmlformats.org/officeDocument/2006/relationships/hyperlink"/><Relationship Id="rId545" Target="http%3A%2F%2Fdx.doi.org%2F10.1007%2Fs00530-025-02042-7" TargetMode="External" Type="http://schemas.openxmlformats.org/officeDocument/2006/relationships/hyperlink"/><Relationship Id="rId546" Target="https%3A%2F%2Fwww.webofscience.com%2Fwos%2Fwoscc%2Ffull-record%2FWOS%3A001597070100006" TargetMode="External" Type="http://schemas.openxmlformats.org/officeDocument/2006/relationships/hyperlink"/><Relationship Id="rId547" Target="http%3A%2F%2Fdx.doi.org%2F10.1109%2FACCESS.2025.3620217" TargetMode="External" Type="http://schemas.openxmlformats.org/officeDocument/2006/relationships/hyperlink"/><Relationship Id="rId548" Target="https%3A%2F%2Fwww.webofscience.com%2Fwos%2Fwoscc%2Ffull-record%2FWOS%3A001596883500006" TargetMode="External" Type="http://schemas.openxmlformats.org/officeDocument/2006/relationships/hyperlink"/><Relationship Id="rId549" Target="http%3A%2F%2Fdx.doi.org%2F10.3390%2Fsym18040556" TargetMode="External" Type="http://schemas.openxmlformats.org/officeDocument/2006/relationships/hyperlink"/><Relationship Id="rId55" Target="http%3A%2F%2Fdx.doi.org%2F10.1016%2Fj.compchemeng.2025.109196" TargetMode="External" Type="http://schemas.openxmlformats.org/officeDocument/2006/relationships/hyperlink"/><Relationship Id="rId550" Target="https%3A%2F%2Fwww.webofscience.com%2Fwos%2Fwoscc%2Ffull-record%2FWOS%3A001750276400001" TargetMode="External" Type="http://schemas.openxmlformats.org/officeDocument/2006/relationships/hyperlink"/><Relationship Id="rId551" Target="http%3A%2F%2Fdx.doi.org%2F10.1111%2Fbph.70361" TargetMode="External" Type="http://schemas.openxmlformats.org/officeDocument/2006/relationships/hyperlink"/><Relationship Id="rId552" Target="https%3A%2F%2Fwww.webofscience.com%2Fwos%2Fwoscc%2Ffull-record%2FWOS%3A001748437700001" TargetMode="External" Type="http://schemas.openxmlformats.org/officeDocument/2006/relationships/hyperlink"/><Relationship Id="rId553" Target="http%3A%2F%2Fdx.doi.org%2F10.1111%2Fjace.70761" TargetMode="External" Type="http://schemas.openxmlformats.org/officeDocument/2006/relationships/hyperlink"/><Relationship Id="rId554" Target="https%3A%2F%2Fwww.webofscience.com%2Fwos%2Fwoscc%2Ffull-record%2FWOS%3A001753122700001" TargetMode="External" Type="http://schemas.openxmlformats.org/officeDocument/2006/relationships/hyperlink"/><Relationship Id="rId555" Target="http%3A%2F%2Fdx.doi.org%2F10.1002%2Fcam4.72182" TargetMode="External" Type="http://schemas.openxmlformats.org/officeDocument/2006/relationships/hyperlink"/><Relationship Id="rId556" Target="https%3A%2F%2Fwww.webofscience.com%2Fwos%2Fwoscc%2Ffull-record%2FWOS%3A001845514000001" TargetMode="External" Type="http://schemas.openxmlformats.org/officeDocument/2006/relationships/hyperlink"/><Relationship Id="rId557" Target="http%3A%2F%2Fdx.doi.org%2F10.1109%2FLSP.2022.3184636" TargetMode="External" Type="http://schemas.openxmlformats.org/officeDocument/2006/relationships/hyperlink"/><Relationship Id="rId558" Target="https%3A%2F%2Fwww.webofscience.com%2Fwos%2Fwoscc%2Ffull-record%2FWOS%3A000916256100015" TargetMode="External" Type="http://schemas.openxmlformats.org/officeDocument/2006/relationships/hyperlink"/><Relationship Id="rId559" Target="http%3A%2F%2Fdx.doi.org%2F10.30632%2FPJV66N5-2025a4" TargetMode="External" Type="http://schemas.openxmlformats.org/officeDocument/2006/relationships/hyperlink"/><Relationship Id="rId56" Target="https%3A%2F%2Fwww.webofscience.com%2Fwos%2Fwoscc%2Ffull-record%2FWOS%3A001510366700001" TargetMode="External" Type="http://schemas.openxmlformats.org/officeDocument/2006/relationships/hyperlink"/><Relationship Id="rId560" Target="https%3A%2F%2Fwww.webofscience.com%2Fwos%2Fwoscc%2Ffull-record%2FWOS%3A001620595700004" TargetMode="External" Type="http://schemas.openxmlformats.org/officeDocument/2006/relationships/hyperlink"/><Relationship Id="rId561" Target="http%3A%2F%2Fdx.doi.org%2F10.1007%2Fs40964-025-01496-5" TargetMode="External" Type="http://schemas.openxmlformats.org/officeDocument/2006/relationships/hyperlink"/><Relationship Id="rId562" Target="https%3A%2F%2Fwww.webofscience.com%2Fwos%2Fwoscc%2Ffull-record%2FWOS%3A001658365000001" TargetMode="External" Type="http://schemas.openxmlformats.org/officeDocument/2006/relationships/hyperlink"/><Relationship Id="rId563" Target="http%3A%2F%2Fdx.doi.org%2F10.1021%2Facs.est.5c04143" TargetMode="External" Type="http://schemas.openxmlformats.org/officeDocument/2006/relationships/hyperlink"/><Relationship Id="rId564" Target="https%3A%2F%2Fwww.webofscience.com%2Fwos%2Fwoscc%2Ffull-record%2FWOS%3A001507412300001" TargetMode="External" Type="http://schemas.openxmlformats.org/officeDocument/2006/relationships/hyperlink"/><Relationship Id="rId565" Target="http%3A%2F%2Fdx.doi.org%2F10.3390%2Fs26010269" TargetMode="External" Type="http://schemas.openxmlformats.org/officeDocument/2006/relationships/hyperlink"/><Relationship Id="rId566" Target="https%3A%2F%2Fwww.webofscience.com%2Fwos%2Fwoscc%2Ffull-record%2FWOS%3A001657593100001" TargetMode="External" Type="http://schemas.openxmlformats.org/officeDocument/2006/relationships/hyperlink"/><Relationship Id="rId567" Target="http%3A%2F%2Fdx.doi.org%2F10.1016%2Fj.atech.2026.102045" TargetMode="External" Type="http://schemas.openxmlformats.org/officeDocument/2006/relationships/hyperlink"/><Relationship Id="rId568" Target="https%3A%2F%2Fwww.webofscience.com%2Fwos%2Fwoscc%2Ffull-record%2FWOS%3A001742392400001" TargetMode="External" Type="http://schemas.openxmlformats.org/officeDocument/2006/relationships/hyperlink"/><Relationship Id="rId569" Target="http%3A%2F%2Fdx.doi.org%2F10.1109%2FTIM.2025.3561438" TargetMode="External" Type="http://schemas.openxmlformats.org/officeDocument/2006/relationships/hyperlink"/><Relationship Id="rId57" Target="http%3A%2F%2Fdx.doi.org%2F10.1016%2Fj.patcog.2026.114306" TargetMode="External" Type="http://schemas.openxmlformats.org/officeDocument/2006/relationships/hyperlink"/><Relationship Id="rId570" Target="https%3A%2F%2Fwww.webofscience.com%2Fwos%2Fwoscc%2Ffull-record%2FWOS%3A001488105900034" TargetMode="External" Type="http://schemas.openxmlformats.org/officeDocument/2006/relationships/hyperlink"/><Relationship Id="rId571" Target="http%3A%2F%2Fdx.doi.org%2F10.1016%2Fj.knosys.2023.110834" TargetMode="External" Type="http://schemas.openxmlformats.org/officeDocument/2006/relationships/hyperlink"/><Relationship Id="rId572" Target="https%3A%2F%2Fwww.webofscience.com%2Fwos%2Fwoscc%2Ffull-record%2FWOS%3A001052504400001" TargetMode="External" Type="http://schemas.openxmlformats.org/officeDocument/2006/relationships/hyperlink"/><Relationship Id="rId573" Target="http%3A%2F%2Fdx.doi.org%2F10.1016%2Fj.optlastec.2026.115330" TargetMode="External" Type="http://schemas.openxmlformats.org/officeDocument/2006/relationships/hyperlink"/><Relationship Id="rId574" Target="https%3A%2F%2Fwww.webofscience.com%2Fwos%2Fwoscc%2Ffull-record%2FWOS%3A001762117600001" TargetMode="External" Type="http://schemas.openxmlformats.org/officeDocument/2006/relationships/hyperlink"/><Relationship Id="rId575" Target="http%3A%2F%2Fdx.doi.org%2F10.3389%2Ffpls.2023.1280365" TargetMode="External" Type="http://schemas.openxmlformats.org/officeDocument/2006/relationships/hyperlink"/><Relationship Id="rId576" Target="https%3A%2F%2Fwww.webofscience.com%2Fwos%2Fwoscc%2Ffull-record%2FWOS%3A001118575000001" TargetMode="External" Type="http://schemas.openxmlformats.org/officeDocument/2006/relationships/hyperlink"/><Relationship Id="rId577" Target="http%3A%2F%2Fdx.doi.org%2F10.1016%2Fj.cmpb.2024.108455" TargetMode="External" Type="http://schemas.openxmlformats.org/officeDocument/2006/relationships/hyperlink"/><Relationship Id="rId578" Target="https%3A%2F%2Fwww.webofscience.com%2Fwos%2Fwoscc%2Ffull-record%2FWOS%3A001343733800001" TargetMode="External" Type="http://schemas.openxmlformats.org/officeDocument/2006/relationships/hyperlink"/><Relationship Id="rId579" Target="http%3A%2F%2Fdx.doi.org%2F10.1016%2Fj.crfs.2025.101269" TargetMode="External" Type="http://schemas.openxmlformats.org/officeDocument/2006/relationships/hyperlink"/><Relationship Id="rId58" Target="https%3A%2F%2Fwww.webofscience.com%2Fwos%2Fwoscc%2Ffull-record%2FWOS%3A001819291100001" TargetMode="External" Type="http://schemas.openxmlformats.org/officeDocument/2006/relationships/hyperlink"/><Relationship Id="rId580" Target="https%3A%2F%2Fwww.webofscience.com%2Fwos%2Fwoscc%2Ffull-record%2FWOS%3A001638869800001" TargetMode="External" Type="http://schemas.openxmlformats.org/officeDocument/2006/relationships/hyperlink"/><Relationship Id="rId581" Target="http%3A%2F%2Fdx.doi.org%2F10.1016%2Fj.compag.2025.110391" TargetMode="External" Type="http://schemas.openxmlformats.org/officeDocument/2006/relationships/hyperlink"/><Relationship Id="rId582" Target="https%3A%2F%2Fwww.webofscience.com%2Fwos%2Fwoscc%2Ffull-record%2FWOS%3A001470845300001" TargetMode="External" Type="http://schemas.openxmlformats.org/officeDocument/2006/relationships/hyperlink"/><Relationship Id="rId59" Target="http%3A%2F%2Fdx.doi.org%2F10.1109%2FJBHI.2025.3601059" TargetMode="External" Type="http://schemas.openxmlformats.org/officeDocument/2006/relationships/hyperlink"/><Relationship Id="rId6" Target="https%3A%2F%2Fwww.webofscience.com%2Fwos%2Fwoscc%2Ffull-record%2FWOS%3A000971794800001" TargetMode="External" Type="http://schemas.openxmlformats.org/officeDocument/2006/relationships/hyperlink"/><Relationship Id="rId60" Target="https%3A%2F%2Fwww.webofscience.com%2Fwos%2Fwoscc%2Ffull-record%2FWOS%3A001659263300007" TargetMode="External" Type="http://schemas.openxmlformats.org/officeDocument/2006/relationships/hyperlink"/><Relationship Id="rId61" Target="http%3A%2F%2Fdx.doi.org%2F10.1016%2Fj.cels.2026.101594" TargetMode="External" Type="http://schemas.openxmlformats.org/officeDocument/2006/relationships/hyperlink"/><Relationship Id="rId62" Target="https%3A%2F%2Fwww.webofscience.com%2Fwos%2Fwoscc%2Ffull-record%2FWOS%3A001804930000001" TargetMode="External" Type="http://schemas.openxmlformats.org/officeDocument/2006/relationships/hyperlink"/><Relationship Id="rId63" Target="http%3A%2F%2Fdx.doi.org%2F10.1109%2FTNSRE.2024.3354388" TargetMode="External" Type="http://schemas.openxmlformats.org/officeDocument/2006/relationships/hyperlink"/><Relationship Id="rId64" Target="https%3A%2F%2Fwww.webofscience.com%2Fwos%2Fwoscc%2Ffull-record%2FWOS%3A001177070200004" TargetMode="External" Type="http://schemas.openxmlformats.org/officeDocument/2006/relationships/hyperlink"/><Relationship Id="rId65" Target="http%3A%2F%2Fdx.doi.org%2F10.3390%2Fcancers17132115" TargetMode="External" Type="http://schemas.openxmlformats.org/officeDocument/2006/relationships/hyperlink"/><Relationship Id="rId66" Target="https%3A%2F%2Fwww.webofscience.com%2Fwos%2Fwoscc%2Ffull-record%2FWOS%3A001527122500001" TargetMode="External" Type="http://schemas.openxmlformats.org/officeDocument/2006/relationships/hyperlink"/><Relationship Id="rId67" Target="http%3A%2F%2Fdx.doi.org%2F10.1007%2Fs10489-026-07233-x" TargetMode="External" Type="http://schemas.openxmlformats.org/officeDocument/2006/relationships/hyperlink"/><Relationship Id="rId68" Target="https%3A%2F%2Fwww.webofscience.com%2Fwos%2Fwoscc%2Ffull-record%2FWOS%3A001748209200004" TargetMode="External" Type="http://schemas.openxmlformats.org/officeDocument/2006/relationships/hyperlink"/><Relationship Id="rId69" Target="http%3A%2F%2Fdx.doi.org%2F10.1038%2Fs41746-025-02295-6" TargetMode="External" Type="http://schemas.openxmlformats.org/officeDocument/2006/relationships/hyperlink"/><Relationship Id="rId7" Target="http%3A%2F%2Fdx.doi.org%2F10.3390%2Ftechnologies14070441" TargetMode="External" Type="http://schemas.openxmlformats.org/officeDocument/2006/relationships/hyperlink"/><Relationship Id="rId70" Target="https%3A%2F%2Fwww.webofscience.com%2Fwos%2Fwoscc%2Ffull-record%2FWOS%3A001679395900001" TargetMode="External" Type="http://schemas.openxmlformats.org/officeDocument/2006/relationships/hyperlink"/><Relationship Id="rId71" Target="http%3A%2F%2Fdx.doi.org%2F10.1117%2F1.JEI.34.5.053021" TargetMode="External" Type="http://schemas.openxmlformats.org/officeDocument/2006/relationships/hyperlink"/><Relationship Id="rId72" Target="https%3A%2F%2Fwww.webofscience.com%2Fwos%2Fwoscc%2Ffull-record%2FWOS%3A001607483800013" TargetMode="External" Type="http://schemas.openxmlformats.org/officeDocument/2006/relationships/hyperlink"/><Relationship Id="rId73" Target="http%3A%2F%2Fdx.doi.org%2F10.1109%2FTCSVT.2024.3376564" TargetMode="External" Type="http://schemas.openxmlformats.org/officeDocument/2006/relationships/hyperlink"/><Relationship Id="rId74" Target="https%3A%2F%2Fwww.webofscience.com%2Fwos%2Fwoscc%2Ffull-record%2FWOS%3A001327614800020" TargetMode="External" Type="http://schemas.openxmlformats.org/officeDocument/2006/relationships/hyperlink"/><Relationship Id="rId75" Target="http%3A%2F%2Fdx.doi.org%2F10.1016%2Fj.aei.2026.104863" TargetMode="External" Type="http://schemas.openxmlformats.org/officeDocument/2006/relationships/hyperlink"/><Relationship Id="rId76" Target="https%3A%2F%2Fwww.webofscience.com%2Fwos%2Fwoscc%2Ffull-record%2FWOS%3A001786021700001" TargetMode="External" Type="http://schemas.openxmlformats.org/officeDocument/2006/relationships/hyperlink"/><Relationship Id="rId77" Target="http%3A%2F%2Fdx.doi.org%2F10.3390%2Fapp15010438" TargetMode="External" Type="http://schemas.openxmlformats.org/officeDocument/2006/relationships/hyperlink"/><Relationship Id="rId78" Target="https%3A%2F%2Fwww.webofscience.com%2Fwos%2Fwoscc%2Ffull-record%2FWOS%3A001393458900001" TargetMode="External" Type="http://schemas.openxmlformats.org/officeDocument/2006/relationships/hyperlink"/><Relationship Id="rId79" Target="http%3A%2F%2Fdx.doi.org%2F10.1016%2Fj.aej.2026.01.050" TargetMode="External" Type="http://schemas.openxmlformats.org/officeDocument/2006/relationships/hyperlink"/><Relationship Id="rId8" Target="https%3A%2F%2Fwww.webofscience.com%2Fwos%2Fwoscc%2Ffull-record%2FWOS%3A001831722800001" TargetMode="External" Type="http://schemas.openxmlformats.org/officeDocument/2006/relationships/hyperlink"/><Relationship Id="rId80" Target="https%3A%2F%2Fwww.webofscience.com%2Fwos%2Fwoscc%2Ffull-record%2FWOS%3A001695454700001" TargetMode="External" Type="http://schemas.openxmlformats.org/officeDocument/2006/relationships/hyperlink"/><Relationship Id="rId81" Target="http%3A%2F%2Fdx.doi.org%2F10.3390%2Ftechnologies14050277" TargetMode="External" Type="http://schemas.openxmlformats.org/officeDocument/2006/relationships/hyperlink"/><Relationship Id="rId82" Target="https%3A%2F%2Fwww.webofscience.com%2Fwos%2Fwoscc%2Ffull-record%2FWOS%3A001774323600001" TargetMode="External" Type="http://schemas.openxmlformats.org/officeDocument/2006/relationships/hyperlink"/><Relationship Id="rId83" Target="http%3A%2F%2Fdx.doi.org%2F10.1016%2Fj.bspc.2026.109749" TargetMode="External" Type="http://schemas.openxmlformats.org/officeDocument/2006/relationships/hyperlink"/><Relationship Id="rId84" Target="https%3A%2F%2Fwww.webofscience.com%2Fwos%2Fwoscc%2Ffull-record%2FWOS%3A001691530900001" TargetMode="External" Type="http://schemas.openxmlformats.org/officeDocument/2006/relationships/hyperlink"/><Relationship Id="rId85" Target="http%3A%2F%2Fdx.doi.org%2F10.1016%2Fj.jrras.2025.101959" TargetMode="External" Type="http://schemas.openxmlformats.org/officeDocument/2006/relationships/hyperlink"/><Relationship Id="rId86" Target="https%3A%2F%2Fwww.webofscience.com%2Fwos%2Fwoscc%2Ffull-record%2FWOS%3A001588780800001" TargetMode="External" Type="http://schemas.openxmlformats.org/officeDocument/2006/relationships/hyperlink"/><Relationship Id="rId87" Target="http%3A%2F%2Fdx.doi.org%2F10.1186%2Fs13244-024-01784-8" TargetMode="External" Type="http://schemas.openxmlformats.org/officeDocument/2006/relationships/hyperlink"/><Relationship Id="rId88" Target="https%3A%2F%2Fwww.webofscience.com%2Fwos%2Fwoscc%2Ffull-record%2FWOS%3A001298806400001" TargetMode="External" Type="http://schemas.openxmlformats.org/officeDocument/2006/relationships/hyperlink"/><Relationship Id="rId89" Target="http%3A%2F%2Fdx.doi.org%2F10.3390%2Fbrainsci14101018" TargetMode="External" Type="http://schemas.openxmlformats.org/officeDocument/2006/relationships/hyperlink"/><Relationship Id="rId9" Target="http%3A%2F%2Fdx.doi.org%2F10.1016%2Fj.inffus.2026.104249" TargetMode="External" Type="http://schemas.openxmlformats.org/officeDocument/2006/relationships/hyperlink"/><Relationship Id="rId90" Target="https%3A%2F%2Fwww.webofscience.com%2Fwos%2Fwoscc%2Ffull-record%2FWOS%3A001341843100001" TargetMode="External" Type="http://schemas.openxmlformats.org/officeDocument/2006/relationships/hyperlink"/><Relationship Id="rId91" Target="http%3A%2F%2Fdx.doi.org%2F10.3390%2Fmath14101743" TargetMode="External" Type="http://schemas.openxmlformats.org/officeDocument/2006/relationships/hyperlink"/><Relationship Id="rId92" Target="https%3A%2F%2Fwww.webofscience.com%2Fwos%2Fwoscc%2Ffull-record%2FWOS%3A001774989100001" TargetMode="External" Type="http://schemas.openxmlformats.org/officeDocument/2006/relationships/hyperlink"/><Relationship Id="rId93" Target="http%3A%2F%2Fdx.doi.org%2F10.1007%2Fs00530-026-02527-z" TargetMode="External" Type="http://schemas.openxmlformats.org/officeDocument/2006/relationships/hyperlink"/><Relationship Id="rId94" Target="https%3A%2F%2Fwww.webofscience.com%2Fwos%2Fwoscc%2Ffull-record%2FWOS%3A001822352300008" TargetMode="External" Type="http://schemas.openxmlformats.org/officeDocument/2006/relationships/hyperlink"/><Relationship Id="rId95" Target="http%3A%2F%2Fdx.doi.org%2F10.1007%2Fs10791-026-10338-z" TargetMode="External" Type="http://schemas.openxmlformats.org/officeDocument/2006/relationships/hyperlink"/><Relationship Id="rId96" Target="https%3A%2F%2Fwww.webofscience.com%2Fwos%2Fwoscc%2Ffull-record%2FWOS%3A001821168400001" TargetMode="External" Type="http://schemas.openxmlformats.org/officeDocument/2006/relationships/hyperlink"/><Relationship Id="rId97" Target="http%3A%2F%2Fdx.doi.org%2F10.3390%2Felectronics14101926" TargetMode="External" Type="http://schemas.openxmlformats.org/officeDocument/2006/relationships/hyperlink"/><Relationship Id="rId98" Target="https%3A%2F%2Fwww.webofscience.com%2Fwos%2Fwoscc%2Ffull-record%2FWOS%3A001495951300001" TargetMode="External" Type="http://schemas.openxmlformats.org/officeDocument/2006/relationships/hyperlink"/><Relationship Id="rId99" Target="http%3A%2F%2Fdx.doi.org%2F10.3390%2Fjimaging1204015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294"/>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77</v>
      </c>
      <c r="C2" t="s" s="0">
        <v>77</v>
      </c>
      <c r="D2" t="s" s="0">
        <v>77</v>
      </c>
      <c r="E2" t="s" s="0">
        <v>78</v>
      </c>
      <c r="F2" t="s" s="0">
        <v>79</v>
      </c>
      <c r="G2" t="s" s="0">
        <v>80</v>
      </c>
      <c r="H2" t="s" s="0">
        <v>81</v>
      </c>
      <c r="I2" t="s" s="0">
        <v>82</v>
      </c>
      <c r="J2" t="s" s="0">
        <v>83</v>
      </c>
      <c r="K2" t="s" s="0">
        <v>84</v>
      </c>
      <c r="L2" t="s" s="0">
        <v>85</v>
      </c>
      <c r="M2" t="s" s="0">
        <v>86</v>
      </c>
      <c r="N2" t="s" s="0">
        <v>87</v>
      </c>
      <c r="O2" t="s" s="0">
        <v>88</v>
      </c>
      <c r="P2" t="s" s="0">
        <v>89</v>
      </c>
      <c r="Q2" t="s" s="0">
        <v>90</v>
      </c>
      <c r="R2" t="s" s="0">
        <v>81</v>
      </c>
      <c r="S2" t="s" s="0">
        <v>81</v>
      </c>
      <c r="T2" t="s" s="0">
        <v>81</v>
      </c>
      <c r="U2" t="s" s="0">
        <v>81</v>
      </c>
      <c r="V2" t="s" s="0">
        <v>91</v>
      </c>
      <c r="W2" t="s" s="0">
        <v>92</v>
      </c>
      <c r="X2" t="s" s="0">
        <v>81</v>
      </c>
      <c r="Y2" t="s" s="0">
        <v>81</v>
      </c>
      <c r="Z2" t="s" s="0">
        <v>93</v>
      </c>
      <c r="AA2" t="s" s="0">
        <v>94</v>
      </c>
      <c r="AB2" t="s" s="0">
        <v>81</v>
      </c>
      <c r="AC2" t="s" s="0">
        <v>81</v>
      </c>
      <c r="AD2" t="s" s="0">
        <v>81</v>
      </c>
      <c r="AE2" t="s" s="0">
        <v>81</v>
      </c>
      <c r="AF2" t="s" s="0">
        <v>81</v>
      </c>
      <c r="AG2" t="s" s="0">
        <v>95</v>
      </c>
      <c r="AH2" t="s" s="0">
        <v>96</v>
      </c>
      <c r="AI2" t="s" s="0">
        <v>97</v>
      </c>
      <c r="AJ2" t="s" s="0">
        <v>98</v>
      </c>
      <c r="AK2" t="s" s="0">
        <v>81</v>
      </c>
      <c r="AL2" t="s" s="0">
        <v>99</v>
      </c>
      <c r="AM2" t="s" s="0">
        <v>100</v>
      </c>
      <c r="AN2" t="s" s="0">
        <v>100</v>
      </c>
      <c r="AO2" t="s" s="0">
        <v>101</v>
      </c>
      <c r="AP2" t="s" s="0">
        <v>102</v>
      </c>
      <c r="AQ2" t="s" s="0">
        <v>103</v>
      </c>
      <c r="AR2" t="s" s="0">
        <v>104</v>
      </c>
      <c r="AS2" t="s" s="0">
        <v>105</v>
      </c>
      <c r="AT2" t="s" s="0">
        <v>106</v>
      </c>
      <c r="AU2" t="s" s="0">
        <v>107</v>
      </c>
      <c r="AV2" t="s" s="0">
        <v>81</v>
      </c>
      <c r="AW2" t="s" s="0">
        <v>108</v>
      </c>
      <c r="AX2" t="s" s="0">
        <v>109</v>
      </c>
      <c r="AY2" t="s" s="0">
        <v>110</v>
      </c>
      <c r="AZ2" t="s" s="0">
        <v>111</v>
      </c>
      <c r="BA2" t="s" s="0">
        <v>112</v>
      </c>
      <c r="BB2" t="s" s="0">
        <v>81</v>
      </c>
      <c r="BC2" t="s" s="0">
        <v>81</v>
      </c>
      <c r="BD2" t="s" s="0">
        <v>81</v>
      </c>
      <c r="BE2" t="s" s="0">
        <v>81</v>
      </c>
      <c r="BF2" t="s" s="0">
        <v>81</v>
      </c>
      <c r="BG2" t="s" s="0">
        <v>81</v>
      </c>
      <c r="BH2" t="s" s="0">
        <v>81</v>
      </c>
      <c r="BI2" t="s" s="0">
        <v>113</v>
      </c>
      <c r="BJ2" t="s" s="0">
        <v>114</v>
      </c>
      <c r="BK2" t="s" s="1">
        <f>HYPERLINK("http://dx.doi.org/10.1016/j.cmpb.2025.108848","http://dx.doi.org/10.1016/j.cmpb.2025.108848")</f>
        <v>115</v>
      </c>
      <c r="BL2" t="s" s="0">
        <v>81</v>
      </c>
      <c r="BM2" t="s" s="0">
        <v>116</v>
      </c>
      <c r="BN2" t="s" s="0">
        <v>117</v>
      </c>
      <c r="BO2" t="s" s="0">
        <v>118</v>
      </c>
      <c r="BP2" t="s" s="0">
        <v>119</v>
      </c>
      <c r="BQ2" t="s" s="0">
        <v>120</v>
      </c>
      <c r="BR2" t="s" s="0">
        <v>121</v>
      </c>
      <c r="BS2" t="s" s="0">
        <v>122</v>
      </c>
      <c r="BT2" t="s" s="2">
        <f>HYPERLINK("https://www.webofscience.com/wos/woscc/full-record/WOS:001506930800002","View Record in Web of Science")</f>
        <v>123</v>
      </c>
      <c r="BU2" t="s" s="0">
        <v>81</v>
      </c>
      <c r="BV2" t="s" s="0">
        <v>81</v>
      </c>
      <c r="BW2" t="s" s="0">
        <v>81</v>
      </c>
      <c r="BX2" t="s" s="0">
        <v>124</v>
      </c>
    </row>
    <row r="3">
      <c r="A3" t="s" s="0">
        <v>77</v>
      </c>
      <c r="B3" t="s" s="0">
        <v>77</v>
      </c>
      <c r="C3" t="s" s="0">
        <v>77</v>
      </c>
      <c r="D3" t="s" s="0">
        <v>77</v>
      </c>
      <c r="E3" t="s" s="0">
        <v>125</v>
      </c>
      <c r="F3" t="s" s="0">
        <v>126</v>
      </c>
      <c r="G3" t="s" s="0">
        <v>127</v>
      </c>
      <c r="H3" t="s" s="0">
        <v>81</v>
      </c>
      <c r="I3" t="s" s="0">
        <v>82</v>
      </c>
      <c r="J3" t="s" s="0">
        <v>128</v>
      </c>
      <c r="K3" t="s" s="0">
        <v>129</v>
      </c>
      <c r="L3" t="s" s="0">
        <v>81</v>
      </c>
      <c r="M3" t="s" s="0">
        <v>81</v>
      </c>
      <c r="N3" t="s" s="0">
        <v>81</v>
      </c>
      <c r="O3" t="s" s="0">
        <v>130</v>
      </c>
      <c r="P3" t="s" s="0">
        <v>131</v>
      </c>
      <c r="Q3" t="s" s="0">
        <v>90</v>
      </c>
      <c r="R3" t="s" s="0">
        <v>81</v>
      </c>
      <c r="S3" t="s" s="0">
        <v>81</v>
      </c>
      <c r="T3" t="s" s="0">
        <v>81</v>
      </c>
      <c r="U3" t="s" s="0">
        <v>81</v>
      </c>
      <c r="V3" t="s" s="0">
        <v>132</v>
      </c>
      <c r="W3" t="s" s="0">
        <v>133</v>
      </c>
      <c r="X3" t="s" s="0">
        <v>81</v>
      </c>
      <c r="Y3" t="s" s="0">
        <v>81</v>
      </c>
      <c r="Z3" t="s" s="0">
        <v>93</v>
      </c>
      <c r="AA3" t="s" s="0">
        <v>94</v>
      </c>
      <c r="AB3" t="s" s="0">
        <v>81</v>
      </c>
      <c r="AC3" t="s" s="0">
        <v>81</v>
      </c>
      <c r="AD3" t="s" s="0">
        <v>81</v>
      </c>
      <c r="AE3" t="s" s="0">
        <v>81</v>
      </c>
      <c r="AF3" t="s" s="0">
        <v>81</v>
      </c>
      <c r="AG3" t="s" s="0">
        <v>134</v>
      </c>
      <c r="AH3" t="s" s="0">
        <v>81</v>
      </c>
      <c r="AI3" t="s" s="0">
        <v>81</v>
      </c>
      <c r="AJ3" t="s" s="0">
        <v>135</v>
      </c>
      <c r="AK3" t="s" s="0">
        <v>81</v>
      </c>
      <c r="AL3" t="s" s="0">
        <v>136</v>
      </c>
      <c r="AM3" t="s" s="0">
        <v>137</v>
      </c>
      <c r="AN3" t="s" s="0">
        <v>137</v>
      </c>
      <c r="AO3" t="s" s="0">
        <v>138</v>
      </c>
      <c r="AP3" t="s" s="0">
        <v>139</v>
      </c>
      <c r="AQ3" t="s" s="0">
        <v>140</v>
      </c>
      <c r="AR3" t="s" s="0">
        <v>141</v>
      </c>
      <c r="AS3" t="s" s="0">
        <v>142</v>
      </c>
      <c r="AT3" t="s" s="0">
        <v>143</v>
      </c>
      <c r="AU3" t="s" s="0">
        <v>144</v>
      </c>
      <c r="AV3" t="s" s="0">
        <v>81</v>
      </c>
      <c r="AW3" t="s" s="0">
        <v>145</v>
      </c>
      <c r="AX3" t="s" s="0">
        <v>146</v>
      </c>
      <c r="AY3" t="s" s="0">
        <v>147</v>
      </c>
      <c r="AZ3" t="s" s="0">
        <v>111</v>
      </c>
      <c r="BA3" t="s" s="0">
        <v>148</v>
      </c>
      <c r="BB3" t="s" s="0">
        <v>81</v>
      </c>
      <c r="BC3" t="s" s="0">
        <v>81</v>
      </c>
      <c r="BD3" t="s" s="0">
        <v>81</v>
      </c>
      <c r="BE3" t="s" s="0">
        <v>81</v>
      </c>
      <c r="BF3" t="s" s="0">
        <v>81</v>
      </c>
      <c r="BG3" t="s" s="0">
        <v>81</v>
      </c>
      <c r="BH3" t="s" s="0">
        <v>81</v>
      </c>
      <c r="BI3" t="s" s="0">
        <v>149</v>
      </c>
      <c r="BJ3" t="s" s="0">
        <v>150</v>
      </c>
      <c r="BK3" t="s" s="3">
        <f>HYPERLINK("http://dx.doi.org/10.1016/j.dss.2025.114457","http://dx.doi.org/10.1016/j.dss.2025.114457")</f>
        <v>151</v>
      </c>
      <c r="BL3" t="s" s="0">
        <v>81</v>
      </c>
      <c r="BM3" t="s" s="0">
        <v>116</v>
      </c>
      <c r="BN3" t="s" s="0">
        <v>152</v>
      </c>
      <c r="BO3" t="s" s="0">
        <v>153</v>
      </c>
      <c r="BP3" t="s" s="0">
        <v>154</v>
      </c>
      <c r="BQ3" t="s" s="0">
        <v>155</v>
      </c>
      <c r="BR3" t="s" s="0">
        <v>81</v>
      </c>
      <c r="BS3" t="s" s="0">
        <v>156</v>
      </c>
      <c r="BT3" t="s" s="4">
        <f>HYPERLINK("https://www.webofscience.com/wos/woscc/full-record/WOS:001487224100001","View Record in Web of Science")</f>
        <v>123</v>
      </c>
      <c r="BU3" t="s" s="0">
        <v>157</v>
      </c>
      <c r="BV3" t="s" s="0">
        <v>81</v>
      </c>
      <c r="BW3" t="s" s="0">
        <v>81</v>
      </c>
      <c r="BX3" t="s" s="0">
        <v>124</v>
      </c>
    </row>
    <row r="4">
      <c r="A4" t="s" s="0">
        <v>77</v>
      </c>
      <c r="B4" t="s" s="0">
        <v>77</v>
      </c>
      <c r="C4" t="s" s="0">
        <v>158</v>
      </c>
      <c r="D4" t="s" s="0">
        <v>77</v>
      </c>
      <c r="E4" t="s" s="0">
        <v>159</v>
      </c>
      <c r="F4" t="s" s="0">
        <v>160</v>
      </c>
      <c r="G4" t="s" s="0">
        <v>161</v>
      </c>
      <c r="H4" t="s" s="0">
        <v>81</v>
      </c>
      <c r="I4" t="s" s="0">
        <v>82</v>
      </c>
      <c r="J4" t="s" s="0">
        <v>162</v>
      </c>
      <c r="K4" t="s" s="0">
        <v>163</v>
      </c>
      <c r="L4" t="s" s="0">
        <v>81</v>
      </c>
      <c r="M4" t="s" s="0">
        <v>81</v>
      </c>
      <c r="N4" t="s" s="0">
        <v>81</v>
      </c>
      <c r="O4" t="s" s="0">
        <v>164</v>
      </c>
      <c r="P4" t="s" s="0">
        <v>165</v>
      </c>
      <c r="Q4" t="s" s="0">
        <v>90</v>
      </c>
      <c r="R4" t="s" s="0">
        <v>81</v>
      </c>
      <c r="S4" t="s" s="0">
        <v>81</v>
      </c>
      <c r="T4" t="s" s="0">
        <v>81</v>
      </c>
      <c r="U4" t="s" s="0">
        <v>81</v>
      </c>
      <c r="V4" t="s" s="0">
        <v>166</v>
      </c>
      <c r="W4" t="s" s="0">
        <v>167</v>
      </c>
      <c r="X4" t="s" s="0">
        <v>81</v>
      </c>
      <c r="Y4" t="s" s="0">
        <v>81</v>
      </c>
      <c r="Z4" t="s" s="0">
        <v>93</v>
      </c>
      <c r="AA4" t="s" s="0">
        <v>94</v>
      </c>
      <c r="AB4" t="s" s="0">
        <v>81</v>
      </c>
      <c r="AC4" t="s" s="0">
        <v>81</v>
      </c>
      <c r="AD4" t="s" s="0">
        <v>81</v>
      </c>
      <c r="AE4" t="s" s="0">
        <v>81</v>
      </c>
      <c r="AF4" t="s" s="0">
        <v>81</v>
      </c>
      <c r="AG4" t="s" s="0">
        <v>168</v>
      </c>
      <c r="AH4" t="s" s="0">
        <v>169</v>
      </c>
      <c r="AI4" t="s" s="0">
        <v>81</v>
      </c>
      <c r="AJ4" t="s" s="0">
        <v>170</v>
      </c>
      <c r="AK4" t="s" s="0">
        <v>81</v>
      </c>
      <c r="AL4" t="s" s="0">
        <v>171</v>
      </c>
      <c r="AM4" t="s" s="0">
        <v>172</v>
      </c>
      <c r="AN4" t="s" s="0">
        <v>172</v>
      </c>
      <c r="AO4" t="s" s="0">
        <v>137</v>
      </c>
      <c r="AP4" t="s" s="0">
        <v>173</v>
      </c>
      <c r="AQ4" t="s" s="0">
        <v>174</v>
      </c>
      <c r="AR4" t="s" s="0">
        <v>175</v>
      </c>
      <c r="AS4" t="s" s="0">
        <v>176</v>
      </c>
      <c r="AT4" t="s" s="0">
        <v>81</v>
      </c>
      <c r="AU4" t="s" s="0">
        <v>177</v>
      </c>
      <c r="AV4" t="s" s="0">
        <v>81</v>
      </c>
      <c r="AW4" t="s" s="0">
        <v>178</v>
      </c>
      <c r="AX4" t="s" s="0">
        <v>179</v>
      </c>
      <c r="AY4" t="s" s="0">
        <v>180</v>
      </c>
      <c r="AZ4" t="s" s="0">
        <v>181</v>
      </c>
      <c r="BA4" t="s" s="0">
        <v>182</v>
      </c>
      <c r="BB4" t="s" s="0">
        <v>183</v>
      </c>
      <c r="BC4" t="s" s="0">
        <v>81</v>
      </c>
      <c r="BD4" t="s" s="0">
        <v>81</v>
      </c>
      <c r="BE4" t="s" s="0">
        <v>81</v>
      </c>
      <c r="BF4" t="s" s="0">
        <v>81</v>
      </c>
      <c r="BG4" t="s" s="0">
        <v>81</v>
      </c>
      <c r="BH4" t="s" s="0">
        <v>81</v>
      </c>
      <c r="BI4" t="s" s="0">
        <v>184</v>
      </c>
      <c r="BJ4" t="s" s="0">
        <v>185</v>
      </c>
      <c r="BK4" t="s" s="5">
        <f>HYPERLINK("http://dx.doi.org/10.3390/electronics12071516","http://dx.doi.org/10.3390/electronics12071516")</f>
        <v>186</v>
      </c>
      <c r="BL4" t="s" s="0">
        <v>81</v>
      </c>
      <c r="BM4" t="s" s="0">
        <v>81</v>
      </c>
      <c r="BN4" t="s" s="0">
        <v>182</v>
      </c>
      <c r="BO4" t="s" s="0">
        <v>187</v>
      </c>
      <c r="BP4" t="s" s="0">
        <v>188</v>
      </c>
      <c r="BQ4" t="s" s="0">
        <v>189</v>
      </c>
      <c r="BR4" t="s" s="0">
        <v>81</v>
      </c>
      <c r="BS4" t="s" s="0">
        <v>190</v>
      </c>
      <c r="BT4" t="s" s="6">
        <f>HYPERLINK("https://www.webofscience.com/wos/woscc/full-record/WOS:000971794800001","View Record in Web of Science")</f>
        <v>123</v>
      </c>
      <c r="BU4" t="s" s="0">
        <v>191</v>
      </c>
      <c r="BV4" t="s" s="0">
        <v>81</v>
      </c>
      <c r="BW4" t="s" s="0">
        <v>81</v>
      </c>
      <c r="BX4" t="s" s="0">
        <v>124</v>
      </c>
    </row>
    <row r="5">
      <c r="A5" t="s" s="0">
        <v>77</v>
      </c>
      <c r="B5" t="s" s="0">
        <v>77</v>
      </c>
      <c r="C5" t="s" s="0">
        <v>77</v>
      </c>
      <c r="D5" t="s" s="0">
        <v>77</v>
      </c>
      <c r="E5" t="s" s="0">
        <v>192</v>
      </c>
      <c r="F5" t="s" s="0">
        <v>193</v>
      </c>
      <c r="G5" t="s" s="0">
        <v>194</v>
      </c>
      <c r="H5" t="s" s="0">
        <v>81</v>
      </c>
      <c r="I5" t="s" s="0">
        <v>195</v>
      </c>
      <c r="J5" t="s" s="0">
        <v>196</v>
      </c>
      <c r="K5" t="s" s="0">
        <v>197</v>
      </c>
      <c r="L5" t="s" s="0">
        <v>198</v>
      </c>
      <c r="M5" t="s" s="0">
        <v>199</v>
      </c>
      <c r="N5" t="s" s="0">
        <v>200</v>
      </c>
      <c r="O5" t="s" s="0">
        <v>201</v>
      </c>
      <c r="P5" t="s" s="0">
        <v>202</v>
      </c>
      <c r="Q5" t="s" s="0">
        <v>90</v>
      </c>
      <c r="R5" t="s" s="0">
        <v>81</v>
      </c>
      <c r="S5" t="s" s="0">
        <v>81</v>
      </c>
      <c r="T5" t="s" s="0">
        <v>81</v>
      </c>
      <c r="U5" t="s" s="0">
        <v>81</v>
      </c>
      <c r="V5" t="s" s="0">
        <v>203</v>
      </c>
      <c r="W5" t="s" s="0">
        <v>204</v>
      </c>
      <c r="X5" t="s" s="0">
        <v>81</v>
      </c>
      <c r="Y5" t="s" s="0">
        <v>81</v>
      </c>
      <c r="Z5" t="s" s="0">
        <v>93</v>
      </c>
      <c r="AA5" t="s" s="0">
        <v>94</v>
      </c>
      <c r="AB5" t="s" s="0">
        <v>81</v>
      </c>
      <c r="AC5" t="s" s="0">
        <v>81</v>
      </c>
      <c r="AD5" t="s" s="0">
        <v>81</v>
      </c>
      <c r="AE5" t="s" s="0">
        <v>81</v>
      </c>
      <c r="AF5" t="s" s="0">
        <v>81</v>
      </c>
      <c r="AG5" t="s" s="0">
        <v>205</v>
      </c>
      <c r="AH5" t="s" s="0">
        <v>81</v>
      </c>
      <c r="AI5" t="s" s="0">
        <v>206</v>
      </c>
      <c r="AJ5" t="s" s="0">
        <v>81</v>
      </c>
      <c r="AK5" t="s" s="0">
        <v>81</v>
      </c>
      <c r="AL5" t="s" s="0">
        <v>207</v>
      </c>
      <c r="AM5" t="s" s="0">
        <v>77</v>
      </c>
      <c r="AN5" t="s" s="0">
        <v>77</v>
      </c>
      <c r="AO5" t="s" s="0">
        <v>77</v>
      </c>
      <c r="AP5" t="s" s="0">
        <v>77</v>
      </c>
      <c r="AQ5" t="s" s="0">
        <v>174</v>
      </c>
      <c r="AR5" t="s" s="0">
        <v>175</v>
      </c>
      <c r="AS5" t="s" s="0">
        <v>208</v>
      </c>
      <c r="AT5" t="s" s="0">
        <v>81</v>
      </c>
      <c r="AU5" t="s" s="0">
        <v>209</v>
      </c>
      <c r="AV5" t="s" s="0">
        <v>81</v>
      </c>
      <c r="AW5" t="s" s="0">
        <v>204</v>
      </c>
      <c r="AX5" t="s" s="0">
        <v>210</v>
      </c>
      <c r="AY5" t="s" s="0">
        <v>211</v>
      </c>
      <c r="AZ5" t="s" s="0">
        <v>212</v>
      </c>
      <c r="BA5" t="s" s="0">
        <v>213</v>
      </c>
      <c r="BB5" t="s" s="0">
        <v>183</v>
      </c>
      <c r="BC5" t="s" s="0">
        <v>81</v>
      </c>
      <c r="BD5" t="s" s="0">
        <v>81</v>
      </c>
      <c r="BE5" t="s" s="0">
        <v>81</v>
      </c>
      <c r="BF5" t="s" s="0">
        <v>81</v>
      </c>
      <c r="BG5" t="s" s="0">
        <v>81</v>
      </c>
      <c r="BH5" t="s" s="0">
        <v>81</v>
      </c>
      <c r="BI5" t="s" s="0">
        <v>214</v>
      </c>
      <c r="BJ5" t="s" s="0">
        <v>215</v>
      </c>
      <c r="BK5" t="s" s="7">
        <f>HYPERLINK("http://dx.doi.org/10.3390/technologies14070441","http://dx.doi.org/10.3390/technologies14070441")</f>
        <v>216</v>
      </c>
      <c r="BL5" t="s" s="0">
        <v>81</v>
      </c>
      <c r="BM5" t="s" s="0">
        <v>81</v>
      </c>
      <c r="BN5" t="s" s="0">
        <v>217</v>
      </c>
      <c r="BO5" t="s" s="0">
        <v>218</v>
      </c>
      <c r="BP5" t="s" s="0">
        <v>219</v>
      </c>
      <c r="BQ5" t="s" s="0">
        <v>220</v>
      </c>
      <c r="BR5" t="s" s="0">
        <v>81</v>
      </c>
      <c r="BS5" t="s" s="0">
        <v>221</v>
      </c>
      <c r="BT5" t="s" s="8">
        <f>HYPERLINK("https://www.webofscience.com/wos/woscc/full-record/WOS:001831722800001","View Record in Web of Science")</f>
        <v>123</v>
      </c>
      <c r="BU5" t="s" s="0">
        <v>222</v>
      </c>
      <c r="BV5" t="s" s="0">
        <v>81</v>
      </c>
      <c r="BW5" t="s" s="0">
        <v>81</v>
      </c>
      <c r="BX5" t="s" s="0">
        <v>124</v>
      </c>
    </row>
    <row r="6">
      <c r="A6" t="s" s="0">
        <v>77</v>
      </c>
      <c r="B6" t="s" s="0">
        <v>77</v>
      </c>
      <c r="C6" t="s" s="0">
        <v>77</v>
      </c>
      <c r="D6" t="s" s="0">
        <v>77</v>
      </c>
      <c r="E6" t="s" s="0">
        <v>223</v>
      </c>
      <c r="F6" t="s" s="0">
        <v>224</v>
      </c>
      <c r="G6" t="s" s="0">
        <v>225</v>
      </c>
      <c r="H6" t="s" s="0">
        <v>81</v>
      </c>
      <c r="I6" t="s" s="0">
        <v>82</v>
      </c>
      <c r="J6" t="s" s="0">
        <v>226</v>
      </c>
      <c r="K6" t="s" s="0">
        <v>227</v>
      </c>
      <c r="L6" t="s" s="0">
        <v>228</v>
      </c>
      <c r="M6" t="s" s="0">
        <v>229</v>
      </c>
      <c r="N6" t="s" s="0">
        <v>230</v>
      </c>
      <c r="O6" t="s" s="0">
        <v>231</v>
      </c>
      <c r="P6" t="s" s="0">
        <v>232</v>
      </c>
      <c r="Q6" t="s" s="0">
        <v>90</v>
      </c>
      <c r="R6" t="s" s="0">
        <v>81</v>
      </c>
      <c r="S6" t="s" s="0">
        <v>81</v>
      </c>
      <c r="T6" t="s" s="0">
        <v>81</v>
      </c>
      <c r="U6" t="s" s="0">
        <v>81</v>
      </c>
      <c r="V6" t="s" s="0">
        <v>233</v>
      </c>
      <c r="W6" t="s" s="0">
        <v>234</v>
      </c>
      <c r="X6" t="s" s="0">
        <v>81</v>
      </c>
      <c r="Y6" t="s" s="0">
        <v>81</v>
      </c>
      <c r="Z6" t="s" s="0">
        <v>93</v>
      </c>
      <c r="AA6" t="s" s="0">
        <v>94</v>
      </c>
      <c r="AB6" t="s" s="0">
        <v>81</v>
      </c>
      <c r="AC6" t="s" s="0">
        <v>81</v>
      </c>
      <c r="AD6" t="s" s="0">
        <v>81</v>
      </c>
      <c r="AE6" t="s" s="0">
        <v>81</v>
      </c>
      <c r="AF6" t="s" s="0">
        <v>81</v>
      </c>
      <c r="AG6" t="s" s="0">
        <v>235</v>
      </c>
      <c r="AH6" t="s" s="0">
        <v>236</v>
      </c>
      <c r="AI6" t="s" s="0">
        <v>237</v>
      </c>
      <c r="AJ6" t="s" s="0">
        <v>238</v>
      </c>
      <c r="AK6" t="s" s="0">
        <v>81</v>
      </c>
      <c r="AL6" t="s" s="0">
        <v>239</v>
      </c>
      <c r="AM6" t="s" s="0">
        <v>101</v>
      </c>
      <c r="AN6" t="s" s="0">
        <v>101</v>
      </c>
      <c r="AO6" t="s" s="0">
        <v>117</v>
      </c>
      <c r="AP6" t="s" s="0">
        <v>117</v>
      </c>
      <c r="AQ6" t="s" s="0">
        <v>140</v>
      </c>
      <c r="AR6" t="s" s="0">
        <v>141</v>
      </c>
      <c r="AS6" t="s" s="0">
        <v>142</v>
      </c>
      <c r="AT6" t="s" s="0">
        <v>240</v>
      </c>
      <c r="AU6" t="s" s="0">
        <v>241</v>
      </c>
      <c r="AV6" t="s" s="0">
        <v>81</v>
      </c>
      <c r="AW6" t="s" s="0">
        <v>242</v>
      </c>
      <c r="AX6" t="s" s="0">
        <v>243</v>
      </c>
      <c r="AY6" t="s" s="0">
        <v>244</v>
      </c>
      <c r="AZ6" t="s" s="0">
        <v>212</v>
      </c>
      <c r="BA6" t="s" s="0">
        <v>245</v>
      </c>
      <c r="BB6" t="s" s="0">
        <v>81</v>
      </c>
      <c r="BC6" t="s" s="0">
        <v>81</v>
      </c>
      <c r="BD6" t="s" s="0">
        <v>81</v>
      </c>
      <c r="BE6" t="s" s="0">
        <v>81</v>
      </c>
      <c r="BF6" t="s" s="0">
        <v>81</v>
      </c>
      <c r="BG6" t="s" s="0">
        <v>81</v>
      </c>
      <c r="BH6" t="s" s="0">
        <v>81</v>
      </c>
      <c r="BI6" t="s" s="0">
        <v>246</v>
      </c>
      <c r="BJ6" t="s" s="0">
        <v>247</v>
      </c>
      <c r="BK6" t="s" s="9">
        <f>HYPERLINK("http://dx.doi.org/10.1016/j.inffus.2026.104249","http://dx.doi.org/10.1016/j.inffus.2026.104249")</f>
        <v>248</v>
      </c>
      <c r="BL6" t="s" s="0">
        <v>81</v>
      </c>
      <c r="BM6" t="s" s="0">
        <v>81</v>
      </c>
      <c r="BN6" t="s" s="0">
        <v>173</v>
      </c>
      <c r="BO6" t="s" s="0">
        <v>249</v>
      </c>
      <c r="BP6" t="s" s="0">
        <v>250</v>
      </c>
      <c r="BQ6" t="s" s="0">
        <v>251</v>
      </c>
      <c r="BR6" t="s" s="0">
        <v>81</v>
      </c>
      <c r="BS6" t="s" s="0">
        <v>252</v>
      </c>
      <c r="BT6" t="s" s="10">
        <f>HYPERLINK("https://www.webofscience.com/wos/woscc/full-record/WOS:001708803900001","View Record in Web of Science")</f>
        <v>123</v>
      </c>
      <c r="BU6" t="s" s="0">
        <v>157</v>
      </c>
      <c r="BV6" t="s" s="0">
        <v>81</v>
      </c>
      <c r="BW6" t="s" s="0">
        <v>81</v>
      </c>
      <c r="BX6" t="s" s="0">
        <v>124</v>
      </c>
    </row>
    <row r="7">
      <c r="A7" t="s" s="0">
        <v>77</v>
      </c>
      <c r="B7" t="s" s="0">
        <v>77</v>
      </c>
      <c r="C7" t="s" s="0">
        <v>77</v>
      </c>
      <c r="D7" t="s" s="0">
        <v>77</v>
      </c>
      <c r="E7" t="s" s="0">
        <v>253</v>
      </c>
      <c r="F7" t="s" s="0">
        <v>254</v>
      </c>
      <c r="G7" t="s" s="0">
        <v>255</v>
      </c>
      <c r="H7" t="s" s="0">
        <v>81</v>
      </c>
      <c r="I7" t="s" s="0">
        <v>82</v>
      </c>
      <c r="J7" t="s" s="0">
        <v>256</v>
      </c>
      <c r="K7" t="s" s="0">
        <v>257</v>
      </c>
      <c r="L7" t="s" s="0">
        <v>258</v>
      </c>
      <c r="M7" t="s" s="0">
        <v>259</v>
      </c>
      <c r="N7" t="s" s="0">
        <v>260</v>
      </c>
      <c r="O7" t="s" s="0">
        <v>261</v>
      </c>
      <c r="P7" t="s" s="0">
        <v>262</v>
      </c>
      <c r="Q7" t="s" s="0">
        <v>90</v>
      </c>
      <c r="R7" t="s" s="0">
        <v>81</v>
      </c>
      <c r="S7" t="s" s="0">
        <v>81</v>
      </c>
      <c r="T7" t="s" s="0">
        <v>81</v>
      </c>
      <c r="U7" t="s" s="0">
        <v>81</v>
      </c>
      <c r="V7" t="s" s="0">
        <v>263</v>
      </c>
      <c r="W7" t="s" s="0">
        <v>264</v>
      </c>
      <c r="X7" t="s" s="0">
        <v>81</v>
      </c>
      <c r="Y7" t="s" s="0">
        <v>81</v>
      </c>
      <c r="Z7" t="s" s="0">
        <v>93</v>
      </c>
      <c r="AA7" t="s" s="0">
        <v>94</v>
      </c>
      <c r="AB7" t="s" s="0">
        <v>81</v>
      </c>
      <c r="AC7" t="s" s="0">
        <v>81</v>
      </c>
      <c r="AD7" t="s" s="0">
        <v>81</v>
      </c>
      <c r="AE7" t="s" s="0">
        <v>81</v>
      </c>
      <c r="AF7" t="s" s="0">
        <v>81</v>
      </c>
      <c r="AG7" t="s" s="0">
        <v>265</v>
      </c>
      <c r="AH7" t="s" s="0">
        <v>81</v>
      </c>
      <c r="AI7" t="s" s="0">
        <v>266</v>
      </c>
      <c r="AJ7" t="s" s="0">
        <v>81</v>
      </c>
      <c r="AK7" t="s" s="0">
        <v>81</v>
      </c>
      <c r="AL7" t="s" s="0">
        <v>267</v>
      </c>
      <c r="AM7" t="s" s="0">
        <v>77</v>
      </c>
      <c r="AN7" t="s" s="0">
        <v>77</v>
      </c>
      <c r="AO7" t="s" s="0">
        <v>77</v>
      </c>
      <c r="AP7" t="s" s="0">
        <v>77</v>
      </c>
      <c r="AQ7" t="s" s="0">
        <v>268</v>
      </c>
      <c r="AR7" t="s" s="0">
        <v>269</v>
      </c>
      <c r="AS7" t="s" s="0">
        <v>270</v>
      </c>
      <c r="AT7" t="s" s="0">
        <v>81</v>
      </c>
      <c r="AU7" t="s" s="0">
        <v>271</v>
      </c>
      <c r="AV7" t="s" s="0">
        <v>81</v>
      </c>
      <c r="AW7" t="s" s="0">
        <v>272</v>
      </c>
      <c r="AX7" t="s" s="0">
        <v>273</v>
      </c>
      <c r="AY7" t="s" s="0">
        <v>274</v>
      </c>
      <c r="AZ7" t="s" s="0">
        <v>212</v>
      </c>
      <c r="BA7" t="s" s="0">
        <v>275</v>
      </c>
      <c r="BB7" t="s" s="0">
        <v>137</v>
      </c>
      <c r="BC7" t="s" s="0">
        <v>81</v>
      </c>
      <c r="BD7" t="s" s="0">
        <v>81</v>
      </c>
      <c r="BE7" t="s" s="0">
        <v>81</v>
      </c>
      <c r="BF7" t="s" s="0">
        <v>81</v>
      </c>
      <c r="BG7" t="s" s="0">
        <v>81</v>
      </c>
      <c r="BH7" t="s" s="0">
        <v>81</v>
      </c>
      <c r="BI7" t="s" s="0">
        <v>276</v>
      </c>
      <c r="BJ7" t="s" s="0">
        <v>277</v>
      </c>
      <c r="BK7" t="s" s="11">
        <f>HYPERLINK("http://dx.doi.org/10.1186/s12967-026-08079-0","http://dx.doi.org/10.1186/s12967-026-08079-0")</f>
        <v>278</v>
      </c>
      <c r="BL7" t="s" s="0">
        <v>81</v>
      </c>
      <c r="BM7" t="s" s="0">
        <v>279</v>
      </c>
      <c r="BN7" t="s" s="0">
        <v>182</v>
      </c>
      <c r="BO7" t="s" s="0">
        <v>280</v>
      </c>
      <c r="BP7" t="s" s="0">
        <v>281</v>
      </c>
      <c r="BQ7" t="s" s="0">
        <v>282</v>
      </c>
      <c r="BR7" t="s" s="0">
        <v>283</v>
      </c>
      <c r="BS7" t="s" s="0">
        <v>284</v>
      </c>
      <c r="BT7" t="s" s="12">
        <f>HYPERLINK("https://www.webofscience.com/wos/woscc/full-record/WOS:001752283100001","View Record in Web of Science")</f>
        <v>123</v>
      </c>
      <c r="BU7" t="s" s="0">
        <v>191</v>
      </c>
      <c r="BV7" t="s" s="0">
        <v>81</v>
      </c>
      <c r="BW7" t="s" s="0">
        <v>81</v>
      </c>
      <c r="BX7" t="s" s="0">
        <v>124</v>
      </c>
    </row>
    <row r="8">
      <c r="A8" t="s" s="0">
        <v>77</v>
      </c>
      <c r="B8" t="s" s="0">
        <v>77</v>
      </c>
      <c r="C8" t="s" s="0">
        <v>137</v>
      </c>
      <c r="D8" t="s" s="0">
        <v>77</v>
      </c>
      <c r="E8" t="s" s="0">
        <v>285</v>
      </c>
      <c r="F8" t="s" s="0">
        <v>286</v>
      </c>
      <c r="G8" t="s" s="0">
        <v>287</v>
      </c>
      <c r="H8" t="s" s="0">
        <v>81</v>
      </c>
      <c r="I8" t="s" s="0">
        <v>82</v>
      </c>
      <c r="J8" t="s" s="0">
        <v>288</v>
      </c>
      <c r="K8" t="s" s="0">
        <v>289</v>
      </c>
      <c r="L8" t="s" s="0">
        <v>290</v>
      </c>
      <c r="M8" t="s" s="0">
        <v>291</v>
      </c>
      <c r="N8" t="s" s="0">
        <v>292</v>
      </c>
      <c r="O8" t="s" s="0">
        <v>293</v>
      </c>
      <c r="P8" t="s" s="0">
        <v>294</v>
      </c>
      <c r="Q8" t="s" s="0">
        <v>90</v>
      </c>
      <c r="R8" t="s" s="0">
        <v>81</v>
      </c>
      <c r="S8" t="s" s="0">
        <v>81</v>
      </c>
      <c r="T8" t="s" s="0">
        <v>81</v>
      </c>
      <c r="U8" t="s" s="0">
        <v>81</v>
      </c>
      <c r="V8" t="s" s="0">
        <v>295</v>
      </c>
      <c r="W8" t="s" s="0">
        <v>296</v>
      </c>
      <c r="X8" t="s" s="0">
        <v>81</v>
      </c>
      <c r="Y8" t="s" s="0">
        <v>81</v>
      </c>
      <c r="Z8" t="s" s="0">
        <v>93</v>
      </c>
      <c r="AA8" t="s" s="0">
        <v>94</v>
      </c>
      <c r="AB8" t="s" s="0">
        <v>81</v>
      </c>
      <c r="AC8" t="s" s="0">
        <v>81</v>
      </c>
      <c r="AD8" t="s" s="0">
        <v>81</v>
      </c>
      <c r="AE8" t="s" s="0">
        <v>81</v>
      </c>
      <c r="AF8" t="s" s="0">
        <v>81</v>
      </c>
      <c r="AG8" t="s" s="0">
        <v>81</v>
      </c>
      <c r="AH8" t="s" s="0">
        <v>297</v>
      </c>
      <c r="AI8" t="s" s="0">
        <v>298</v>
      </c>
      <c r="AJ8" t="s" s="0">
        <v>299</v>
      </c>
      <c r="AK8" t="s" s="0">
        <v>81</v>
      </c>
      <c r="AL8" t="s" s="0">
        <v>300</v>
      </c>
      <c r="AM8" t="s" s="0">
        <v>101</v>
      </c>
      <c r="AN8" t="s" s="0">
        <v>100</v>
      </c>
      <c r="AO8" t="s" s="0">
        <v>137</v>
      </c>
      <c r="AP8" t="s" s="0">
        <v>301</v>
      </c>
      <c r="AQ8" t="s" s="0">
        <v>302</v>
      </c>
      <c r="AR8" t="s" s="0">
        <v>303</v>
      </c>
      <c r="AS8" t="s" s="0">
        <v>304</v>
      </c>
      <c r="AT8" t="s" s="0">
        <v>305</v>
      </c>
      <c r="AU8" t="s" s="0">
        <v>81</v>
      </c>
      <c r="AV8" t="s" s="0">
        <v>81</v>
      </c>
      <c r="AW8" t="s" s="0">
        <v>306</v>
      </c>
      <c r="AX8" t="s" s="0">
        <v>307</v>
      </c>
      <c r="AY8" t="s" s="0">
        <v>308</v>
      </c>
      <c r="AZ8" t="s" s="0">
        <v>309</v>
      </c>
      <c r="BA8" t="s" s="0">
        <v>213</v>
      </c>
      <c r="BB8" t="s" s="0">
        <v>137</v>
      </c>
      <c r="BC8" t="s" s="0">
        <v>81</v>
      </c>
      <c r="BD8" t="s" s="0">
        <v>81</v>
      </c>
      <c r="BE8" t="s" s="0">
        <v>81</v>
      </c>
      <c r="BF8" t="s" s="0">
        <v>81</v>
      </c>
      <c r="BG8" t="s" s="0">
        <v>81</v>
      </c>
      <c r="BH8" t="s" s="0">
        <v>81</v>
      </c>
      <c r="BI8" t="s" s="0">
        <v>310</v>
      </c>
      <c r="BJ8" t="s" s="0">
        <v>311</v>
      </c>
      <c r="BK8" t="s" s="13">
        <f>HYPERLINK("http://dx.doi.org/10.1038/s41598-024-60914-w","http://dx.doi.org/10.1038/s41598-024-60914-w")</f>
        <v>312</v>
      </c>
      <c r="BL8" t="s" s="0">
        <v>81</v>
      </c>
      <c r="BM8" t="s" s="0">
        <v>81</v>
      </c>
      <c r="BN8" t="s" s="0">
        <v>117</v>
      </c>
      <c r="BO8" t="s" s="0">
        <v>313</v>
      </c>
      <c r="BP8" t="s" s="0">
        <v>314</v>
      </c>
      <c r="BQ8" t="s" s="0">
        <v>315</v>
      </c>
      <c r="BR8" t="s" s="0">
        <v>316</v>
      </c>
      <c r="BS8" t="s" s="0">
        <v>317</v>
      </c>
      <c r="BT8" t="s" s="14">
        <f>HYPERLINK("https://www.webofscience.com/wos/woscc/full-record/WOS:001218726300057","View Record in Web of Science")</f>
        <v>123</v>
      </c>
      <c r="BU8" t="s" s="0">
        <v>191</v>
      </c>
      <c r="BV8" t="s" s="0">
        <v>81</v>
      </c>
      <c r="BW8" t="s" s="0">
        <v>81</v>
      </c>
      <c r="BX8" t="s" s="0">
        <v>124</v>
      </c>
    </row>
    <row r="9">
      <c r="A9" t="s" s="0">
        <v>77</v>
      </c>
      <c r="B9" t="s" s="0">
        <v>77</v>
      </c>
      <c r="C9" t="s" s="0">
        <v>77</v>
      </c>
      <c r="D9" t="s" s="0">
        <v>77</v>
      </c>
      <c r="E9" t="s" s="0">
        <v>318</v>
      </c>
      <c r="F9" t="s" s="0">
        <v>319</v>
      </c>
      <c r="G9" t="s" s="0">
        <v>320</v>
      </c>
      <c r="H9" t="s" s="0">
        <v>81</v>
      </c>
      <c r="I9" t="s" s="0">
        <v>82</v>
      </c>
      <c r="J9" t="s" s="0">
        <v>321</v>
      </c>
      <c r="K9" t="s" s="0">
        <v>322</v>
      </c>
      <c r="L9" t="s" s="0">
        <v>323</v>
      </c>
      <c r="M9" t="s" s="0">
        <v>324</v>
      </c>
      <c r="N9" t="s" s="0">
        <v>325</v>
      </c>
      <c r="O9" t="s" s="0">
        <v>326</v>
      </c>
      <c r="P9" t="s" s="0">
        <v>327</v>
      </c>
      <c r="Q9" t="s" s="0">
        <v>90</v>
      </c>
      <c r="R9" t="s" s="0">
        <v>81</v>
      </c>
      <c r="S9" t="s" s="0">
        <v>81</v>
      </c>
      <c r="T9" t="s" s="0">
        <v>81</v>
      </c>
      <c r="U9" t="s" s="0">
        <v>81</v>
      </c>
      <c r="V9" t="s" s="0">
        <v>328</v>
      </c>
      <c r="W9" t="s" s="0">
        <v>329</v>
      </c>
      <c r="X9" t="s" s="0">
        <v>81</v>
      </c>
      <c r="Y9" t="s" s="0">
        <v>81</v>
      </c>
      <c r="Z9" t="s" s="0">
        <v>93</v>
      </c>
      <c r="AA9" t="s" s="0">
        <v>330</v>
      </c>
      <c r="AB9" t="s" s="0">
        <v>81</v>
      </c>
      <c r="AC9" t="s" s="0">
        <v>81</v>
      </c>
      <c r="AD9" t="s" s="0">
        <v>81</v>
      </c>
      <c r="AE9" t="s" s="0">
        <v>81</v>
      </c>
      <c r="AF9" t="s" s="0">
        <v>81</v>
      </c>
      <c r="AG9" t="s" s="0">
        <v>331</v>
      </c>
      <c r="AH9" t="s" s="0">
        <v>332</v>
      </c>
      <c r="AI9" t="s" s="0">
        <v>81</v>
      </c>
      <c r="AJ9" t="s" s="0">
        <v>81</v>
      </c>
      <c r="AK9" t="s" s="0">
        <v>81</v>
      </c>
      <c r="AL9" t="s" s="0">
        <v>300</v>
      </c>
      <c r="AM9" t="s" s="0">
        <v>137</v>
      </c>
      <c r="AN9" t="s" s="0">
        <v>137</v>
      </c>
      <c r="AO9" t="s" s="0">
        <v>333</v>
      </c>
      <c r="AP9" t="s" s="0">
        <v>333</v>
      </c>
      <c r="AQ9" t="s" s="0">
        <v>334</v>
      </c>
      <c r="AR9" t="s" s="0">
        <v>335</v>
      </c>
      <c r="AS9" t="s" s="0">
        <v>336</v>
      </c>
      <c r="AT9" t="s" s="0">
        <v>337</v>
      </c>
      <c r="AU9" t="s" s="0">
        <v>338</v>
      </c>
      <c r="AV9" t="s" s="0">
        <v>81</v>
      </c>
      <c r="AW9" t="s" s="0">
        <v>339</v>
      </c>
      <c r="AX9" t="s" s="0">
        <v>340</v>
      </c>
      <c r="AY9" t="s" s="0">
        <v>81</v>
      </c>
      <c r="AZ9" t="s" s="0">
        <v>212</v>
      </c>
      <c r="BA9" t="s" s="0">
        <v>81</v>
      </c>
      <c r="BB9" t="s" s="0">
        <v>81</v>
      </c>
      <c r="BC9" t="s" s="0">
        <v>81</v>
      </c>
      <c r="BD9" t="s" s="0">
        <v>81</v>
      </c>
      <c r="BE9" t="s" s="0">
        <v>81</v>
      </c>
      <c r="BF9" t="s" s="0">
        <v>81</v>
      </c>
      <c r="BG9" t="s" s="0">
        <v>81</v>
      </c>
      <c r="BH9" t="s" s="0">
        <v>81</v>
      </c>
      <c r="BI9" t="s" s="0">
        <v>81</v>
      </c>
      <c r="BJ9" t="s" s="0">
        <v>341</v>
      </c>
      <c r="BK9" t="s" s="15">
        <f>HYPERLINK("http://dx.doi.org/10.1007/s12539-026-00813-y","http://dx.doi.org/10.1007/s12539-026-00813-y")</f>
        <v>342</v>
      </c>
      <c r="BL9" t="s" s="0">
        <v>81</v>
      </c>
      <c r="BM9" t="s" s="0">
        <v>343</v>
      </c>
      <c r="BN9" t="s" s="0">
        <v>102</v>
      </c>
      <c r="BO9" t="s" s="0">
        <v>344</v>
      </c>
      <c r="BP9" t="s" s="0">
        <v>344</v>
      </c>
      <c r="BQ9" t="s" s="0">
        <v>345</v>
      </c>
      <c r="BR9" t="s" s="0">
        <v>346</v>
      </c>
      <c r="BS9" t="s" s="0">
        <v>347</v>
      </c>
      <c r="BT9" t="s" s="16">
        <f>HYPERLINK("https://www.webofscience.com/wos/woscc/full-record/WOS:001711805800001","View Record in Web of Science")</f>
        <v>123</v>
      </c>
      <c r="BU9" t="s" s="0">
        <v>81</v>
      </c>
      <c r="BV9" t="s" s="0">
        <v>81</v>
      </c>
      <c r="BW9" t="s" s="0">
        <v>81</v>
      </c>
      <c r="BX9" t="s" s="0">
        <v>124</v>
      </c>
    </row>
    <row r="10">
      <c r="A10" t="s" s="0">
        <v>77</v>
      </c>
      <c r="B10" t="s" s="0">
        <v>77</v>
      </c>
      <c r="C10" t="s" s="0">
        <v>77</v>
      </c>
      <c r="D10" t="s" s="0">
        <v>77</v>
      </c>
      <c r="E10" t="s" s="0">
        <v>348</v>
      </c>
      <c r="F10" t="s" s="0">
        <v>349</v>
      </c>
      <c r="G10" t="s" s="0">
        <v>350</v>
      </c>
      <c r="H10" t="s" s="0">
        <v>81</v>
      </c>
      <c r="I10" t="s" s="0">
        <v>82</v>
      </c>
      <c r="J10" t="s" s="0">
        <v>351</v>
      </c>
      <c r="K10" t="s" s="0">
        <v>352</v>
      </c>
      <c r="L10" t="s" s="0">
        <v>353</v>
      </c>
      <c r="M10" t="s" s="0">
        <v>354</v>
      </c>
      <c r="N10" t="s" s="0">
        <v>355</v>
      </c>
      <c r="O10" t="s" s="0">
        <v>356</v>
      </c>
      <c r="P10" t="s" s="0">
        <v>357</v>
      </c>
      <c r="Q10" t="s" s="0">
        <v>90</v>
      </c>
      <c r="R10" t="s" s="0">
        <v>81</v>
      </c>
      <c r="S10" t="s" s="0">
        <v>81</v>
      </c>
      <c r="T10" t="s" s="0">
        <v>81</v>
      </c>
      <c r="U10" t="s" s="0">
        <v>81</v>
      </c>
      <c r="V10" t="s" s="0">
        <v>358</v>
      </c>
      <c r="W10" t="s" s="0">
        <v>359</v>
      </c>
      <c r="X10" t="s" s="0">
        <v>81</v>
      </c>
      <c r="Y10" t="s" s="0">
        <v>81</v>
      </c>
      <c r="Z10" t="s" s="0">
        <v>93</v>
      </c>
      <c r="AA10" t="s" s="0">
        <v>94</v>
      </c>
      <c r="AB10" t="s" s="0">
        <v>81</v>
      </c>
      <c r="AC10" t="s" s="0">
        <v>81</v>
      </c>
      <c r="AD10" t="s" s="0">
        <v>81</v>
      </c>
      <c r="AE10" t="s" s="0">
        <v>81</v>
      </c>
      <c r="AF10" t="s" s="0">
        <v>81</v>
      </c>
      <c r="AG10" t="s" s="0">
        <v>81</v>
      </c>
      <c r="AH10" t="s" s="0">
        <v>360</v>
      </c>
      <c r="AI10" t="s" s="0">
        <v>81</v>
      </c>
      <c r="AJ10" t="s" s="0">
        <v>81</v>
      </c>
      <c r="AK10" t="s" s="0">
        <v>81</v>
      </c>
      <c r="AL10" t="s" s="0">
        <v>361</v>
      </c>
      <c r="AM10" t="s" s="0">
        <v>77</v>
      </c>
      <c r="AN10" t="s" s="0">
        <v>77</v>
      </c>
      <c r="AO10" t="s" s="0">
        <v>77</v>
      </c>
      <c r="AP10" t="s" s="0">
        <v>77</v>
      </c>
      <c r="AQ10" t="s" s="0">
        <v>302</v>
      </c>
      <c r="AR10" t="s" s="0">
        <v>303</v>
      </c>
      <c r="AS10" t="s" s="0">
        <v>304</v>
      </c>
      <c r="AT10" t="s" s="0">
        <v>81</v>
      </c>
      <c r="AU10" t="s" s="0">
        <v>362</v>
      </c>
      <c r="AV10" t="s" s="0">
        <v>81</v>
      </c>
      <c r="AW10" t="s" s="0">
        <v>363</v>
      </c>
      <c r="AX10" t="s" s="0">
        <v>364</v>
      </c>
      <c r="AY10" t="s" s="0">
        <v>365</v>
      </c>
      <c r="AZ10" t="s" s="0">
        <v>212</v>
      </c>
      <c r="BA10" t="s" s="0">
        <v>182</v>
      </c>
      <c r="BB10" t="s" s="0">
        <v>137</v>
      </c>
      <c r="BC10" t="s" s="0">
        <v>81</v>
      </c>
      <c r="BD10" t="s" s="0">
        <v>81</v>
      </c>
      <c r="BE10" t="s" s="0">
        <v>81</v>
      </c>
      <c r="BF10" t="s" s="0">
        <v>81</v>
      </c>
      <c r="BG10" t="s" s="0">
        <v>81</v>
      </c>
      <c r="BH10" t="s" s="0">
        <v>81</v>
      </c>
      <c r="BI10" t="s" s="0">
        <v>366</v>
      </c>
      <c r="BJ10" t="s" s="0">
        <v>367</v>
      </c>
      <c r="BK10" t="s" s="17">
        <f>HYPERLINK("http://dx.doi.org/10.1038/s41531-026-01344-5","http://dx.doi.org/10.1038/s41531-026-01344-5")</f>
        <v>368</v>
      </c>
      <c r="BL10" t="s" s="0">
        <v>81</v>
      </c>
      <c r="BM10" t="s" s="0">
        <v>279</v>
      </c>
      <c r="BN10" t="s" s="0">
        <v>182</v>
      </c>
      <c r="BO10" t="s" s="0">
        <v>369</v>
      </c>
      <c r="BP10" t="s" s="0">
        <v>370</v>
      </c>
      <c r="BQ10" t="s" s="0">
        <v>371</v>
      </c>
      <c r="BR10" t="s" s="0">
        <v>372</v>
      </c>
      <c r="BS10" t="s" s="0">
        <v>373</v>
      </c>
      <c r="BT10" t="s" s="18">
        <f>HYPERLINK("https://www.webofscience.com/wos/woscc/full-record/WOS:001810967500001","View Record in Web of Science")</f>
        <v>123</v>
      </c>
      <c r="BU10" t="s" s="0">
        <v>191</v>
      </c>
      <c r="BV10" t="s" s="0">
        <v>81</v>
      </c>
      <c r="BW10" t="s" s="0">
        <v>81</v>
      </c>
      <c r="BX10" t="s" s="0">
        <v>124</v>
      </c>
    </row>
    <row r="11">
      <c r="A11" t="s" s="0">
        <v>77</v>
      </c>
      <c r="B11" t="s" s="0">
        <v>77</v>
      </c>
      <c r="C11" t="s" s="0">
        <v>77</v>
      </c>
      <c r="D11" t="s" s="0">
        <v>77</v>
      </c>
      <c r="E11" t="s" s="0">
        <v>374</v>
      </c>
      <c r="F11" t="s" s="0">
        <v>375</v>
      </c>
      <c r="G11" t="s" s="0">
        <v>376</v>
      </c>
      <c r="H11" t="s" s="0">
        <v>81</v>
      </c>
      <c r="I11" t="s" s="0">
        <v>82</v>
      </c>
      <c r="J11" t="s" s="0">
        <v>377</v>
      </c>
      <c r="K11" t="s" s="0">
        <v>378</v>
      </c>
      <c r="L11" t="s" s="0">
        <v>379</v>
      </c>
      <c r="M11" t="s" s="0">
        <v>380</v>
      </c>
      <c r="N11" t="s" s="0">
        <v>381</v>
      </c>
      <c r="O11" t="s" s="0">
        <v>382</v>
      </c>
      <c r="P11" t="s" s="0">
        <v>383</v>
      </c>
      <c r="Q11" t="s" s="0">
        <v>90</v>
      </c>
      <c r="R11" t="s" s="0">
        <v>81</v>
      </c>
      <c r="S11" t="s" s="0">
        <v>81</v>
      </c>
      <c r="T11" t="s" s="0">
        <v>81</v>
      </c>
      <c r="U11" t="s" s="0">
        <v>81</v>
      </c>
      <c r="V11" t="s" s="0">
        <v>384</v>
      </c>
      <c r="W11" t="s" s="0">
        <v>385</v>
      </c>
      <c r="X11" t="s" s="0">
        <v>81</v>
      </c>
      <c r="Y11" t="s" s="0">
        <v>81</v>
      </c>
      <c r="Z11" t="s" s="0">
        <v>93</v>
      </c>
      <c r="AA11" t="s" s="0">
        <v>94</v>
      </c>
      <c r="AB11" t="s" s="0">
        <v>81</v>
      </c>
      <c r="AC11" t="s" s="0">
        <v>81</v>
      </c>
      <c r="AD11" t="s" s="0">
        <v>81</v>
      </c>
      <c r="AE11" t="s" s="0">
        <v>81</v>
      </c>
      <c r="AF11" t="s" s="0">
        <v>81</v>
      </c>
      <c r="AG11" t="s" s="0">
        <v>386</v>
      </c>
      <c r="AH11" t="s" s="0">
        <v>387</v>
      </c>
      <c r="AI11" t="s" s="0">
        <v>388</v>
      </c>
      <c r="AJ11" t="s" s="0">
        <v>389</v>
      </c>
      <c r="AK11" t="s" s="0">
        <v>81</v>
      </c>
      <c r="AL11" t="s" s="0">
        <v>390</v>
      </c>
      <c r="AM11" t="s" s="0">
        <v>333</v>
      </c>
      <c r="AN11" t="s" s="0">
        <v>333</v>
      </c>
      <c r="AO11" t="s" s="0">
        <v>102</v>
      </c>
      <c r="AP11" t="s" s="0">
        <v>267</v>
      </c>
      <c r="AQ11" t="s" s="0">
        <v>391</v>
      </c>
      <c r="AR11" t="s" s="0">
        <v>392</v>
      </c>
      <c r="AS11" t="s" s="0">
        <v>393</v>
      </c>
      <c r="AT11" t="s" s="0">
        <v>394</v>
      </c>
      <c r="AU11" t="s" s="0">
        <v>395</v>
      </c>
      <c r="AV11" t="s" s="0">
        <v>81</v>
      </c>
      <c r="AW11" t="s" s="0">
        <v>396</v>
      </c>
      <c r="AX11" t="s" s="0">
        <v>397</v>
      </c>
      <c r="AY11" t="s" s="0">
        <v>110</v>
      </c>
      <c r="AZ11" t="s" s="0">
        <v>111</v>
      </c>
      <c r="BA11" t="s" s="0">
        <v>398</v>
      </c>
      <c r="BB11" t="s" s="0">
        <v>399</v>
      </c>
      <c r="BC11" t="s" s="0">
        <v>81</v>
      </c>
      <c r="BD11" t="s" s="0">
        <v>81</v>
      </c>
      <c r="BE11" t="s" s="0">
        <v>81</v>
      </c>
      <c r="BF11" t="s" s="0">
        <v>81</v>
      </c>
      <c r="BG11" t="s" s="0">
        <v>400</v>
      </c>
      <c r="BH11" t="s" s="0">
        <v>401</v>
      </c>
      <c r="BI11" t="s" s="0">
        <v>81</v>
      </c>
      <c r="BJ11" t="s" s="0">
        <v>402</v>
      </c>
      <c r="BK11" t="s" s="19">
        <f>HYPERLINK("http://dx.doi.org/10.1002/srin.202400896","http://dx.doi.org/10.1002/srin.202400896")</f>
        <v>403</v>
      </c>
      <c r="BL11" t="s" s="0">
        <v>81</v>
      </c>
      <c r="BM11" t="s" s="0">
        <v>404</v>
      </c>
      <c r="BN11" t="s" s="0">
        <v>405</v>
      </c>
      <c r="BO11" t="s" s="0">
        <v>406</v>
      </c>
      <c r="BP11" t="s" s="0">
        <v>406</v>
      </c>
      <c r="BQ11" t="s" s="0">
        <v>407</v>
      </c>
      <c r="BR11" t="s" s="0">
        <v>81</v>
      </c>
      <c r="BS11" t="s" s="0">
        <v>408</v>
      </c>
      <c r="BT11" t="s" s="20">
        <f>HYPERLINK("https://www.webofscience.com/wos/woscc/full-record/WOS:001481218600001","View Record in Web of Science")</f>
        <v>123</v>
      </c>
      <c r="BU11" t="s" s="0">
        <v>81</v>
      </c>
      <c r="BV11" t="s" s="0">
        <v>81</v>
      </c>
      <c r="BW11" t="s" s="0">
        <v>81</v>
      </c>
      <c r="BX11" t="s" s="0">
        <v>124</v>
      </c>
    </row>
    <row r="12">
      <c r="A12" t="s" s="0">
        <v>77</v>
      </c>
      <c r="B12" t="s" s="0">
        <v>77</v>
      </c>
      <c r="C12" t="s" s="0">
        <v>77</v>
      </c>
      <c r="D12" t="s" s="0">
        <v>77</v>
      </c>
      <c r="E12" t="s" s="0">
        <v>409</v>
      </c>
      <c r="F12" t="s" s="0">
        <v>410</v>
      </c>
      <c r="G12" t="s" s="0">
        <v>411</v>
      </c>
      <c r="H12" t="s" s="0">
        <v>81</v>
      </c>
      <c r="I12" t="s" s="0">
        <v>82</v>
      </c>
      <c r="J12" t="s" s="0">
        <v>412</v>
      </c>
      <c r="K12" t="s" s="0">
        <v>413</v>
      </c>
      <c r="L12" t="s" s="0">
        <v>81</v>
      </c>
      <c r="M12" t="s" s="0">
        <v>81</v>
      </c>
      <c r="N12" t="s" s="0">
        <v>81</v>
      </c>
      <c r="O12" t="s" s="0">
        <v>414</v>
      </c>
      <c r="P12" t="s" s="0">
        <v>415</v>
      </c>
      <c r="Q12" t="s" s="0">
        <v>90</v>
      </c>
      <c r="R12" t="s" s="0">
        <v>81</v>
      </c>
      <c r="S12" t="s" s="0">
        <v>81</v>
      </c>
      <c r="T12" t="s" s="0">
        <v>81</v>
      </c>
      <c r="U12" t="s" s="0">
        <v>81</v>
      </c>
      <c r="V12" t="s" s="0">
        <v>416</v>
      </c>
      <c r="W12" t="s" s="0">
        <v>417</v>
      </c>
      <c r="X12" t="s" s="0">
        <v>81</v>
      </c>
      <c r="Y12" t="s" s="0">
        <v>81</v>
      </c>
      <c r="Z12" t="s" s="0">
        <v>93</v>
      </c>
      <c r="AA12" t="s" s="0">
        <v>94</v>
      </c>
      <c r="AB12" t="s" s="0">
        <v>81</v>
      </c>
      <c r="AC12" t="s" s="0">
        <v>81</v>
      </c>
      <c r="AD12" t="s" s="0">
        <v>81</v>
      </c>
      <c r="AE12" t="s" s="0">
        <v>81</v>
      </c>
      <c r="AF12" t="s" s="0">
        <v>81</v>
      </c>
      <c r="AG12" t="s" s="0">
        <v>418</v>
      </c>
      <c r="AH12" t="s" s="0">
        <v>419</v>
      </c>
      <c r="AI12" t="s" s="0">
        <v>81</v>
      </c>
      <c r="AJ12" t="s" s="0">
        <v>81</v>
      </c>
      <c r="AK12" t="s" s="0">
        <v>81</v>
      </c>
      <c r="AL12" t="s" s="0">
        <v>420</v>
      </c>
      <c r="AM12" t="s" s="0">
        <v>77</v>
      </c>
      <c r="AN12" t="s" s="0">
        <v>77</v>
      </c>
      <c r="AO12" t="s" s="0">
        <v>77</v>
      </c>
      <c r="AP12" t="s" s="0">
        <v>77</v>
      </c>
      <c r="AQ12" t="s" s="0">
        <v>421</v>
      </c>
      <c r="AR12" t="s" s="0">
        <v>422</v>
      </c>
      <c r="AS12" t="s" s="0">
        <v>423</v>
      </c>
      <c r="AT12" t="s" s="0">
        <v>424</v>
      </c>
      <c r="AU12" t="s" s="0">
        <v>81</v>
      </c>
      <c r="AV12" t="s" s="0">
        <v>81</v>
      </c>
      <c r="AW12" t="s" s="0">
        <v>425</v>
      </c>
      <c r="AX12" t="s" s="0">
        <v>426</v>
      </c>
      <c r="AY12" t="s" s="0">
        <v>427</v>
      </c>
      <c r="AZ12" t="s" s="0">
        <v>212</v>
      </c>
      <c r="BA12" t="s" s="0">
        <v>102</v>
      </c>
      <c r="BB12" t="s" s="0">
        <v>81</v>
      </c>
      <c r="BC12" t="s" s="0">
        <v>81</v>
      </c>
      <c r="BD12" t="s" s="0">
        <v>81</v>
      </c>
      <c r="BE12" t="s" s="0">
        <v>81</v>
      </c>
      <c r="BF12" t="s" s="0">
        <v>81</v>
      </c>
      <c r="BG12" t="s" s="0">
        <v>81</v>
      </c>
      <c r="BH12" t="s" s="0">
        <v>81</v>
      </c>
      <c r="BI12" t="s" s="0">
        <v>428</v>
      </c>
      <c r="BJ12" t="s" s="0">
        <v>429</v>
      </c>
      <c r="BK12" t="s" s="21">
        <f>HYPERLINK("http://dx.doi.org/10.3389/fimmu.2026.1867606","http://dx.doi.org/10.3389/fimmu.2026.1867606")</f>
        <v>430</v>
      </c>
      <c r="BL12" t="s" s="0">
        <v>81</v>
      </c>
      <c r="BM12" t="s" s="0">
        <v>81</v>
      </c>
      <c r="BN12" t="s" s="0">
        <v>117</v>
      </c>
      <c r="BO12" t="s" s="0">
        <v>431</v>
      </c>
      <c r="BP12" t="s" s="0">
        <v>431</v>
      </c>
      <c r="BQ12" t="s" s="0">
        <v>432</v>
      </c>
      <c r="BR12" t="s" s="0">
        <v>433</v>
      </c>
      <c r="BS12" t="s" s="0">
        <v>434</v>
      </c>
      <c r="BT12" t="s" s="22">
        <f>HYPERLINK("https://www.webofscience.com/wos/woscc/full-record/WOS:001835441500001","View Record in Web of Science")</f>
        <v>123</v>
      </c>
      <c r="BU12" t="s" s="0">
        <v>191</v>
      </c>
      <c r="BV12" t="s" s="0">
        <v>81</v>
      </c>
      <c r="BW12" t="s" s="0">
        <v>81</v>
      </c>
      <c r="BX12" t="s" s="0">
        <v>124</v>
      </c>
    </row>
    <row r="13">
      <c r="A13" t="s" s="0">
        <v>77</v>
      </c>
      <c r="B13" t="s" s="0">
        <v>77</v>
      </c>
      <c r="C13" t="s" s="0">
        <v>77</v>
      </c>
      <c r="D13" t="s" s="0">
        <v>77</v>
      </c>
      <c r="E13" t="s" s="0">
        <v>435</v>
      </c>
      <c r="F13" t="s" s="0">
        <v>436</v>
      </c>
      <c r="G13" t="s" s="0">
        <v>437</v>
      </c>
      <c r="H13" t="s" s="0">
        <v>81</v>
      </c>
      <c r="I13" t="s" s="0">
        <v>82</v>
      </c>
      <c r="J13" t="s" s="0">
        <v>438</v>
      </c>
      <c r="K13" t="s" s="0">
        <v>439</v>
      </c>
      <c r="L13" t="s" s="0">
        <v>440</v>
      </c>
      <c r="M13" t="s" s="0">
        <v>441</v>
      </c>
      <c r="N13" t="s" s="0">
        <v>442</v>
      </c>
      <c r="O13" t="s" s="0">
        <v>443</v>
      </c>
      <c r="P13" t="s" s="0">
        <v>444</v>
      </c>
      <c r="Q13" t="s" s="0">
        <v>90</v>
      </c>
      <c r="R13" t="s" s="0">
        <v>81</v>
      </c>
      <c r="S13" t="s" s="0">
        <v>81</v>
      </c>
      <c r="T13" t="s" s="0">
        <v>81</v>
      </c>
      <c r="U13" t="s" s="0">
        <v>81</v>
      </c>
      <c r="V13" t="s" s="0">
        <v>445</v>
      </c>
      <c r="W13" t="s" s="0">
        <v>446</v>
      </c>
      <c r="X13" t="s" s="0">
        <v>81</v>
      </c>
      <c r="Y13" t="s" s="0">
        <v>81</v>
      </c>
      <c r="Z13" t="s" s="0">
        <v>93</v>
      </c>
      <c r="AA13" t="s" s="0">
        <v>94</v>
      </c>
      <c r="AB13" t="s" s="0">
        <v>81</v>
      </c>
      <c r="AC13" t="s" s="0">
        <v>81</v>
      </c>
      <c r="AD13" t="s" s="0">
        <v>81</v>
      </c>
      <c r="AE13" t="s" s="0">
        <v>81</v>
      </c>
      <c r="AF13" t="s" s="0">
        <v>81</v>
      </c>
      <c r="AG13" t="s" s="0">
        <v>447</v>
      </c>
      <c r="AH13" t="s" s="0">
        <v>81</v>
      </c>
      <c r="AI13" t="s" s="0">
        <v>81</v>
      </c>
      <c r="AJ13" t="s" s="0">
        <v>81</v>
      </c>
      <c r="AK13" t="s" s="0">
        <v>81</v>
      </c>
      <c r="AL13" t="s" s="0">
        <v>448</v>
      </c>
      <c r="AM13" t="s" s="0">
        <v>77</v>
      </c>
      <c r="AN13" t="s" s="0">
        <v>77</v>
      </c>
      <c r="AO13" t="s" s="0">
        <v>77</v>
      </c>
      <c r="AP13" t="s" s="0">
        <v>77</v>
      </c>
      <c r="AQ13" t="s" s="0">
        <v>449</v>
      </c>
      <c r="AR13" t="s" s="0">
        <v>450</v>
      </c>
      <c r="AS13" t="s" s="0">
        <v>451</v>
      </c>
      <c r="AT13" t="s" s="0">
        <v>452</v>
      </c>
      <c r="AU13" t="s" s="0">
        <v>453</v>
      </c>
      <c r="AV13" t="s" s="0">
        <v>81</v>
      </c>
      <c r="AW13" t="s" s="0">
        <v>454</v>
      </c>
      <c r="AX13" t="s" s="0">
        <v>455</v>
      </c>
      <c r="AY13" t="s" s="0">
        <v>456</v>
      </c>
      <c r="AZ13" t="s" s="0">
        <v>212</v>
      </c>
      <c r="BA13" t="s" s="0">
        <v>457</v>
      </c>
      <c r="BB13" t="s" s="0">
        <v>301</v>
      </c>
      <c r="BC13" t="s" s="0">
        <v>81</v>
      </c>
      <c r="BD13" t="s" s="0">
        <v>81</v>
      </c>
      <c r="BE13" t="s" s="0">
        <v>81</v>
      </c>
      <c r="BF13" t="s" s="0">
        <v>81</v>
      </c>
      <c r="BG13" t="s" s="0">
        <v>81</v>
      </c>
      <c r="BH13" t="s" s="0">
        <v>81</v>
      </c>
      <c r="BI13" t="s" s="0">
        <v>458</v>
      </c>
      <c r="BJ13" t="s" s="0">
        <v>459</v>
      </c>
      <c r="BK13" t="s" s="23">
        <f>HYPERLINK("http://dx.doi.org/10.1002/ima.70359","http://dx.doi.org/10.1002/ima.70359")</f>
        <v>460</v>
      </c>
      <c r="BL13" t="s" s="0">
        <v>81</v>
      </c>
      <c r="BM13" t="s" s="0">
        <v>81</v>
      </c>
      <c r="BN13" t="s" s="0">
        <v>461</v>
      </c>
      <c r="BO13" t="s" s="0">
        <v>462</v>
      </c>
      <c r="BP13" t="s" s="0">
        <v>463</v>
      </c>
      <c r="BQ13" t="s" s="0">
        <v>464</v>
      </c>
      <c r="BR13" t="s" s="0">
        <v>81</v>
      </c>
      <c r="BS13" t="s" s="0">
        <v>465</v>
      </c>
      <c r="BT13" t="s" s="24">
        <f>HYPERLINK("https://www.webofscience.com/wos/woscc/full-record/WOS:001796474600001","View Record in Web of Science")</f>
        <v>123</v>
      </c>
      <c r="BU13" t="s" s="0">
        <v>81</v>
      </c>
      <c r="BV13" t="s" s="0">
        <v>81</v>
      </c>
      <c r="BW13" t="s" s="0">
        <v>81</v>
      </c>
      <c r="BX13" t="s" s="0">
        <v>124</v>
      </c>
    </row>
    <row r="14">
      <c r="A14" t="s" s="0">
        <v>77</v>
      </c>
      <c r="B14" t="s" s="0">
        <v>77</v>
      </c>
      <c r="C14" t="s" s="0">
        <v>77</v>
      </c>
      <c r="D14" t="s" s="0">
        <v>77</v>
      </c>
      <c r="E14" t="s" s="0">
        <v>466</v>
      </c>
      <c r="F14" t="s" s="0">
        <v>467</v>
      </c>
      <c r="G14" t="s" s="0">
        <v>468</v>
      </c>
      <c r="H14" t="s" s="0">
        <v>81</v>
      </c>
      <c r="I14" t="s" s="0">
        <v>82</v>
      </c>
      <c r="J14" t="s" s="0">
        <v>469</v>
      </c>
      <c r="K14" t="s" s="0">
        <v>470</v>
      </c>
      <c r="L14" t="s" s="0">
        <v>81</v>
      </c>
      <c r="M14" t="s" s="0">
        <v>81</v>
      </c>
      <c r="N14" t="s" s="0">
        <v>81</v>
      </c>
      <c r="O14" t="s" s="0">
        <v>471</v>
      </c>
      <c r="P14" t="s" s="0">
        <v>472</v>
      </c>
      <c r="Q14" t="s" s="0">
        <v>90</v>
      </c>
      <c r="R14" t="s" s="0">
        <v>81</v>
      </c>
      <c r="S14" t="s" s="0">
        <v>81</v>
      </c>
      <c r="T14" t="s" s="0">
        <v>81</v>
      </c>
      <c r="U14" t="s" s="0">
        <v>81</v>
      </c>
      <c r="V14" t="s" s="0">
        <v>473</v>
      </c>
      <c r="W14" t="s" s="0">
        <v>474</v>
      </c>
      <c r="X14" t="s" s="0">
        <v>81</v>
      </c>
      <c r="Y14" t="s" s="0">
        <v>81</v>
      </c>
      <c r="Z14" t="s" s="0">
        <v>93</v>
      </c>
      <c r="AA14" t="s" s="0">
        <v>94</v>
      </c>
      <c r="AB14" t="s" s="0">
        <v>81</v>
      </c>
      <c r="AC14" t="s" s="0">
        <v>81</v>
      </c>
      <c r="AD14" t="s" s="0">
        <v>81</v>
      </c>
      <c r="AE14" t="s" s="0">
        <v>81</v>
      </c>
      <c r="AF14" t="s" s="0">
        <v>81</v>
      </c>
      <c r="AG14" t="s" s="0">
        <v>475</v>
      </c>
      <c r="AH14" t="s" s="0">
        <v>81</v>
      </c>
      <c r="AI14" t="s" s="0">
        <v>476</v>
      </c>
      <c r="AJ14" t="s" s="0">
        <v>477</v>
      </c>
      <c r="AK14" t="s" s="0">
        <v>81</v>
      </c>
      <c r="AL14" t="s" s="0">
        <v>478</v>
      </c>
      <c r="AM14" t="s" s="0">
        <v>100</v>
      </c>
      <c r="AN14" t="s" s="0">
        <v>100</v>
      </c>
      <c r="AO14" t="s" s="0">
        <v>100</v>
      </c>
      <c r="AP14" t="s" s="0">
        <v>173</v>
      </c>
      <c r="AQ14" t="s" s="0">
        <v>140</v>
      </c>
      <c r="AR14" t="s" s="0">
        <v>141</v>
      </c>
      <c r="AS14" t="s" s="0">
        <v>142</v>
      </c>
      <c r="AT14" t="s" s="0">
        <v>479</v>
      </c>
      <c r="AU14" t="s" s="0">
        <v>480</v>
      </c>
      <c r="AV14" t="s" s="0">
        <v>81</v>
      </c>
      <c r="AW14" t="s" s="0">
        <v>481</v>
      </c>
      <c r="AX14" t="s" s="0">
        <v>482</v>
      </c>
      <c r="AY14" t="s" s="0">
        <v>483</v>
      </c>
      <c r="AZ14" t="s" s="0">
        <v>111</v>
      </c>
      <c r="BA14" t="s" s="0">
        <v>484</v>
      </c>
      <c r="BB14" t="s" s="0">
        <v>81</v>
      </c>
      <c r="BC14" t="s" s="0">
        <v>81</v>
      </c>
      <c r="BD14" t="s" s="0">
        <v>81</v>
      </c>
      <c r="BE14" t="s" s="0">
        <v>81</v>
      </c>
      <c r="BF14" t="s" s="0">
        <v>81</v>
      </c>
      <c r="BG14" t="s" s="0">
        <v>81</v>
      </c>
      <c r="BH14" t="s" s="0">
        <v>81</v>
      </c>
      <c r="BI14" t="s" s="0">
        <v>485</v>
      </c>
      <c r="BJ14" t="s" s="0">
        <v>486</v>
      </c>
      <c r="BK14" t="s" s="25">
        <f>HYPERLINK("http://dx.doi.org/10.1016/j.knosys.2025.113718","http://dx.doi.org/10.1016/j.knosys.2025.113718")</f>
        <v>487</v>
      </c>
      <c r="BL14" t="s" s="0">
        <v>81</v>
      </c>
      <c r="BM14" t="s" s="0">
        <v>116</v>
      </c>
      <c r="BN14" t="s" s="0">
        <v>182</v>
      </c>
      <c r="BO14" t="s" s="0">
        <v>488</v>
      </c>
      <c r="BP14" t="s" s="0">
        <v>250</v>
      </c>
      <c r="BQ14" t="s" s="0">
        <v>489</v>
      </c>
      <c r="BR14" t="s" s="0">
        <v>81</v>
      </c>
      <c r="BS14" t="s" s="0">
        <v>490</v>
      </c>
      <c r="BT14" t="s" s="26">
        <f>HYPERLINK("https://www.webofscience.com/wos/woscc/full-record/WOS:001504559100006","View Record in Web of Science")</f>
        <v>123</v>
      </c>
      <c r="BU14" t="s" s="0">
        <v>81</v>
      </c>
      <c r="BV14" t="s" s="0">
        <v>81</v>
      </c>
      <c r="BW14" t="s" s="0">
        <v>81</v>
      </c>
      <c r="BX14" t="s" s="0">
        <v>124</v>
      </c>
    </row>
    <row r="15">
      <c r="A15" t="s" s="0">
        <v>77</v>
      </c>
      <c r="B15" t="s" s="0">
        <v>77</v>
      </c>
      <c r="C15" t="s" s="0">
        <v>301</v>
      </c>
      <c r="D15" t="s" s="0">
        <v>77</v>
      </c>
      <c r="E15" t="s" s="0">
        <v>491</v>
      </c>
      <c r="F15" t="s" s="0">
        <v>492</v>
      </c>
      <c r="G15" t="s" s="0">
        <v>493</v>
      </c>
      <c r="H15" t="s" s="0">
        <v>81</v>
      </c>
      <c r="I15" t="s" s="0">
        <v>82</v>
      </c>
      <c r="J15" t="s" s="0">
        <v>494</v>
      </c>
      <c r="K15" t="s" s="0">
        <v>495</v>
      </c>
      <c r="L15" t="s" s="0">
        <v>496</v>
      </c>
      <c r="M15" t="s" s="0">
        <v>199</v>
      </c>
      <c r="N15" t="s" s="0">
        <v>497</v>
      </c>
      <c r="O15" t="s" s="0">
        <v>498</v>
      </c>
      <c r="P15" t="s" s="0">
        <v>499</v>
      </c>
      <c r="Q15" t="s" s="0">
        <v>90</v>
      </c>
      <c r="R15" t="s" s="0">
        <v>81</v>
      </c>
      <c r="S15" t="s" s="0">
        <v>81</v>
      </c>
      <c r="T15" t="s" s="0">
        <v>81</v>
      </c>
      <c r="U15" t="s" s="0">
        <v>81</v>
      </c>
      <c r="V15" t="s" s="0">
        <v>500</v>
      </c>
      <c r="W15" t="s" s="0">
        <v>501</v>
      </c>
      <c r="X15" t="s" s="0">
        <v>81</v>
      </c>
      <c r="Y15" t="s" s="0">
        <v>81</v>
      </c>
      <c r="Z15" t="s" s="0">
        <v>93</v>
      </c>
      <c r="AA15" t="s" s="0">
        <v>94</v>
      </c>
      <c r="AB15" t="s" s="0">
        <v>81</v>
      </c>
      <c r="AC15" t="s" s="0">
        <v>81</v>
      </c>
      <c r="AD15" t="s" s="0">
        <v>81</v>
      </c>
      <c r="AE15" t="s" s="0">
        <v>81</v>
      </c>
      <c r="AF15" t="s" s="0">
        <v>81</v>
      </c>
      <c r="AG15" t="s" s="0">
        <v>502</v>
      </c>
      <c r="AH15" t="s" s="0">
        <v>81</v>
      </c>
      <c r="AI15" t="s" s="0">
        <v>503</v>
      </c>
      <c r="AJ15" t="s" s="0">
        <v>504</v>
      </c>
      <c r="AK15" t="s" s="0">
        <v>81</v>
      </c>
      <c r="AL15" t="s" s="0">
        <v>457</v>
      </c>
      <c r="AM15" t="s" s="0">
        <v>405</v>
      </c>
      <c r="AN15" t="s" s="0">
        <v>102</v>
      </c>
      <c r="AO15" t="s" s="0">
        <v>77</v>
      </c>
      <c r="AP15" t="s" s="0">
        <v>152</v>
      </c>
      <c r="AQ15" t="s" s="0">
        <v>505</v>
      </c>
      <c r="AR15" t="s" s="0">
        <v>506</v>
      </c>
      <c r="AS15" t="s" s="0">
        <v>507</v>
      </c>
      <c r="AT15" t="s" s="0">
        <v>508</v>
      </c>
      <c r="AU15" t="s" s="0">
        <v>509</v>
      </c>
      <c r="AV15" t="s" s="0">
        <v>81</v>
      </c>
      <c r="AW15" t="s" s="0">
        <v>510</v>
      </c>
      <c r="AX15" t="s" s="0">
        <v>511</v>
      </c>
      <c r="AY15" t="s" s="0">
        <v>512</v>
      </c>
      <c r="AZ15" t="s" s="0">
        <v>309</v>
      </c>
      <c r="BA15" t="s" s="0">
        <v>513</v>
      </c>
      <c r="BB15" t="s" s="0">
        <v>301</v>
      </c>
      <c r="BC15" t="s" s="0">
        <v>81</v>
      </c>
      <c r="BD15" t="s" s="0">
        <v>81</v>
      </c>
      <c r="BE15" t="s" s="0">
        <v>81</v>
      </c>
      <c r="BF15" t="s" s="0">
        <v>81</v>
      </c>
      <c r="BG15" t="s" s="0">
        <v>514</v>
      </c>
      <c r="BH15" t="s" s="0">
        <v>515</v>
      </c>
      <c r="BI15" t="s" s="0">
        <v>81</v>
      </c>
      <c r="BJ15" t="s" s="0">
        <v>516</v>
      </c>
      <c r="BK15" t="s" s="27">
        <f>HYPERLINK("http://dx.doi.org/10.1007/s10278-024-01066-1","http://dx.doi.org/10.1007/s10278-024-01066-1")</f>
        <v>517</v>
      </c>
      <c r="BL15" t="s" s="0">
        <v>81</v>
      </c>
      <c r="BM15" t="s" s="0">
        <v>518</v>
      </c>
      <c r="BN15" t="s" s="0">
        <v>152</v>
      </c>
      <c r="BO15" t="s" s="0">
        <v>519</v>
      </c>
      <c r="BP15" t="s" s="0">
        <v>519</v>
      </c>
      <c r="BQ15" t="s" s="0">
        <v>520</v>
      </c>
      <c r="BR15" t="s" s="0">
        <v>521</v>
      </c>
      <c r="BS15" t="s" s="0">
        <v>522</v>
      </c>
      <c r="BT15" t="s" s="28">
        <f>HYPERLINK("https://www.webofscience.com/wos/woscc/full-record/WOS:001194042800001","View Record in Web of Science")</f>
        <v>123</v>
      </c>
      <c r="BU15" t="s" s="0">
        <v>523</v>
      </c>
      <c r="BV15" t="s" s="0">
        <v>81</v>
      </c>
      <c r="BW15" t="s" s="0">
        <v>81</v>
      </c>
      <c r="BX15" t="s" s="0">
        <v>124</v>
      </c>
    </row>
    <row r="16">
      <c r="A16" t="s" s="0">
        <v>77</v>
      </c>
      <c r="B16" t="s" s="0">
        <v>77</v>
      </c>
      <c r="C16" t="s" s="0">
        <v>77</v>
      </c>
      <c r="D16" t="s" s="0">
        <v>77</v>
      </c>
      <c r="E16" t="s" s="0">
        <v>524</v>
      </c>
      <c r="F16" t="s" s="0">
        <v>525</v>
      </c>
      <c r="G16" t="s" s="0">
        <v>526</v>
      </c>
      <c r="H16" t="s" s="0">
        <v>81</v>
      </c>
      <c r="I16" t="s" s="0">
        <v>82</v>
      </c>
      <c r="J16" t="s" s="0">
        <v>527</v>
      </c>
      <c r="K16" t="s" s="0">
        <v>528</v>
      </c>
      <c r="L16" t="s" s="0">
        <v>529</v>
      </c>
      <c r="M16" t="s" s="0">
        <v>530</v>
      </c>
      <c r="N16" t="s" s="0">
        <v>531</v>
      </c>
      <c r="O16" t="s" s="0">
        <v>532</v>
      </c>
      <c r="P16" t="s" s="0">
        <v>533</v>
      </c>
      <c r="Q16" t="s" s="0">
        <v>90</v>
      </c>
      <c r="R16" t="s" s="0">
        <v>81</v>
      </c>
      <c r="S16" t="s" s="0">
        <v>81</v>
      </c>
      <c r="T16" t="s" s="0">
        <v>81</v>
      </c>
      <c r="U16" t="s" s="0">
        <v>81</v>
      </c>
      <c r="V16" t="s" s="0">
        <v>534</v>
      </c>
      <c r="W16" t="s" s="0">
        <v>535</v>
      </c>
      <c r="X16" t="s" s="0">
        <v>81</v>
      </c>
      <c r="Y16" t="s" s="0">
        <v>81</v>
      </c>
      <c r="Z16" t="s" s="0">
        <v>93</v>
      </c>
      <c r="AA16" t="s" s="0">
        <v>94</v>
      </c>
      <c r="AB16" t="s" s="0">
        <v>81</v>
      </c>
      <c r="AC16" t="s" s="0">
        <v>81</v>
      </c>
      <c r="AD16" t="s" s="0">
        <v>81</v>
      </c>
      <c r="AE16" t="s" s="0">
        <v>81</v>
      </c>
      <c r="AF16" t="s" s="0">
        <v>81</v>
      </c>
      <c r="AG16" t="s" s="0">
        <v>536</v>
      </c>
      <c r="AH16" t="s" s="0">
        <v>81</v>
      </c>
      <c r="AI16" t="s" s="0">
        <v>81</v>
      </c>
      <c r="AJ16" t="s" s="0">
        <v>81</v>
      </c>
      <c r="AK16" t="s" s="0">
        <v>81</v>
      </c>
      <c r="AL16" t="s" s="0">
        <v>390</v>
      </c>
      <c r="AM16" t="s" s="0">
        <v>137</v>
      </c>
      <c r="AN16" t="s" s="0">
        <v>137</v>
      </c>
      <c r="AO16" t="s" s="0">
        <v>100</v>
      </c>
      <c r="AP16" t="s" s="0">
        <v>399</v>
      </c>
      <c r="AQ16" t="s" s="0">
        <v>537</v>
      </c>
      <c r="AR16" t="s" s="0">
        <v>506</v>
      </c>
      <c r="AS16" t="s" s="0">
        <v>538</v>
      </c>
      <c r="AT16" t="s" s="0">
        <v>539</v>
      </c>
      <c r="AU16" t="s" s="0">
        <v>540</v>
      </c>
      <c r="AV16" t="s" s="0">
        <v>81</v>
      </c>
      <c r="AW16" t="s" s="0">
        <v>541</v>
      </c>
      <c r="AX16" t="s" s="0">
        <v>542</v>
      </c>
      <c r="AY16" t="s" s="0">
        <v>110</v>
      </c>
      <c r="AZ16" t="s" s="0">
        <v>111</v>
      </c>
      <c r="BA16" t="s" s="0">
        <v>267</v>
      </c>
      <c r="BB16" t="s" s="0">
        <v>399</v>
      </c>
      <c r="BC16" t="s" s="0">
        <v>81</v>
      </c>
      <c r="BD16" t="s" s="0">
        <v>81</v>
      </c>
      <c r="BE16" t="s" s="0">
        <v>81</v>
      </c>
      <c r="BF16" t="s" s="0">
        <v>81</v>
      </c>
      <c r="BG16" t="s" s="0">
        <v>543</v>
      </c>
      <c r="BH16" t="s" s="0">
        <v>544</v>
      </c>
      <c r="BI16" t="s" s="0">
        <v>81</v>
      </c>
      <c r="BJ16" t="s" s="0">
        <v>545</v>
      </c>
      <c r="BK16" t="s" s="29">
        <f>HYPERLINK("http://dx.doi.org/10.1016/j.spinee.2025.03.011","http://dx.doi.org/10.1016/j.spinee.2025.03.011")</f>
        <v>546</v>
      </c>
      <c r="BL16" t="s" s="0">
        <v>81</v>
      </c>
      <c r="BM16" t="s" s="0">
        <v>547</v>
      </c>
      <c r="BN16" t="s" s="0">
        <v>172</v>
      </c>
      <c r="BO16" t="s" s="0">
        <v>548</v>
      </c>
      <c r="BP16" t="s" s="0">
        <v>549</v>
      </c>
      <c r="BQ16" t="s" s="0">
        <v>550</v>
      </c>
      <c r="BR16" t="s" s="0">
        <v>551</v>
      </c>
      <c r="BS16" t="s" s="0">
        <v>552</v>
      </c>
      <c r="BT16" t="s" s="30">
        <f>HYPERLINK("https://www.webofscience.com/wos/woscc/full-record/WOS:001555904900001","View Record in Web of Science")</f>
        <v>123</v>
      </c>
      <c r="BU16" t="s" s="0">
        <v>157</v>
      </c>
      <c r="BV16" t="s" s="0">
        <v>81</v>
      </c>
      <c r="BW16" t="s" s="0">
        <v>81</v>
      </c>
      <c r="BX16" t="s" s="0">
        <v>124</v>
      </c>
    </row>
    <row r="17">
      <c r="A17" t="s" s="0">
        <v>77</v>
      </c>
      <c r="B17" t="s" s="0">
        <v>77</v>
      </c>
      <c r="C17" t="s" s="0">
        <v>77</v>
      </c>
      <c r="D17" t="s" s="0">
        <v>77</v>
      </c>
      <c r="E17" t="s" s="0">
        <v>553</v>
      </c>
      <c r="F17" t="s" s="0">
        <v>554</v>
      </c>
      <c r="G17" t="s" s="0">
        <v>555</v>
      </c>
      <c r="H17" t="s" s="0">
        <v>81</v>
      </c>
      <c r="I17" t="s" s="0">
        <v>82</v>
      </c>
      <c r="J17" t="s" s="0">
        <v>556</v>
      </c>
      <c r="K17" t="s" s="0">
        <v>557</v>
      </c>
      <c r="L17" t="s" s="0">
        <v>558</v>
      </c>
      <c r="M17" t="s" s="0">
        <v>559</v>
      </c>
      <c r="N17" t="s" s="0">
        <v>560</v>
      </c>
      <c r="O17" t="s" s="0">
        <v>561</v>
      </c>
      <c r="P17" t="s" s="0">
        <v>562</v>
      </c>
      <c r="Q17" t="s" s="0">
        <v>90</v>
      </c>
      <c r="R17" t="s" s="0">
        <v>81</v>
      </c>
      <c r="S17" t="s" s="0">
        <v>81</v>
      </c>
      <c r="T17" t="s" s="0">
        <v>81</v>
      </c>
      <c r="U17" t="s" s="0">
        <v>81</v>
      </c>
      <c r="V17" t="s" s="0">
        <v>563</v>
      </c>
      <c r="W17" t="s" s="0">
        <v>417</v>
      </c>
      <c r="X17" t="s" s="0">
        <v>81</v>
      </c>
      <c r="Y17" t="s" s="0">
        <v>81</v>
      </c>
      <c r="Z17" t="s" s="0">
        <v>93</v>
      </c>
      <c r="AA17" t="s" s="0">
        <v>94</v>
      </c>
      <c r="AB17" t="s" s="0">
        <v>81</v>
      </c>
      <c r="AC17" t="s" s="0">
        <v>81</v>
      </c>
      <c r="AD17" t="s" s="0">
        <v>81</v>
      </c>
      <c r="AE17" t="s" s="0">
        <v>81</v>
      </c>
      <c r="AF17" t="s" s="0">
        <v>81</v>
      </c>
      <c r="AG17" t="s" s="0">
        <v>564</v>
      </c>
      <c r="AH17" t="s" s="0">
        <v>565</v>
      </c>
      <c r="AI17" t="s" s="0">
        <v>81</v>
      </c>
      <c r="AJ17" t="s" s="0">
        <v>81</v>
      </c>
      <c r="AK17" t="s" s="0">
        <v>81</v>
      </c>
      <c r="AL17" t="s" s="0">
        <v>566</v>
      </c>
      <c r="AM17" t="s" s="0">
        <v>77</v>
      </c>
      <c r="AN17" t="s" s="0">
        <v>77</v>
      </c>
      <c r="AO17" t="s" s="0">
        <v>77</v>
      </c>
      <c r="AP17" t="s" s="0">
        <v>77</v>
      </c>
      <c r="AQ17" t="s" s="0">
        <v>421</v>
      </c>
      <c r="AR17" t="s" s="0">
        <v>422</v>
      </c>
      <c r="AS17" t="s" s="0">
        <v>423</v>
      </c>
      <c r="AT17" t="s" s="0">
        <v>424</v>
      </c>
      <c r="AU17" t="s" s="0">
        <v>81</v>
      </c>
      <c r="AV17" t="s" s="0">
        <v>81</v>
      </c>
      <c r="AW17" t="s" s="0">
        <v>425</v>
      </c>
      <c r="AX17" t="s" s="0">
        <v>426</v>
      </c>
      <c r="AY17" t="s" s="0">
        <v>567</v>
      </c>
      <c r="AZ17" t="s" s="0">
        <v>212</v>
      </c>
      <c r="BA17" t="s" s="0">
        <v>102</v>
      </c>
      <c r="BB17" t="s" s="0">
        <v>81</v>
      </c>
      <c r="BC17" t="s" s="0">
        <v>81</v>
      </c>
      <c r="BD17" t="s" s="0">
        <v>81</v>
      </c>
      <c r="BE17" t="s" s="0">
        <v>81</v>
      </c>
      <c r="BF17" t="s" s="0">
        <v>81</v>
      </c>
      <c r="BG17" t="s" s="0">
        <v>81</v>
      </c>
      <c r="BH17" t="s" s="0">
        <v>81</v>
      </c>
      <c r="BI17" t="s" s="0">
        <v>568</v>
      </c>
      <c r="BJ17" t="s" s="0">
        <v>569</v>
      </c>
      <c r="BK17" t="s" s="31">
        <f>HYPERLINK("http://dx.doi.org/10.3389/fimmu.2026.1915946","http://dx.doi.org/10.3389/fimmu.2026.1915946")</f>
        <v>570</v>
      </c>
      <c r="BL17" t="s" s="0">
        <v>81</v>
      </c>
      <c r="BM17" t="s" s="0">
        <v>81</v>
      </c>
      <c r="BN17" t="s" s="0">
        <v>117</v>
      </c>
      <c r="BO17" t="s" s="0">
        <v>431</v>
      </c>
      <c r="BP17" t="s" s="0">
        <v>431</v>
      </c>
      <c r="BQ17" t="s" s="0">
        <v>571</v>
      </c>
      <c r="BR17" t="s" s="0">
        <v>572</v>
      </c>
      <c r="BS17" t="s" s="0">
        <v>573</v>
      </c>
      <c r="BT17" t="s" s="32">
        <f>HYPERLINK("https://www.webofscience.com/wos/woscc/full-record/WOS:001853348000001","View Record in Web of Science")</f>
        <v>123</v>
      </c>
      <c r="BU17" t="s" s="0">
        <v>191</v>
      </c>
      <c r="BV17" t="s" s="0">
        <v>81</v>
      </c>
      <c r="BW17" t="s" s="0">
        <v>81</v>
      </c>
      <c r="BX17" t="s" s="0">
        <v>124</v>
      </c>
    </row>
    <row r="18">
      <c r="A18" t="s" s="0">
        <v>77</v>
      </c>
      <c r="B18" t="s" s="0">
        <v>77</v>
      </c>
      <c r="C18" t="s" s="0">
        <v>77</v>
      </c>
      <c r="D18" t="s" s="0">
        <v>77</v>
      </c>
      <c r="E18" t="s" s="0">
        <v>574</v>
      </c>
      <c r="F18" t="s" s="0">
        <v>575</v>
      </c>
      <c r="G18" t="s" s="0">
        <v>576</v>
      </c>
      <c r="H18" t="s" s="0">
        <v>81</v>
      </c>
      <c r="I18" t="s" s="0">
        <v>82</v>
      </c>
      <c r="J18" t="s" s="0">
        <v>577</v>
      </c>
      <c r="K18" t="s" s="0">
        <v>578</v>
      </c>
      <c r="L18" t="s" s="0">
        <v>579</v>
      </c>
      <c r="M18" t="s" s="0">
        <v>580</v>
      </c>
      <c r="N18" t="s" s="0">
        <v>581</v>
      </c>
      <c r="O18" t="s" s="0">
        <v>582</v>
      </c>
      <c r="P18" t="s" s="0">
        <v>583</v>
      </c>
      <c r="Q18" t="s" s="0">
        <v>90</v>
      </c>
      <c r="R18" t="s" s="0">
        <v>81</v>
      </c>
      <c r="S18" t="s" s="0">
        <v>81</v>
      </c>
      <c r="T18" t="s" s="0">
        <v>81</v>
      </c>
      <c r="U18" t="s" s="0">
        <v>81</v>
      </c>
      <c r="V18" t="s" s="0">
        <v>584</v>
      </c>
      <c r="W18" t="s" s="0">
        <v>585</v>
      </c>
      <c r="X18" t="s" s="0">
        <v>81</v>
      </c>
      <c r="Y18" t="s" s="0">
        <v>81</v>
      </c>
      <c r="Z18" t="s" s="0">
        <v>93</v>
      </c>
      <c r="AA18" t="s" s="0">
        <v>94</v>
      </c>
      <c r="AB18" t="s" s="0">
        <v>81</v>
      </c>
      <c r="AC18" t="s" s="0">
        <v>81</v>
      </c>
      <c r="AD18" t="s" s="0">
        <v>81</v>
      </c>
      <c r="AE18" t="s" s="0">
        <v>81</v>
      </c>
      <c r="AF18" t="s" s="0">
        <v>81</v>
      </c>
      <c r="AG18" t="s" s="0">
        <v>586</v>
      </c>
      <c r="AH18" t="s" s="0">
        <v>81</v>
      </c>
      <c r="AI18" t="s" s="0">
        <v>81</v>
      </c>
      <c r="AJ18" t="s" s="0">
        <v>81</v>
      </c>
      <c r="AK18" t="s" s="0">
        <v>81</v>
      </c>
      <c r="AL18" t="s" s="0">
        <v>587</v>
      </c>
      <c r="AM18" t="s" s="0">
        <v>77</v>
      </c>
      <c r="AN18" t="s" s="0">
        <v>137</v>
      </c>
      <c r="AO18" t="s" s="0">
        <v>333</v>
      </c>
      <c r="AP18" t="s" s="0">
        <v>172</v>
      </c>
      <c r="AQ18" t="s" s="0">
        <v>588</v>
      </c>
      <c r="AR18" t="s" s="0">
        <v>589</v>
      </c>
      <c r="AS18" t="s" s="0">
        <v>590</v>
      </c>
      <c r="AT18" t="s" s="0">
        <v>591</v>
      </c>
      <c r="AU18" t="s" s="0">
        <v>592</v>
      </c>
      <c r="AV18" t="s" s="0">
        <v>81</v>
      </c>
      <c r="AW18" t="s" s="0">
        <v>593</v>
      </c>
      <c r="AX18" t="s" s="0">
        <v>594</v>
      </c>
      <c r="AY18" t="s" s="0">
        <v>343</v>
      </c>
      <c r="AZ18" t="s" s="0">
        <v>212</v>
      </c>
      <c r="BA18" t="s" s="0">
        <v>595</v>
      </c>
      <c r="BB18" t="s" s="0">
        <v>100</v>
      </c>
      <c r="BC18" t="s" s="0">
        <v>81</v>
      </c>
      <c r="BD18" t="s" s="0">
        <v>81</v>
      </c>
      <c r="BE18" t="s" s="0">
        <v>81</v>
      </c>
      <c r="BF18" t="s" s="0">
        <v>81</v>
      </c>
      <c r="BG18" t="s" s="0">
        <v>596</v>
      </c>
      <c r="BH18" t="s" s="0">
        <v>597</v>
      </c>
      <c r="BI18" t="s" s="0">
        <v>81</v>
      </c>
      <c r="BJ18" t="s" s="0">
        <v>598</v>
      </c>
      <c r="BK18" t="s" s="33">
        <f>HYPERLINK("http://dx.doi.org/10.1109/JBHI.2025.3600652","http://dx.doi.org/10.1109/JBHI.2025.3600652")</f>
        <v>599</v>
      </c>
      <c r="BL18" t="s" s="0">
        <v>81</v>
      </c>
      <c r="BM18" t="s" s="0">
        <v>81</v>
      </c>
      <c r="BN18" t="s" s="0">
        <v>152</v>
      </c>
      <c r="BO18" t="s" s="0">
        <v>600</v>
      </c>
      <c r="BP18" t="s" s="0">
        <v>601</v>
      </c>
      <c r="BQ18" t="s" s="0">
        <v>602</v>
      </c>
      <c r="BR18" t="s" s="0">
        <v>603</v>
      </c>
      <c r="BS18" t="s" s="0">
        <v>604</v>
      </c>
      <c r="BT18" t="s" s="34">
        <f>HYPERLINK("https://www.webofscience.com/wos/woscc/full-record/WOS:001708168300024","View Record in Web of Science")</f>
        <v>123</v>
      </c>
      <c r="BU18" t="s" s="0">
        <v>81</v>
      </c>
      <c r="BV18" t="s" s="0">
        <v>81</v>
      </c>
      <c r="BW18" t="s" s="0">
        <v>81</v>
      </c>
      <c r="BX18" t="s" s="0">
        <v>124</v>
      </c>
    </row>
    <row r="19">
      <c r="A19" t="s" s="0">
        <v>77</v>
      </c>
      <c r="B19" t="s" s="0">
        <v>77</v>
      </c>
      <c r="C19" t="s" s="0">
        <v>77</v>
      </c>
      <c r="D19" t="s" s="0">
        <v>77</v>
      </c>
      <c r="E19" t="s" s="0">
        <v>605</v>
      </c>
      <c r="F19" t="s" s="0">
        <v>606</v>
      </c>
      <c r="G19" t="s" s="0">
        <v>607</v>
      </c>
      <c r="H19" t="s" s="0">
        <v>81</v>
      </c>
      <c r="I19" t="s" s="0">
        <v>82</v>
      </c>
      <c r="J19" t="s" s="0">
        <v>608</v>
      </c>
      <c r="K19" t="s" s="0">
        <v>609</v>
      </c>
      <c r="L19" t="s" s="0">
        <v>610</v>
      </c>
      <c r="M19" t="s" s="0">
        <v>199</v>
      </c>
      <c r="N19" t="s" s="0">
        <v>611</v>
      </c>
      <c r="O19" t="s" s="0">
        <v>612</v>
      </c>
      <c r="P19" t="s" s="0">
        <v>613</v>
      </c>
      <c r="Q19" t="s" s="0">
        <v>90</v>
      </c>
      <c r="R19" t="s" s="0">
        <v>81</v>
      </c>
      <c r="S19" t="s" s="0">
        <v>81</v>
      </c>
      <c r="T19" t="s" s="0">
        <v>81</v>
      </c>
      <c r="U19" t="s" s="0">
        <v>81</v>
      </c>
      <c r="V19" t="s" s="0">
        <v>614</v>
      </c>
      <c r="W19" t="s" s="0">
        <v>615</v>
      </c>
      <c r="X19" t="s" s="0">
        <v>81</v>
      </c>
      <c r="Y19" t="s" s="0">
        <v>81</v>
      </c>
      <c r="Z19" t="s" s="0">
        <v>93</v>
      </c>
      <c r="AA19" t="s" s="0">
        <v>94</v>
      </c>
      <c r="AB19" t="s" s="0">
        <v>81</v>
      </c>
      <c r="AC19" t="s" s="0">
        <v>81</v>
      </c>
      <c r="AD19" t="s" s="0">
        <v>81</v>
      </c>
      <c r="AE19" t="s" s="0">
        <v>81</v>
      </c>
      <c r="AF19" t="s" s="0">
        <v>81</v>
      </c>
      <c r="AG19" t="s" s="0">
        <v>616</v>
      </c>
      <c r="AH19" t="s" s="0">
        <v>81</v>
      </c>
      <c r="AI19" t="s" s="0">
        <v>617</v>
      </c>
      <c r="AJ19" t="s" s="0">
        <v>618</v>
      </c>
      <c r="AK19" t="s" s="0">
        <v>81</v>
      </c>
      <c r="AL19" t="s" s="0">
        <v>619</v>
      </c>
      <c r="AM19" t="s" s="0">
        <v>77</v>
      </c>
      <c r="AN19" t="s" s="0">
        <v>77</v>
      </c>
      <c r="AO19" t="s" s="0">
        <v>333</v>
      </c>
      <c r="AP19" t="s" s="0">
        <v>405</v>
      </c>
      <c r="AQ19" t="s" s="0">
        <v>620</v>
      </c>
      <c r="AR19" t="s" s="0">
        <v>621</v>
      </c>
      <c r="AS19" t="s" s="0">
        <v>622</v>
      </c>
      <c r="AT19" t="s" s="0">
        <v>623</v>
      </c>
      <c r="AU19" t="s" s="0">
        <v>624</v>
      </c>
      <c r="AV19" t="s" s="0">
        <v>81</v>
      </c>
      <c r="AW19" t="s" s="0">
        <v>625</v>
      </c>
      <c r="AX19" t="s" s="0">
        <v>626</v>
      </c>
      <c r="AY19" t="s" s="0">
        <v>279</v>
      </c>
      <c r="AZ19" t="s" s="0">
        <v>212</v>
      </c>
      <c r="BA19" t="s" s="0">
        <v>627</v>
      </c>
      <c r="BB19" t="s" s="0">
        <v>81</v>
      </c>
      <c r="BC19" t="s" s="0">
        <v>81</v>
      </c>
      <c r="BD19" t="s" s="0">
        <v>628</v>
      </c>
      <c r="BE19" t="s" s="0">
        <v>81</v>
      </c>
      <c r="BF19" t="s" s="0">
        <v>81</v>
      </c>
      <c r="BG19" t="s" s="0">
        <v>81</v>
      </c>
      <c r="BH19" t="s" s="0">
        <v>81</v>
      </c>
      <c r="BI19" t="s" s="0">
        <v>629</v>
      </c>
      <c r="BJ19" t="s" s="0">
        <v>630</v>
      </c>
      <c r="BK19" t="s" s="35">
        <f>HYPERLINK("http://dx.doi.org/10.1016/j.patcog.2025.112413","http://dx.doi.org/10.1016/j.patcog.2025.112413")</f>
        <v>631</v>
      </c>
      <c r="BL19" t="s" s="0">
        <v>81</v>
      </c>
      <c r="BM19" t="s" s="0">
        <v>110</v>
      </c>
      <c r="BN19" t="s" s="0">
        <v>182</v>
      </c>
      <c r="BO19" t="s" s="0">
        <v>632</v>
      </c>
      <c r="BP19" t="s" s="0">
        <v>633</v>
      </c>
      <c r="BQ19" t="s" s="0">
        <v>634</v>
      </c>
      <c r="BR19" t="s" s="0">
        <v>81</v>
      </c>
      <c r="BS19" t="s" s="0">
        <v>635</v>
      </c>
      <c r="BT19" t="s" s="36">
        <f>HYPERLINK("https://www.webofscience.com/wos/woscc/full-record/WOS:001571771800001","View Record in Web of Science")</f>
        <v>123</v>
      </c>
      <c r="BU19" t="s" s="0">
        <v>81</v>
      </c>
      <c r="BV19" t="s" s="0">
        <v>81</v>
      </c>
      <c r="BW19" t="s" s="0">
        <v>81</v>
      </c>
      <c r="BX19" t="s" s="0">
        <v>124</v>
      </c>
    </row>
    <row r="20">
      <c r="A20" t="s" s="0">
        <v>137</v>
      </c>
      <c r="B20" t="s" s="0">
        <v>77</v>
      </c>
      <c r="C20" t="s" s="0">
        <v>137</v>
      </c>
      <c r="D20" t="s" s="0">
        <v>77</v>
      </c>
      <c r="E20" t="s" s="0">
        <v>636</v>
      </c>
      <c r="F20" t="s" s="0">
        <v>637</v>
      </c>
      <c r="G20" t="s" s="0">
        <v>638</v>
      </c>
      <c r="H20" t="s" s="0">
        <v>81</v>
      </c>
      <c r="I20" t="s" s="0">
        <v>82</v>
      </c>
      <c r="J20" t="s" s="0">
        <v>639</v>
      </c>
      <c r="K20" t="s" s="0">
        <v>640</v>
      </c>
      <c r="L20" t="s" s="0">
        <v>641</v>
      </c>
      <c r="M20" t="s" s="0">
        <v>642</v>
      </c>
      <c r="N20" t="s" s="0">
        <v>643</v>
      </c>
      <c r="O20" t="s" s="0">
        <v>644</v>
      </c>
      <c r="P20" t="s" s="0">
        <v>645</v>
      </c>
      <c r="Q20" t="s" s="0">
        <v>90</v>
      </c>
      <c r="R20" t="s" s="0">
        <v>81</v>
      </c>
      <c r="S20" t="s" s="0">
        <v>81</v>
      </c>
      <c r="T20" t="s" s="0">
        <v>81</v>
      </c>
      <c r="U20" t="s" s="0">
        <v>81</v>
      </c>
      <c r="V20" t="s" s="0">
        <v>646</v>
      </c>
      <c r="W20" t="s" s="0">
        <v>234</v>
      </c>
      <c r="X20" t="s" s="0">
        <v>81</v>
      </c>
      <c r="Y20" t="s" s="0">
        <v>81</v>
      </c>
      <c r="Z20" t="s" s="0">
        <v>93</v>
      </c>
      <c r="AA20" t="s" s="0">
        <v>94</v>
      </c>
      <c r="AB20" t="s" s="0">
        <v>81</v>
      </c>
      <c r="AC20" t="s" s="0">
        <v>81</v>
      </c>
      <c r="AD20" t="s" s="0">
        <v>81</v>
      </c>
      <c r="AE20" t="s" s="0">
        <v>81</v>
      </c>
      <c r="AF20" t="s" s="0">
        <v>81</v>
      </c>
      <c r="AG20" t="s" s="0">
        <v>647</v>
      </c>
      <c r="AH20" t="s" s="0">
        <v>648</v>
      </c>
      <c r="AI20" t="s" s="0">
        <v>649</v>
      </c>
      <c r="AJ20" t="s" s="0">
        <v>650</v>
      </c>
      <c r="AK20" t="s" s="0">
        <v>81</v>
      </c>
      <c r="AL20" t="s" s="0">
        <v>651</v>
      </c>
      <c r="AM20" t="s" s="0">
        <v>652</v>
      </c>
      <c r="AN20" t="s" s="0">
        <v>652</v>
      </c>
      <c r="AO20" t="s" s="0">
        <v>399</v>
      </c>
      <c r="AP20" t="s" s="0">
        <v>420</v>
      </c>
      <c r="AQ20" t="s" s="0">
        <v>140</v>
      </c>
      <c r="AR20" t="s" s="0">
        <v>141</v>
      </c>
      <c r="AS20" t="s" s="0">
        <v>142</v>
      </c>
      <c r="AT20" t="s" s="0">
        <v>240</v>
      </c>
      <c r="AU20" t="s" s="0">
        <v>241</v>
      </c>
      <c r="AV20" t="s" s="0">
        <v>81</v>
      </c>
      <c r="AW20" t="s" s="0">
        <v>242</v>
      </c>
      <c r="AX20" t="s" s="0">
        <v>243</v>
      </c>
      <c r="AY20" t="s" s="0">
        <v>653</v>
      </c>
      <c r="AZ20" t="s" s="0">
        <v>309</v>
      </c>
      <c r="BA20" t="s" s="0">
        <v>654</v>
      </c>
      <c r="BB20" t="s" s="0">
        <v>81</v>
      </c>
      <c r="BC20" t="s" s="0">
        <v>81</v>
      </c>
      <c r="BD20" t="s" s="0">
        <v>81</v>
      </c>
      <c r="BE20" t="s" s="0">
        <v>81</v>
      </c>
      <c r="BF20" t="s" s="0">
        <v>81</v>
      </c>
      <c r="BG20" t="s" s="0">
        <v>81</v>
      </c>
      <c r="BH20" t="s" s="0">
        <v>81</v>
      </c>
      <c r="BI20" t="s" s="0">
        <v>655</v>
      </c>
      <c r="BJ20" t="s" s="0">
        <v>656</v>
      </c>
      <c r="BK20" t="s" s="37">
        <f>HYPERLINK("http://dx.doi.org/10.1016/j.inffus.2023.102200","http://dx.doi.org/10.1016/j.inffus.2023.102200")</f>
        <v>657</v>
      </c>
      <c r="BL20" t="s" s="0">
        <v>81</v>
      </c>
      <c r="BM20" t="s" s="0">
        <v>658</v>
      </c>
      <c r="BN20" t="s" s="0">
        <v>117</v>
      </c>
      <c r="BO20" t="s" s="0">
        <v>249</v>
      </c>
      <c r="BP20" t="s" s="0">
        <v>250</v>
      </c>
      <c r="BQ20" t="s" s="0">
        <v>659</v>
      </c>
      <c r="BR20" t="s" s="0">
        <v>81</v>
      </c>
      <c r="BS20" t="s" s="0">
        <v>660</v>
      </c>
      <c r="BT20" t="s" s="38">
        <f>HYPERLINK("https://www.webofscience.com/wos/woscc/full-record/WOS:001149732600001","View Record in Web of Science")</f>
        <v>123</v>
      </c>
      <c r="BU20" t="s" s="0">
        <v>81</v>
      </c>
      <c r="BV20" t="s" s="0">
        <v>81</v>
      </c>
      <c r="BW20" t="s" s="0">
        <v>81</v>
      </c>
      <c r="BX20" t="s" s="0">
        <v>124</v>
      </c>
    </row>
    <row r="21">
      <c r="A21" t="s" s="0">
        <v>137</v>
      </c>
      <c r="B21" t="s" s="0">
        <v>77</v>
      </c>
      <c r="C21" t="s" s="0">
        <v>301</v>
      </c>
      <c r="D21" t="s" s="0">
        <v>77</v>
      </c>
      <c r="E21" t="s" s="0">
        <v>661</v>
      </c>
      <c r="F21" t="s" s="0">
        <v>662</v>
      </c>
      <c r="G21" t="s" s="0">
        <v>663</v>
      </c>
      <c r="H21" t="s" s="0">
        <v>81</v>
      </c>
      <c r="I21" t="s" s="0">
        <v>82</v>
      </c>
      <c r="J21" t="s" s="0">
        <v>664</v>
      </c>
      <c r="K21" t="s" s="0">
        <v>665</v>
      </c>
      <c r="L21" t="s" s="0">
        <v>666</v>
      </c>
      <c r="M21" t="s" s="0">
        <v>667</v>
      </c>
      <c r="N21" t="s" s="0">
        <v>668</v>
      </c>
      <c r="O21" t="s" s="0">
        <v>669</v>
      </c>
      <c r="P21" t="s" s="0">
        <v>670</v>
      </c>
      <c r="Q21" t="s" s="0">
        <v>90</v>
      </c>
      <c r="R21" t="s" s="0">
        <v>81</v>
      </c>
      <c r="S21" t="s" s="0">
        <v>81</v>
      </c>
      <c r="T21" t="s" s="0">
        <v>81</v>
      </c>
      <c r="U21" t="s" s="0">
        <v>81</v>
      </c>
      <c r="V21" t="s" s="0">
        <v>671</v>
      </c>
      <c r="W21" t="s" s="0">
        <v>92</v>
      </c>
      <c r="X21" t="s" s="0">
        <v>81</v>
      </c>
      <c r="Y21" t="s" s="0">
        <v>81</v>
      </c>
      <c r="Z21" t="s" s="0">
        <v>93</v>
      </c>
      <c r="AA21" t="s" s="0">
        <v>94</v>
      </c>
      <c r="AB21" t="s" s="0">
        <v>81</v>
      </c>
      <c r="AC21" t="s" s="0">
        <v>81</v>
      </c>
      <c r="AD21" t="s" s="0">
        <v>81</v>
      </c>
      <c r="AE21" t="s" s="0">
        <v>81</v>
      </c>
      <c r="AF21" t="s" s="0">
        <v>81</v>
      </c>
      <c r="AG21" t="s" s="0">
        <v>672</v>
      </c>
      <c r="AH21" t="s" s="0">
        <v>673</v>
      </c>
      <c r="AI21" t="s" s="0">
        <v>674</v>
      </c>
      <c r="AJ21" t="s" s="0">
        <v>675</v>
      </c>
      <c r="AK21" t="s" s="0">
        <v>81</v>
      </c>
      <c r="AL21" t="s" s="0">
        <v>390</v>
      </c>
      <c r="AM21" t="s" s="0">
        <v>172</v>
      </c>
      <c r="AN21" t="s" s="0">
        <v>117</v>
      </c>
      <c r="AO21" t="s" s="0">
        <v>77</v>
      </c>
      <c r="AP21" t="s" s="0">
        <v>676</v>
      </c>
      <c r="AQ21" t="s" s="0">
        <v>103</v>
      </c>
      <c r="AR21" t="s" s="0">
        <v>104</v>
      </c>
      <c r="AS21" t="s" s="0">
        <v>105</v>
      </c>
      <c r="AT21" t="s" s="0">
        <v>106</v>
      </c>
      <c r="AU21" t="s" s="0">
        <v>107</v>
      </c>
      <c r="AV21" t="s" s="0">
        <v>81</v>
      </c>
      <c r="AW21" t="s" s="0">
        <v>108</v>
      </c>
      <c r="AX21" t="s" s="0">
        <v>109</v>
      </c>
      <c r="AY21" t="s" s="0">
        <v>677</v>
      </c>
      <c r="AZ21" t="s" s="0">
        <v>678</v>
      </c>
      <c r="BA21" t="s" s="0">
        <v>679</v>
      </c>
      <c r="BB21" t="s" s="0">
        <v>81</v>
      </c>
      <c r="BC21" t="s" s="0">
        <v>81</v>
      </c>
      <c r="BD21" t="s" s="0">
        <v>81</v>
      </c>
      <c r="BE21" t="s" s="0">
        <v>81</v>
      </c>
      <c r="BF21" t="s" s="0">
        <v>81</v>
      </c>
      <c r="BG21" t="s" s="0">
        <v>81</v>
      </c>
      <c r="BH21" t="s" s="0">
        <v>81</v>
      </c>
      <c r="BI21" t="s" s="0">
        <v>680</v>
      </c>
      <c r="BJ21" t="s" s="0">
        <v>681</v>
      </c>
      <c r="BK21" t="s" s="39">
        <f>HYPERLINK("http://dx.doi.org/10.1016/j.cmpb.2022.107165","http://dx.doi.org/10.1016/j.cmpb.2022.107165")</f>
        <v>682</v>
      </c>
      <c r="BL21" t="s" s="0">
        <v>81</v>
      </c>
      <c r="BM21" t="s" s="0">
        <v>683</v>
      </c>
      <c r="BN21" t="s" s="0">
        <v>138</v>
      </c>
      <c r="BO21" t="s" s="0">
        <v>118</v>
      </c>
      <c r="BP21" t="s" s="0">
        <v>119</v>
      </c>
      <c r="BQ21" t="s" s="0">
        <v>684</v>
      </c>
      <c r="BR21" t="s" s="0">
        <v>685</v>
      </c>
      <c r="BS21" t="s" s="0">
        <v>686</v>
      </c>
      <c r="BT21" t="s" s="40">
        <f>HYPERLINK("https://www.webofscience.com/wos/woscc/full-record/WOS:000872389100006","View Record in Web of Science")</f>
        <v>123</v>
      </c>
      <c r="BU21" t="s" s="0">
        <v>81</v>
      </c>
      <c r="BV21" t="s" s="0">
        <v>81</v>
      </c>
      <c r="BW21" t="s" s="0">
        <v>81</v>
      </c>
      <c r="BX21" t="s" s="0">
        <v>124</v>
      </c>
    </row>
    <row r="22">
      <c r="A22" t="s" s="0">
        <v>77</v>
      </c>
      <c r="B22" t="s" s="0">
        <v>77</v>
      </c>
      <c r="C22" t="s" s="0">
        <v>77</v>
      </c>
      <c r="D22" t="s" s="0">
        <v>77</v>
      </c>
      <c r="E22" t="s" s="0">
        <v>687</v>
      </c>
      <c r="F22" t="s" s="0">
        <v>688</v>
      </c>
      <c r="G22" t="s" s="0">
        <v>689</v>
      </c>
      <c r="H22" t="s" s="0">
        <v>81</v>
      </c>
      <c r="I22" t="s" s="0">
        <v>195</v>
      </c>
      <c r="J22" t="s" s="0">
        <v>690</v>
      </c>
      <c r="K22" t="s" s="0">
        <v>691</v>
      </c>
      <c r="L22" t="s" s="0">
        <v>692</v>
      </c>
      <c r="M22" t="s" s="0">
        <v>693</v>
      </c>
      <c r="N22" t="s" s="0">
        <v>694</v>
      </c>
      <c r="O22" t="s" s="0">
        <v>695</v>
      </c>
      <c r="P22" t="s" s="0">
        <v>696</v>
      </c>
      <c r="Q22" t="s" s="0">
        <v>90</v>
      </c>
      <c r="R22" t="s" s="0">
        <v>81</v>
      </c>
      <c r="S22" t="s" s="0">
        <v>81</v>
      </c>
      <c r="T22" t="s" s="0">
        <v>81</v>
      </c>
      <c r="U22" t="s" s="0">
        <v>81</v>
      </c>
      <c r="V22" t="s" s="0">
        <v>697</v>
      </c>
      <c r="W22" t="s" s="0">
        <v>698</v>
      </c>
      <c r="X22" t="s" s="0">
        <v>81</v>
      </c>
      <c r="Y22" t="s" s="0">
        <v>81</v>
      </c>
      <c r="Z22" t="s" s="0">
        <v>93</v>
      </c>
      <c r="AA22" t="s" s="0">
        <v>94</v>
      </c>
      <c r="AB22" t="s" s="0">
        <v>81</v>
      </c>
      <c r="AC22" t="s" s="0">
        <v>81</v>
      </c>
      <c r="AD22" t="s" s="0">
        <v>81</v>
      </c>
      <c r="AE22" t="s" s="0">
        <v>81</v>
      </c>
      <c r="AF22" t="s" s="0">
        <v>81</v>
      </c>
      <c r="AG22" t="s" s="0">
        <v>699</v>
      </c>
      <c r="AH22" t="s" s="0">
        <v>700</v>
      </c>
      <c r="AI22" t="s" s="0">
        <v>701</v>
      </c>
      <c r="AJ22" t="s" s="0">
        <v>702</v>
      </c>
      <c r="AK22" t="s" s="0">
        <v>81</v>
      </c>
      <c r="AL22" t="s" s="0">
        <v>703</v>
      </c>
      <c r="AM22" t="s" s="0">
        <v>158</v>
      </c>
      <c r="AN22" t="s" s="0">
        <v>158</v>
      </c>
      <c r="AO22" t="s" s="0">
        <v>77</v>
      </c>
      <c r="AP22" t="s" s="0">
        <v>183</v>
      </c>
      <c r="AQ22" t="s" s="0">
        <v>704</v>
      </c>
      <c r="AR22" t="s" s="0">
        <v>506</v>
      </c>
      <c r="AS22" t="s" s="0">
        <v>705</v>
      </c>
      <c r="AT22" t="s" s="0">
        <v>706</v>
      </c>
      <c r="AU22" t="s" s="0">
        <v>707</v>
      </c>
      <c r="AV22" t="s" s="0">
        <v>81</v>
      </c>
      <c r="AW22" t="s" s="0">
        <v>708</v>
      </c>
      <c r="AX22" t="s" s="0">
        <v>709</v>
      </c>
      <c r="AY22" t="s" s="0">
        <v>404</v>
      </c>
      <c r="AZ22" t="s" s="0">
        <v>111</v>
      </c>
      <c r="BA22" t="s" s="0">
        <v>333</v>
      </c>
      <c r="BB22" t="s" s="0">
        <v>137</v>
      </c>
      <c r="BC22" t="s" s="0">
        <v>81</v>
      </c>
      <c r="BD22" t="s" s="0">
        <v>81</v>
      </c>
      <c r="BE22" t="s" s="0">
        <v>81</v>
      </c>
      <c r="BF22" t="s" s="0">
        <v>81</v>
      </c>
      <c r="BG22" t="s" s="0">
        <v>81</v>
      </c>
      <c r="BH22" t="s" s="0">
        <v>81</v>
      </c>
      <c r="BI22" t="s" s="0">
        <v>100</v>
      </c>
      <c r="BJ22" t="s" s="0">
        <v>710</v>
      </c>
      <c r="BK22" t="s" s="41">
        <f>HYPERLINK("http://dx.doi.org/10.1145/3702243","http://dx.doi.org/10.1145/3702243")</f>
        <v>711</v>
      </c>
      <c r="BL22" t="s" s="0">
        <v>81</v>
      </c>
      <c r="BM22" t="s" s="0">
        <v>81</v>
      </c>
      <c r="BN22" t="s" s="0">
        <v>275</v>
      </c>
      <c r="BO22" t="s" s="0">
        <v>712</v>
      </c>
      <c r="BP22" t="s" s="0">
        <v>713</v>
      </c>
      <c r="BQ22" t="s" s="0">
        <v>714</v>
      </c>
      <c r="BR22" t="s" s="0">
        <v>81</v>
      </c>
      <c r="BS22" t="s" s="0">
        <v>715</v>
      </c>
      <c r="BT22" t="s" s="42">
        <f>HYPERLINK("https://www.webofscience.com/wos/woscc/full-record/WOS:001432818300003","View Record in Web of Science")</f>
        <v>123</v>
      </c>
      <c r="BU22" t="s" s="0">
        <v>716</v>
      </c>
      <c r="BV22" t="s" s="0">
        <v>81</v>
      </c>
      <c r="BW22" t="s" s="0">
        <v>81</v>
      </c>
      <c r="BX22" t="s" s="0">
        <v>124</v>
      </c>
    </row>
    <row r="23">
      <c r="A23" t="s" s="0">
        <v>137</v>
      </c>
      <c r="B23" t="s" s="0">
        <v>77</v>
      </c>
      <c r="C23" t="s" s="0">
        <v>77</v>
      </c>
      <c r="D23" t="s" s="0">
        <v>77</v>
      </c>
      <c r="E23" t="s" s="0">
        <v>717</v>
      </c>
      <c r="F23" t="s" s="0">
        <v>718</v>
      </c>
      <c r="G23" t="s" s="0">
        <v>719</v>
      </c>
      <c r="H23" t="s" s="0">
        <v>81</v>
      </c>
      <c r="I23" t="s" s="0">
        <v>82</v>
      </c>
      <c r="J23" t="s" s="0">
        <v>720</v>
      </c>
      <c r="K23" t="s" s="0">
        <v>721</v>
      </c>
      <c r="L23" t="s" s="0">
        <v>722</v>
      </c>
      <c r="M23" t="s" s="0">
        <v>723</v>
      </c>
      <c r="N23" t="s" s="0">
        <v>724</v>
      </c>
      <c r="O23" t="s" s="0">
        <v>725</v>
      </c>
      <c r="P23" t="s" s="0">
        <v>726</v>
      </c>
      <c r="Q23" t="s" s="0">
        <v>90</v>
      </c>
      <c r="R23" t="s" s="0">
        <v>81</v>
      </c>
      <c r="S23" t="s" s="0">
        <v>81</v>
      </c>
      <c r="T23" t="s" s="0">
        <v>81</v>
      </c>
      <c r="U23" t="s" s="0">
        <v>81</v>
      </c>
      <c r="V23" t="s" s="0">
        <v>727</v>
      </c>
      <c r="W23" t="s" s="0">
        <v>728</v>
      </c>
      <c r="X23" t="s" s="0">
        <v>81</v>
      </c>
      <c r="Y23" t="s" s="0">
        <v>81</v>
      </c>
      <c r="Z23" t="s" s="0">
        <v>93</v>
      </c>
      <c r="AA23" t="s" s="0">
        <v>94</v>
      </c>
      <c r="AB23" t="s" s="0">
        <v>81</v>
      </c>
      <c r="AC23" t="s" s="0">
        <v>81</v>
      </c>
      <c r="AD23" t="s" s="0">
        <v>81</v>
      </c>
      <c r="AE23" t="s" s="0">
        <v>81</v>
      </c>
      <c r="AF23" t="s" s="0">
        <v>81</v>
      </c>
      <c r="AG23" t="s" s="0">
        <v>729</v>
      </c>
      <c r="AH23" t="s" s="0">
        <v>81</v>
      </c>
      <c r="AI23" t="s" s="0">
        <v>730</v>
      </c>
      <c r="AJ23" t="s" s="0">
        <v>731</v>
      </c>
      <c r="AK23" t="s" s="0">
        <v>81</v>
      </c>
      <c r="AL23" t="s" s="0">
        <v>732</v>
      </c>
      <c r="AM23" t="s" s="0">
        <v>137</v>
      </c>
      <c r="AN23" t="s" s="0">
        <v>101</v>
      </c>
      <c r="AO23" t="s" s="0">
        <v>138</v>
      </c>
      <c r="AP23" t="s" s="0">
        <v>182</v>
      </c>
      <c r="AQ23" t="s" s="0">
        <v>140</v>
      </c>
      <c r="AR23" t="s" s="0">
        <v>141</v>
      </c>
      <c r="AS23" t="s" s="0">
        <v>142</v>
      </c>
      <c r="AT23" t="s" s="0">
        <v>733</v>
      </c>
      <c r="AU23" t="s" s="0">
        <v>734</v>
      </c>
      <c r="AV23" t="s" s="0">
        <v>81</v>
      </c>
      <c r="AW23" t="s" s="0">
        <v>728</v>
      </c>
      <c r="AX23" t="s" s="0">
        <v>735</v>
      </c>
      <c r="AY23" t="s" s="0">
        <v>736</v>
      </c>
      <c r="AZ23" t="s" s="0">
        <v>111</v>
      </c>
      <c r="BA23" t="s" s="0">
        <v>737</v>
      </c>
      <c r="BB23" t="s" s="0">
        <v>81</v>
      </c>
      <c r="BC23" t="s" s="0">
        <v>81</v>
      </c>
      <c r="BD23" t="s" s="0">
        <v>81</v>
      </c>
      <c r="BE23" t="s" s="0">
        <v>81</v>
      </c>
      <c r="BF23" t="s" s="0">
        <v>81</v>
      </c>
      <c r="BG23" t="s" s="0">
        <v>81</v>
      </c>
      <c r="BH23" t="s" s="0">
        <v>81</v>
      </c>
      <c r="BI23" t="s" s="0">
        <v>738</v>
      </c>
      <c r="BJ23" t="s" s="0">
        <v>739</v>
      </c>
      <c r="BK23" t="s" s="43">
        <f>HYPERLINK("http://dx.doi.org/10.1016/j.neucom.2025.130502","http://dx.doi.org/10.1016/j.neucom.2025.130502")</f>
        <v>740</v>
      </c>
      <c r="BL23" t="s" s="0">
        <v>81</v>
      </c>
      <c r="BM23" t="s" s="0">
        <v>741</v>
      </c>
      <c r="BN23" t="s" s="0">
        <v>182</v>
      </c>
      <c r="BO23" t="s" s="0">
        <v>488</v>
      </c>
      <c r="BP23" t="s" s="0">
        <v>250</v>
      </c>
      <c r="BQ23" t="s" s="0">
        <v>742</v>
      </c>
      <c r="BR23" t="s" s="0">
        <v>81</v>
      </c>
      <c r="BS23" t="s" s="0">
        <v>743</v>
      </c>
      <c r="BT23" t="s" s="44">
        <f>HYPERLINK("https://www.webofscience.com/wos/woscc/full-record/WOS:001505824600001","View Record in Web of Science")</f>
        <v>123</v>
      </c>
      <c r="BU23" t="s" s="0">
        <v>157</v>
      </c>
      <c r="BV23" t="s" s="0">
        <v>81</v>
      </c>
      <c r="BW23" t="s" s="0">
        <v>81</v>
      </c>
      <c r="BX23" t="s" s="0">
        <v>124</v>
      </c>
    </row>
    <row r="24">
      <c r="A24" t="s" s="0">
        <v>77</v>
      </c>
      <c r="B24" t="s" s="0">
        <v>77</v>
      </c>
      <c r="C24" t="s" s="0">
        <v>77</v>
      </c>
      <c r="D24" t="s" s="0">
        <v>77</v>
      </c>
      <c r="E24" t="s" s="0">
        <v>744</v>
      </c>
      <c r="F24" t="s" s="0">
        <v>745</v>
      </c>
      <c r="G24" t="s" s="0">
        <v>746</v>
      </c>
      <c r="H24" t="s" s="0">
        <v>81</v>
      </c>
      <c r="I24" t="s" s="0">
        <v>82</v>
      </c>
      <c r="J24" t="s" s="0">
        <v>747</v>
      </c>
      <c r="K24" t="s" s="0">
        <v>748</v>
      </c>
      <c r="L24" t="s" s="0">
        <v>749</v>
      </c>
      <c r="M24" t="s" s="0">
        <v>199</v>
      </c>
      <c r="N24" t="s" s="0">
        <v>750</v>
      </c>
      <c r="O24" t="s" s="0">
        <v>751</v>
      </c>
      <c r="P24" t="s" s="0">
        <v>752</v>
      </c>
      <c r="Q24" t="s" s="0">
        <v>90</v>
      </c>
      <c r="R24" t="s" s="0">
        <v>81</v>
      </c>
      <c r="S24" t="s" s="0">
        <v>81</v>
      </c>
      <c r="T24" t="s" s="0">
        <v>81</v>
      </c>
      <c r="U24" t="s" s="0">
        <v>81</v>
      </c>
      <c r="V24" t="s" s="0">
        <v>753</v>
      </c>
      <c r="W24" t="s" s="0">
        <v>754</v>
      </c>
      <c r="X24" t="s" s="0">
        <v>81</v>
      </c>
      <c r="Y24" t="s" s="0">
        <v>81</v>
      </c>
      <c r="Z24" t="s" s="0">
        <v>93</v>
      </c>
      <c r="AA24" t="s" s="0">
        <v>94</v>
      </c>
      <c r="AB24" t="s" s="0">
        <v>81</v>
      </c>
      <c r="AC24" t="s" s="0">
        <v>81</v>
      </c>
      <c r="AD24" t="s" s="0">
        <v>81</v>
      </c>
      <c r="AE24" t="s" s="0">
        <v>81</v>
      </c>
      <c r="AF24" t="s" s="0">
        <v>81</v>
      </c>
      <c r="AG24" t="s" s="0">
        <v>755</v>
      </c>
      <c r="AH24" t="s" s="0">
        <v>756</v>
      </c>
      <c r="AI24" t="s" s="0">
        <v>757</v>
      </c>
      <c r="AJ24" t="s" s="0">
        <v>81</v>
      </c>
      <c r="AK24" t="s" s="0">
        <v>81</v>
      </c>
      <c r="AL24" t="s" s="0">
        <v>361</v>
      </c>
      <c r="AM24" t="s" s="0">
        <v>137</v>
      </c>
      <c r="AN24" t="s" s="0">
        <v>137</v>
      </c>
      <c r="AO24" t="s" s="0">
        <v>213</v>
      </c>
      <c r="AP24" t="s" s="0">
        <v>102</v>
      </c>
      <c r="AQ24" t="s" s="0">
        <v>391</v>
      </c>
      <c r="AR24" t="s" s="0">
        <v>392</v>
      </c>
      <c r="AS24" t="s" s="0">
        <v>393</v>
      </c>
      <c r="AT24" t="s" s="0">
        <v>81</v>
      </c>
      <c r="AU24" t="s" s="0">
        <v>758</v>
      </c>
      <c r="AV24" t="s" s="0">
        <v>81</v>
      </c>
      <c r="AW24" t="s" s="0">
        <v>759</v>
      </c>
      <c r="AX24" t="s" s="0">
        <v>760</v>
      </c>
      <c r="AY24" t="s" s="0">
        <v>343</v>
      </c>
      <c r="AZ24" t="s" s="0">
        <v>212</v>
      </c>
      <c r="BA24" t="s" s="0">
        <v>117</v>
      </c>
      <c r="BB24" t="s" s="0">
        <v>102</v>
      </c>
      <c r="BC24" t="s" s="0">
        <v>81</v>
      </c>
      <c r="BD24" t="s" s="0">
        <v>81</v>
      </c>
      <c r="BE24" t="s" s="0">
        <v>81</v>
      </c>
      <c r="BF24" t="s" s="0">
        <v>81</v>
      </c>
      <c r="BG24" t="s" s="0">
        <v>81</v>
      </c>
      <c r="BH24" t="s" s="0">
        <v>81</v>
      </c>
      <c r="BI24" t="s" s="0">
        <v>81</v>
      </c>
      <c r="BJ24" t="s" s="0">
        <v>761</v>
      </c>
      <c r="BK24" t="s" s="45">
        <f>HYPERLINK("http://dx.doi.org/10.1002/advs.202510931","http://dx.doi.org/10.1002/advs.202510931")</f>
        <v>762</v>
      </c>
      <c r="BL24" t="s" s="0">
        <v>81</v>
      </c>
      <c r="BM24" t="s" s="0">
        <v>763</v>
      </c>
      <c r="BN24" t="s" s="0">
        <v>461</v>
      </c>
      <c r="BO24" t="s" s="0">
        <v>764</v>
      </c>
      <c r="BP24" t="s" s="0">
        <v>765</v>
      </c>
      <c r="BQ24" t="s" s="0">
        <v>766</v>
      </c>
      <c r="BR24" t="s" s="0">
        <v>767</v>
      </c>
      <c r="BS24" t="s" s="0">
        <v>768</v>
      </c>
      <c r="BT24" t="s" s="46">
        <f>HYPERLINK("https://www.webofscience.com/wos/woscc/full-record/WOS:001664846200001","View Record in Web of Science")</f>
        <v>123</v>
      </c>
      <c r="BU24" t="s" s="0">
        <v>191</v>
      </c>
      <c r="BV24" t="s" s="0">
        <v>81</v>
      </c>
      <c r="BW24" t="s" s="0">
        <v>81</v>
      </c>
      <c r="BX24" t="s" s="0">
        <v>124</v>
      </c>
    </row>
    <row r="25">
      <c r="A25" t="s" s="0">
        <v>77</v>
      </c>
      <c r="B25" t="s" s="0">
        <v>77</v>
      </c>
      <c r="C25" t="s" s="0">
        <v>100</v>
      </c>
      <c r="D25" t="s" s="0">
        <v>77</v>
      </c>
      <c r="E25" t="s" s="0">
        <v>769</v>
      </c>
      <c r="F25" t="s" s="0">
        <v>770</v>
      </c>
      <c r="G25" t="s" s="0">
        <v>771</v>
      </c>
      <c r="H25" t="s" s="0">
        <v>81</v>
      </c>
      <c r="I25" t="s" s="0">
        <v>82</v>
      </c>
      <c r="J25" t="s" s="0">
        <v>772</v>
      </c>
      <c r="K25" t="s" s="0">
        <v>773</v>
      </c>
      <c r="L25" t="s" s="0">
        <v>774</v>
      </c>
      <c r="M25" t="s" s="0">
        <v>775</v>
      </c>
      <c r="N25" t="s" s="0">
        <v>776</v>
      </c>
      <c r="O25" t="s" s="0">
        <v>777</v>
      </c>
      <c r="P25" t="s" s="0">
        <v>778</v>
      </c>
      <c r="Q25" t="s" s="0">
        <v>90</v>
      </c>
      <c r="R25" t="s" s="0">
        <v>81</v>
      </c>
      <c r="S25" t="s" s="0">
        <v>81</v>
      </c>
      <c r="T25" t="s" s="0">
        <v>81</v>
      </c>
      <c r="U25" t="s" s="0">
        <v>81</v>
      </c>
      <c r="V25" t="s" s="0">
        <v>779</v>
      </c>
      <c r="W25" t="s" s="0">
        <v>780</v>
      </c>
      <c r="X25" t="s" s="0">
        <v>81</v>
      </c>
      <c r="Y25" t="s" s="0">
        <v>81</v>
      </c>
      <c r="Z25" t="s" s="0">
        <v>93</v>
      </c>
      <c r="AA25" t="s" s="0">
        <v>94</v>
      </c>
      <c r="AB25" t="s" s="0">
        <v>81</v>
      </c>
      <c r="AC25" t="s" s="0">
        <v>81</v>
      </c>
      <c r="AD25" t="s" s="0">
        <v>81</v>
      </c>
      <c r="AE25" t="s" s="0">
        <v>81</v>
      </c>
      <c r="AF25" t="s" s="0">
        <v>81</v>
      </c>
      <c r="AG25" t="s" s="0">
        <v>781</v>
      </c>
      <c r="AH25" t="s" s="0">
        <v>782</v>
      </c>
      <c r="AI25" t="s" s="0">
        <v>783</v>
      </c>
      <c r="AJ25" t="s" s="0">
        <v>784</v>
      </c>
      <c r="AK25" t="s" s="0">
        <v>81</v>
      </c>
      <c r="AL25" t="s" s="0">
        <v>785</v>
      </c>
      <c r="AM25" t="s" s="0">
        <v>333</v>
      </c>
      <c r="AN25" t="s" s="0">
        <v>333</v>
      </c>
      <c r="AO25" t="s" s="0">
        <v>77</v>
      </c>
      <c r="AP25" t="s" s="0">
        <v>117</v>
      </c>
      <c r="AQ25" t="s" s="0">
        <v>786</v>
      </c>
      <c r="AR25" t="s" s="0">
        <v>787</v>
      </c>
      <c r="AS25" t="s" s="0">
        <v>788</v>
      </c>
      <c r="AT25" t="s" s="0">
        <v>789</v>
      </c>
      <c r="AU25" t="s" s="0">
        <v>790</v>
      </c>
      <c r="AV25" t="s" s="0">
        <v>81</v>
      </c>
      <c r="AW25" t="s" s="0">
        <v>791</v>
      </c>
      <c r="AX25" t="s" s="0">
        <v>792</v>
      </c>
      <c r="AY25" t="s" s="0">
        <v>793</v>
      </c>
      <c r="AZ25" t="s" s="0">
        <v>309</v>
      </c>
      <c r="BA25" t="s" s="0">
        <v>794</v>
      </c>
      <c r="BB25" t="s" s="0">
        <v>81</v>
      </c>
      <c r="BC25" t="s" s="0">
        <v>81</v>
      </c>
      <c r="BD25" t="s" s="0">
        <v>81</v>
      </c>
      <c r="BE25" t="s" s="0">
        <v>81</v>
      </c>
      <c r="BF25" t="s" s="0">
        <v>81</v>
      </c>
      <c r="BG25" t="s" s="0">
        <v>81</v>
      </c>
      <c r="BH25" t="s" s="0">
        <v>81</v>
      </c>
      <c r="BI25" t="s" s="0">
        <v>795</v>
      </c>
      <c r="BJ25" t="s" s="0">
        <v>796</v>
      </c>
      <c r="BK25" t="s" s="47">
        <f>HYPERLINK("http://dx.doi.org/10.1016/j.compmedimag.2024.102386","http://dx.doi.org/10.1016/j.compmedimag.2024.102386")</f>
        <v>797</v>
      </c>
      <c r="BL25" t="s" s="0">
        <v>81</v>
      </c>
      <c r="BM25" t="s" s="0">
        <v>798</v>
      </c>
      <c r="BN25" t="s" s="0">
        <v>213</v>
      </c>
      <c r="BO25" t="s" s="0">
        <v>799</v>
      </c>
      <c r="BP25" t="s" s="0">
        <v>800</v>
      </c>
      <c r="BQ25" t="s" s="0">
        <v>801</v>
      </c>
      <c r="BR25" t="s" s="0">
        <v>802</v>
      </c>
      <c r="BS25" t="s" s="0">
        <v>803</v>
      </c>
      <c r="BT25" t="s" s="48">
        <f>HYPERLINK("https://www.webofscience.com/wos/woscc/full-record/WOS:001239082600001","View Record in Web of Science")</f>
        <v>123</v>
      </c>
      <c r="BU25" t="s" s="0">
        <v>81</v>
      </c>
      <c r="BV25" t="s" s="0">
        <v>81</v>
      </c>
      <c r="BW25" t="s" s="0">
        <v>81</v>
      </c>
      <c r="BX25" t="s" s="0">
        <v>124</v>
      </c>
    </row>
    <row r="26">
      <c r="A26" t="s" s="0">
        <v>77</v>
      </c>
      <c r="B26" t="s" s="0">
        <v>77</v>
      </c>
      <c r="C26" t="s" s="0">
        <v>77</v>
      </c>
      <c r="D26" t="s" s="0">
        <v>77</v>
      </c>
      <c r="E26" t="s" s="0">
        <v>804</v>
      </c>
      <c r="F26" t="s" s="0">
        <v>805</v>
      </c>
      <c r="G26" t="s" s="0">
        <v>806</v>
      </c>
      <c r="H26" t="s" s="0">
        <v>81</v>
      </c>
      <c r="I26" t="s" s="0">
        <v>82</v>
      </c>
      <c r="J26" t="s" s="0">
        <v>807</v>
      </c>
      <c r="K26" t="s" s="0">
        <v>808</v>
      </c>
      <c r="L26" t="s" s="0">
        <v>809</v>
      </c>
      <c r="M26" t="s" s="0">
        <v>810</v>
      </c>
      <c r="N26" t="s" s="0">
        <v>811</v>
      </c>
      <c r="O26" t="s" s="0">
        <v>812</v>
      </c>
      <c r="P26" t="s" s="0">
        <v>813</v>
      </c>
      <c r="Q26" t="s" s="0">
        <v>90</v>
      </c>
      <c r="R26" t="s" s="0">
        <v>81</v>
      </c>
      <c r="S26" t="s" s="0">
        <v>81</v>
      </c>
      <c r="T26" t="s" s="0">
        <v>81</v>
      </c>
      <c r="U26" t="s" s="0">
        <v>81</v>
      </c>
      <c r="V26" t="s" s="0">
        <v>814</v>
      </c>
      <c r="W26" t="s" s="0">
        <v>815</v>
      </c>
      <c r="X26" t="s" s="0">
        <v>81</v>
      </c>
      <c r="Y26" t="s" s="0">
        <v>81</v>
      </c>
      <c r="Z26" t="s" s="0">
        <v>93</v>
      </c>
      <c r="AA26" t="s" s="0">
        <v>94</v>
      </c>
      <c r="AB26" t="s" s="0">
        <v>81</v>
      </c>
      <c r="AC26" t="s" s="0">
        <v>81</v>
      </c>
      <c r="AD26" t="s" s="0">
        <v>81</v>
      </c>
      <c r="AE26" t="s" s="0">
        <v>81</v>
      </c>
      <c r="AF26" t="s" s="0">
        <v>81</v>
      </c>
      <c r="AG26" t="s" s="0">
        <v>816</v>
      </c>
      <c r="AH26" t="s" s="0">
        <v>817</v>
      </c>
      <c r="AI26" t="s" s="0">
        <v>81</v>
      </c>
      <c r="AJ26" t="s" s="0">
        <v>81</v>
      </c>
      <c r="AK26" t="s" s="0">
        <v>81</v>
      </c>
      <c r="AL26" t="s" s="0">
        <v>587</v>
      </c>
      <c r="AM26" t="s" s="0">
        <v>77</v>
      </c>
      <c r="AN26" t="s" s="0">
        <v>77</v>
      </c>
      <c r="AO26" t="s" s="0">
        <v>77</v>
      </c>
      <c r="AP26" t="s" s="0">
        <v>77</v>
      </c>
      <c r="AQ26" t="s" s="0">
        <v>620</v>
      </c>
      <c r="AR26" t="s" s="0">
        <v>621</v>
      </c>
      <c r="AS26" t="s" s="0">
        <v>622</v>
      </c>
      <c r="AT26" t="s" s="0">
        <v>818</v>
      </c>
      <c r="AU26" t="s" s="0">
        <v>819</v>
      </c>
      <c r="AV26" t="s" s="0">
        <v>81</v>
      </c>
      <c r="AW26" t="s" s="0">
        <v>820</v>
      </c>
      <c r="AX26" t="s" s="0">
        <v>821</v>
      </c>
      <c r="AY26" t="s" s="0">
        <v>822</v>
      </c>
      <c r="AZ26" t="s" s="0">
        <v>212</v>
      </c>
      <c r="BA26" t="s" s="0">
        <v>823</v>
      </c>
      <c r="BB26" t="s" s="0">
        <v>81</v>
      </c>
      <c r="BC26" t="s" s="0">
        <v>81</v>
      </c>
      <c r="BD26" t="s" s="0">
        <v>101</v>
      </c>
      <c r="BE26" t="s" s="0">
        <v>81</v>
      </c>
      <c r="BF26" t="s" s="0">
        <v>81</v>
      </c>
      <c r="BG26" t="s" s="0">
        <v>81</v>
      </c>
      <c r="BH26" t="s" s="0">
        <v>81</v>
      </c>
      <c r="BI26" t="s" s="0">
        <v>824</v>
      </c>
      <c r="BJ26" t="s" s="0">
        <v>825</v>
      </c>
      <c r="BK26" t="s" s="49">
        <f>HYPERLINK("http://dx.doi.org/10.1016/j.compbiolchem.2026.109224","http://dx.doi.org/10.1016/j.compbiolchem.2026.109224")</f>
        <v>826</v>
      </c>
      <c r="BL26" t="s" s="0">
        <v>81</v>
      </c>
      <c r="BM26" t="s" s="0">
        <v>827</v>
      </c>
      <c r="BN26" t="s" s="0">
        <v>182</v>
      </c>
      <c r="BO26" t="s" s="0">
        <v>828</v>
      </c>
      <c r="BP26" t="s" s="0">
        <v>829</v>
      </c>
      <c r="BQ26" t="s" s="0">
        <v>830</v>
      </c>
      <c r="BR26" t="s" s="0">
        <v>831</v>
      </c>
      <c r="BS26" t="s" s="0">
        <v>832</v>
      </c>
      <c r="BT26" t="s" s="50">
        <f>HYPERLINK("https://www.webofscience.com/wos/woscc/full-record/WOS:001820901100001","View Record in Web of Science")</f>
        <v>123</v>
      </c>
      <c r="BU26" t="s" s="0">
        <v>81</v>
      </c>
      <c r="BV26" t="s" s="0">
        <v>81</v>
      </c>
      <c r="BW26" t="s" s="0">
        <v>81</v>
      </c>
      <c r="BX26" t="s" s="0">
        <v>124</v>
      </c>
    </row>
    <row r="27">
      <c r="A27" t="s" s="0">
        <v>101</v>
      </c>
      <c r="B27" t="s" s="0">
        <v>77</v>
      </c>
      <c r="C27" t="s" s="0">
        <v>405</v>
      </c>
      <c r="D27" t="s" s="0">
        <v>77</v>
      </c>
      <c r="E27" t="s" s="0">
        <v>833</v>
      </c>
      <c r="F27" t="s" s="0">
        <v>834</v>
      </c>
      <c r="G27" t="s" s="0">
        <v>835</v>
      </c>
      <c r="H27" t="s" s="0">
        <v>81</v>
      </c>
      <c r="I27" t="s" s="0">
        <v>82</v>
      </c>
      <c r="J27" t="s" s="0">
        <v>836</v>
      </c>
      <c r="K27" t="s" s="0">
        <v>837</v>
      </c>
      <c r="L27" t="s" s="0">
        <v>838</v>
      </c>
      <c r="M27" t="s" s="0">
        <v>839</v>
      </c>
      <c r="N27" t="s" s="0">
        <v>840</v>
      </c>
      <c r="O27" t="s" s="0">
        <v>841</v>
      </c>
      <c r="P27" t="s" s="0">
        <v>842</v>
      </c>
      <c r="Q27" t="s" s="0">
        <v>90</v>
      </c>
      <c r="R27" t="s" s="0">
        <v>81</v>
      </c>
      <c r="S27" t="s" s="0">
        <v>81</v>
      </c>
      <c r="T27" t="s" s="0">
        <v>81</v>
      </c>
      <c r="U27" t="s" s="0">
        <v>81</v>
      </c>
      <c r="V27" t="s" s="0">
        <v>843</v>
      </c>
      <c r="W27" t="s" s="0">
        <v>844</v>
      </c>
      <c r="X27" t="s" s="0">
        <v>81</v>
      </c>
      <c r="Y27" t="s" s="0">
        <v>81</v>
      </c>
      <c r="Z27" t="s" s="0">
        <v>93</v>
      </c>
      <c r="AA27" t="s" s="0">
        <v>94</v>
      </c>
      <c r="AB27" t="s" s="0">
        <v>81</v>
      </c>
      <c r="AC27" t="s" s="0">
        <v>81</v>
      </c>
      <c r="AD27" t="s" s="0">
        <v>81</v>
      </c>
      <c r="AE27" t="s" s="0">
        <v>81</v>
      </c>
      <c r="AF27" t="s" s="0">
        <v>81</v>
      </c>
      <c r="AG27" t="s" s="0">
        <v>845</v>
      </c>
      <c r="AH27" t="s" s="0">
        <v>846</v>
      </c>
      <c r="AI27" t="s" s="0">
        <v>847</v>
      </c>
      <c r="AJ27" t="s" s="0">
        <v>848</v>
      </c>
      <c r="AK27" t="s" s="0">
        <v>81</v>
      </c>
      <c r="AL27" t="s" s="0">
        <v>849</v>
      </c>
      <c r="AM27" t="s" s="0">
        <v>850</v>
      </c>
      <c r="AN27" t="s" s="0">
        <v>300</v>
      </c>
      <c r="AO27" t="s" s="0">
        <v>301</v>
      </c>
      <c r="AP27" t="s" s="0">
        <v>851</v>
      </c>
      <c r="AQ27" t="s" s="0">
        <v>852</v>
      </c>
      <c r="AR27" t="s" s="0">
        <v>853</v>
      </c>
      <c r="AS27" t="s" s="0">
        <v>854</v>
      </c>
      <c r="AT27" t="s" s="0">
        <v>855</v>
      </c>
      <c r="AU27" t="s" s="0">
        <v>856</v>
      </c>
      <c r="AV27" t="s" s="0">
        <v>81</v>
      </c>
      <c r="AW27" t="s" s="0">
        <v>857</v>
      </c>
      <c r="AX27" t="s" s="0">
        <v>858</v>
      </c>
      <c r="AY27" t="s" s="0">
        <v>859</v>
      </c>
      <c r="AZ27" t="s" s="0">
        <v>181</v>
      </c>
      <c r="BA27" t="s" s="0">
        <v>860</v>
      </c>
      <c r="BB27" t="s" s="0">
        <v>81</v>
      </c>
      <c r="BC27" t="s" s="0">
        <v>81</v>
      </c>
      <c r="BD27" t="s" s="0">
        <v>81</v>
      </c>
      <c r="BE27" t="s" s="0">
        <v>81</v>
      </c>
      <c r="BF27" t="s" s="0">
        <v>81</v>
      </c>
      <c r="BG27" t="s" s="0">
        <v>81</v>
      </c>
      <c r="BH27" t="s" s="0">
        <v>81</v>
      </c>
      <c r="BI27" t="s" s="0">
        <v>861</v>
      </c>
      <c r="BJ27" t="s" s="0">
        <v>862</v>
      </c>
      <c r="BK27" t="s" s="51">
        <f>HYPERLINK("http://dx.doi.org/10.1016/j.jbi.2023.104466","http://dx.doi.org/10.1016/j.jbi.2023.104466")</f>
        <v>863</v>
      </c>
      <c r="BL27" t="s" s="0">
        <v>81</v>
      </c>
      <c r="BM27" t="s" s="0">
        <v>864</v>
      </c>
      <c r="BN27" t="s" s="0">
        <v>182</v>
      </c>
      <c r="BO27" t="s" s="0">
        <v>865</v>
      </c>
      <c r="BP27" t="s" s="0">
        <v>866</v>
      </c>
      <c r="BQ27" t="s" s="0">
        <v>867</v>
      </c>
      <c r="BR27" t="s" s="0">
        <v>868</v>
      </c>
      <c r="BS27" t="s" s="0">
        <v>869</v>
      </c>
      <c r="BT27" t="s" s="52">
        <f>HYPERLINK("https://www.webofscience.com/wos/woscc/full-record/WOS:001064959900001","View Record in Web of Science")</f>
        <v>123</v>
      </c>
      <c r="BU27" t="s" s="0">
        <v>870</v>
      </c>
      <c r="BV27" t="s" s="0">
        <v>81</v>
      </c>
      <c r="BW27" t="s" s="0">
        <v>81</v>
      </c>
      <c r="BX27" t="s" s="0">
        <v>124</v>
      </c>
    </row>
    <row r="28">
      <c r="A28" t="s" s="0">
        <v>77</v>
      </c>
      <c r="B28" t="s" s="0">
        <v>77</v>
      </c>
      <c r="C28" t="s" s="0">
        <v>137</v>
      </c>
      <c r="D28" t="s" s="0">
        <v>77</v>
      </c>
      <c r="E28" t="s" s="0">
        <v>871</v>
      </c>
      <c r="F28" t="s" s="0">
        <v>872</v>
      </c>
      <c r="G28" t="s" s="0">
        <v>873</v>
      </c>
      <c r="H28" t="s" s="0">
        <v>81</v>
      </c>
      <c r="I28" t="s" s="0">
        <v>195</v>
      </c>
      <c r="J28" t="s" s="0">
        <v>874</v>
      </c>
      <c r="K28" t="s" s="0">
        <v>875</v>
      </c>
      <c r="L28" t="s" s="0">
        <v>876</v>
      </c>
      <c r="M28" t="s" s="0">
        <v>877</v>
      </c>
      <c r="N28" t="s" s="0">
        <v>878</v>
      </c>
      <c r="O28" t="s" s="0">
        <v>879</v>
      </c>
      <c r="P28" t="s" s="0">
        <v>880</v>
      </c>
      <c r="Q28" t="s" s="0">
        <v>90</v>
      </c>
      <c r="R28" t="s" s="0">
        <v>81</v>
      </c>
      <c r="S28" t="s" s="0">
        <v>81</v>
      </c>
      <c r="T28" t="s" s="0">
        <v>81</v>
      </c>
      <c r="U28" t="s" s="0">
        <v>81</v>
      </c>
      <c r="V28" t="s" s="0">
        <v>881</v>
      </c>
      <c r="W28" t="s" s="0">
        <v>882</v>
      </c>
      <c r="X28" t="s" s="0">
        <v>81</v>
      </c>
      <c r="Y28" t="s" s="0">
        <v>81</v>
      </c>
      <c r="Z28" t="s" s="0">
        <v>93</v>
      </c>
      <c r="AA28" t="s" s="0">
        <v>94</v>
      </c>
      <c r="AB28" t="s" s="0">
        <v>81</v>
      </c>
      <c r="AC28" t="s" s="0">
        <v>81</v>
      </c>
      <c r="AD28" t="s" s="0">
        <v>81</v>
      </c>
      <c r="AE28" t="s" s="0">
        <v>81</v>
      </c>
      <c r="AF28" t="s" s="0">
        <v>81</v>
      </c>
      <c r="AG28" t="s" s="0">
        <v>883</v>
      </c>
      <c r="AH28" t="s" s="0">
        <v>81</v>
      </c>
      <c r="AI28" t="s" s="0">
        <v>884</v>
      </c>
      <c r="AJ28" t="s" s="0">
        <v>885</v>
      </c>
      <c r="AK28" t="s" s="0">
        <v>81</v>
      </c>
      <c r="AL28" t="s" s="0">
        <v>886</v>
      </c>
      <c r="AM28" t="s" s="0">
        <v>101</v>
      </c>
      <c r="AN28" t="s" s="0">
        <v>101</v>
      </c>
      <c r="AO28" t="s" s="0">
        <v>77</v>
      </c>
      <c r="AP28" t="s" s="0">
        <v>100</v>
      </c>
      <c r="AQ28" t="s" s="0">
        <v>887</v>
      </c>
      <c r="AR28" t="s" s="0">
        <v>269</v>
      </c>
      <c r="AS28" t="s" s="0">
        <v>888</v>
      </c>
      <c r="AT28" t="s" s="0">
        <v>81</v>
      </c>
      <c r="AU28" t="s" s="0">
        <v>889</v>
      </c>
      <c r="AV28" t="s" s="0">
        <v>81</v>
      </c>
      <c r="AW28" t="s" s="0">
        <v>890</v>
      </c>
      <c r="AX28" t="s" s="0">
        <v>891</v>
      </c>
      <c r="AY28" t="s" s="0">
        <v>111</v>
      </c>
      <c r="AZ28" t="s" s="0">
        <v>111</v>
      </c>
      <c r="BA28" t="s" s="0">
        <v>275</v>
      </c>
      <c r="BB28" t="s" s="0">
        <v>81</v>
      </c>
      <c r="BC28" t="s" s="0">
        <v>81</v>
      </c>
      <c r="BD28" t="s" s="0">
        <v>81</v>
      </c>
      <c r="BE28" t="s" s="0">
        <v>81</v>
      </c>
      <c r="BF28" t="s" s="0">
        <v>81</v>
      </c>
      <c r="BG28" t="s" s="0">
        <v>81</v>
      </c>
      <c r="BH28" t="s" s="0">
        <v>81</v>
      </c>
      <c r="BI28" t="s" s="0">
        <v>892</v>
      </c>
      <c r="BJ28" t="s" s="0">
        <v>893</v>
      </c>
      <c r="BK28" t="s" s="53">
        <f>HYPERLINK("http://dx.doi.org/10.1177/11769351251376192","http://dx.doi.org/10.1177/11769351251376192")</f>
        <v>894</v>
      </c>
      <c r="BL28" t="s" s="0">
        <v>81</v>
      </c>
      <c r="BM28" t="s" s="0">
        <v>81</v>
      </c>
      <c r="BN28" t="s" s="0">
        <v>895</v>
      </c>
      <c r="BO28" t="s" s="0">
        <v>896</v>
      </c>
      <c r="BP28" t="s" s="0">
        <v>896</v>
      </c>
      <c r="BQ28" t="s" s="0">
        <v>897</v>
      </c>
      <c r="BR28" t="s" s="0">
        <v>898</v>
      </c>
      <c r="BS28" t="s" s="0">
        <v>899</v>
      </c>
      <c r="BT28" t="s" s="54">
        <f>HYPERLINK("https://www.webofscience.com/wos/woscc/full-record/WOS:001582012200001","View Record in Web of Science")</f>
        <v>123</v>
      </c>
      <c r="BU28" t="s" s="0">
        <v>191</v>
      </c>
      <c r="BV28" t="s" s="0">
        <v>81</v>
      </c>
      <c r="BW28" t="s" s="0">
        <v>81</v>
      </c>
      <c r="BX28" t="s" s="0">
        <v>124</v>
      </c>
    </row>
    <row r="29">
      <c r="A29" t="s" s="0">
        <v>77</v>
      </c>
      <c r="B29" t="s" s="0">
        <v>77</v>
      </c>
      <c r="C29" t="s" s="0">
        <v>77</v>
      </c>
      <c r="D29" t="s" s="0">
        <v>77</v>
      </c>
      <c r="E29" t="s" s="0">
        <v>900</v>
      </c>
      <c r="F29" t="s" s="0">
        <v>901</v>
      </c>
      <c r="G29" t="s" s="0">
        <v>902</v>
      </c>
      <c r="H29" t="s" s="0">
        <v>81</v>
      </c>
      <c r="I29" t="s" s="0">
        <v>82</v>
      </c>
      <c r="J29" t="s" s="0">
        <v>903</v>
      </c>
      <c r="K29" t="s" s="0">
        <v>904</v>
      </c>
      <c r="L29" t="s" s="0">
        <v>905</v>
      </c>
      <c r="M29" t="s" s="0">
        <v>906</v>
      </c>
      <c r="N29" t="s" s="0">
        <v>907</v>
      </c>
      <c r="O29" t="s" s="0">
        <v>908</v>
      </c>
      <c r="P29" t="s" s="0">
        <v>909</v>
      </c>
      <c r="Q29" t="s" s="0">
        <v>90</v>
      </c>
      <c r="R29" t="s" s="0">
        <v>81</v>
      </c>
      <c r="S29" t="s" s="0">
        <v>81</v>
      </c>
      <c r="T29" t="s" s="0">
        <v>81</v>
      </c>
      <c r="U29" t="s" s="0">
        <v>81</v>
      </c>
      <c r="V29" t="s" s="0">
        <v>910</v>
      </c>
      <c r="W29" t="s" s="0">
        <v>911</v>
      </c>
      <c r="X29" t="s" s="0">
        <v>81</v>
      </c>
      <c r="Y29" t="s" s="0">
        <v>81</v>
      </c>
      <c r="Z29" t="s" s="0">
        <v>93</v>
      </c>
      <c r="AA29" t="s" s="0">
        <v>94</v>
      </c>
      <c r="AB29" t="s" s="0">
        <v>81</v>
      </c>
      <c r="AC29" t="s" s="0">
        <v>81</v>
      </c>
      <c r="AD29" t="s" s="0">
        <v>81</v>
      </c>
      <c r="AE29" t="s" s="0">
        <v>81</v>
      </c>
      <c r="AF29" t="s" s="0">
        <v>81</v>
      </c>
      <c r="AG29" t="s" s="0">
        <v>912</v>
      </c>
      <c r="AH29" t="s" s="0">
        <v>81</v>
      </c>
      <c r="AI29" t="s" s="0">
        <v>913</v>
      </c>
      <c r="AJ29" t="s" s="0">
        <v>914</v>
      </c>
      <c r="AK29" t="s" s="0">
        <v>81</v>
      </c>
      <c r="AL29" t="s" s="0">
        <v>915</v>
      </c>
      <c r="AM29" t="s" s="0">
        <v>77</v>
      </c>
      <c r="AN29" t="s" s="0">
        <v>77</v>
      </c>
      <c r="AO29" t="s" s="0">
        <v>301</v>
      </c>
      <c r="AP29" t="s" s="0">
        <v>183</v>
      </c>
      <c r="AQ29" t="s" s="0">
        <v>786</v>
      </c>
      <c r="AR29" t="s" s="0">
        <v>787</v>
      </c>
      <c r="AS29" t="s" s="0">
        <v>788</v>
      </c>
      <c r="AT29" t="s" s="0">
        <v>916</v>
      </c>
      <c r="AU29" t="s" s="0">
        <v>917</v>
      </c>
      <c r="AV29" t="s" s="0">
        <v>81</v>
      </c>
      <c r="AW29" t="s" s="0">
        <v>918</v>
      </c>
      <c r="AX29" t="s" s="0">
        <v>919</v>
      </c>
      <c r="AY29" t="s" s="0">
        <v>920</v>
      </c>
      <c r="AZ29" t="s" s="0">
        <v>111</v>
      </c>
      <c r="BA29" t="s" s="0">
        <v>921</v>
      </c>
      <c r="BB29" t="s" s="0">
        <v>81</v>
      </c>
      <c r="BC29" t="s" s="0">
        <v>81</v>
      </c>
      <c r="BD29" t="s" s="0">
        <v>81</v>
      </c>
      <c r="BE29" t="s" s="0">
        <v>81</v>
      </c>
      <c r="BF29" t="s" s="0">
        <v>81</v>
      </c>
      <c r="BG29" t="s" s="0">
        <v>81</v>
      </c>
      <c r="BH29" t="s" s="0">
        <v>81</v>
      </c>
      <c r="BI29" t="s" s="0">
        <v>922</v>
      </c>
      <c r="BJ29" t="s" s="0">
        <v>923</v>
      </c>
      <c r="BK29" t="s" s="55">
        <f>HYPERLINK("http://dx.doi.org/10.1016/j.compchemeng.2025.109196","http://dx.doi.org/10.1016/j.compchemeng.2025.109196")</f>
        <v>924</v>
      </c>
      <c r="BL29" t="s" s="0">
        <v>81</v>
      </c>
      <c r="BM29" t="s" s="0">
        <v>741</v>
      </c>
      <c r="BN29" t="s" s="0">
        <v>172</v>
      </c>
      <c r="BO29" t="s" s="0">
        <v>925</v>
      </c>
      <c r="BP29" t="s" s="0">
        <v>633</v>
      </c>
      <c r="BQ29" t="s" s="0">
        <v>926</v>
      </c>
      <c r="BR29" t="s" s="0">
        <v>81</v>
      </c>
      <c r="BS29" t="s" s="0">
        <v>927</v>
      </c>
      <c r="BT29" t="s" s="56">
        <f>HYPERLINK("https://www.webofscience.com/wos/woscc/full-record/WOS:001510366700001","View Record in Web of Science")</f>
        <v>123</v>
      </c>
      <c r="BU29" t="s" s="0">
        <v>81</v>
      </c>
      <c r="BV29" t="s" s="0">
        <v>81</v>
      </c>
      <c r="BW29" t="s" s="0">
        <v>81</v>
      </c>
      <c r="BX29" t="s" s="0">
        <v>124</v>
      </c>
    </row>
    <row r="30">
      <c r="A30" t="s" s="0">
        <v>77</v>
      </c>
      <c r="B30" t="s" s="0">
        <v>77</v>
      </c>
      <c r="C30" t="s" s="0">
        <v>77</v>
      </c>
      <c r="D30" t="s" s="0">
        <v>77</v>
      </c>
      <c r="E30" t="s" s="0">
        <v>928</v>
      </c>
      <c r="F30" t="s" s="0">
        <v>929</v>
      </c>
      <c r="G30" t="s" s="0">
        <v>930</v>
      </c>
      <c r="H30" t="s" s="0">
        <v>81</v>
      </c>
      <c r="I30" t="s" s="0">
        <v>82</v>
      </c>
      <c r="J30" t="s" s="0">
        <v>931</v>
      </c>
      <c r="K30" t="s" s="0">
        <v>932</v>
      </c>
      <c r="L30" t="s" s="0">
        <v>81</v>
      </c>
      <c r="M30" t="s" s="0">
        <v>81</v>
      </c>
      <c r="N30" t="s" s="0">
        <v>81</v>
      </c>
      <c r="O30" t="s" s="0">
        <v>933</v>
      </c>
      <c r="P30" t="s" s="0">
        <v>934</v>
      </c>
      <c r="Q30" t="s" s="0">
        <v>90</v>
      </c>
      <c r="R30" t="s" s="0">
        <v>81</v>
      </c>
      <c r="S30" t="s" s="0">
        <v>81</v>
      </c>
      <c r="T30" t="s" s="0">
        <v>81</v>
      </c>
      <c r="U30" t="s" s="0">
        <v>81</v>
      </c>
      <c r="V30" t="s" s="0">
        <v>935</v>
      </c>
      <c r="W30" t="s" s="0">
        <v>615</v>
      </c>
      <c r="X30" t="s" s="0">
        <v>81</v>
      </c>
      <c r="Y30" t="s" s="0">
        <v>81</v>
      </c>
      <c r="Z30" t="s" s="0">
        <v>93</v>
      </c>
      <c r="AA30" t="s" s="0">
        <v>94</v>
      </c>
      <c r="AB30" t="s" s="0">
        <v>81</v>
      </c>
      <c r="AC30" t="s" s="0">
        <v>81</v>
      </c>
      <c r="AD30" t="s" s="0">
        <v>81</v>
      </c>
      <c r="AE30" t="s" s="0">
        <v>81</v>
      </c>
      <c r="AF30" t="s" s="0">
        <v>81</v>
      </c>
      <c r="AG30" t="s" s="0">
        <v>936</v>
      </c>
      <c r="AH30" t="s" s="0">
        <v>81</v>
      </c>
      <c r="AI30" t="s" s="0">
        <v>81</v>
      </c>
      <c r="AJ30" t="s" s="0">
        <v>81</v>
      </c>
      <c r="AK30" t="s" s="0">
        <v>81</v>
      </c>
      <c r="AL30" t="s" s="0">
        <v>937</v>
      </c>
      <c r="AM30" t="s" s="0">
        <v>77</v>
      </c>
      <c r="AN30" t="s" s="0">
        <v>77</v>
      </c>
      <c r="AO30" t="s" s="0">
        <v>77</v>
      </c>
      <c r="AP30" t="s" s="0">
        <v>77</v>
      </c>
      <c r="AQ30" t="s" s="0">
        <v>620</v>
      </c>
      <c r="AR30" t="s" s="0">
        <v>621</v>
      </c>
      <c r="AS30" t="s" s="0">
        <v>622</v>
      </c>
      <c r="AT30" t="s" s="0">
        <v>623</v>
      </c>
      <c r="AU30" t="s" s="0">
        <v>624</v>
      </c>
      <c r="AV30" t="s" s="0">
        <v>81</v>
      </c>
      <c r="AW30" t="s" s="0">
        <v>625</v>
      </c>
      <c r="AX30" t="s" s="0">
        <v>626</v>
      </c>
      <c r="AY30" t="s" s="0">
        <v>938</v>
      </c>
      <c r="AZ30" t="s" s="0">
        <v>212</v>
      </c>
      <c r="BA30" t="s" s="0">
        <v>939</v>
      </c>
      <c r="BB30" t="s" s="0">
        <v>81</v>
      </c>
      <c r="BC30" t="s" s="0">
        <v>81</v>
      </c>
      <c r="BD30" t="s" s="0">
        <v>940</v>
      </c>
      <c r="BE30" t="s" s="0">
        <v>81</v>
      </c>
      <c r="BF30" t="s" s="0">
        <v>81</v>
      </c>
      <c r="BG30" t="s" s="0">
        <v>81</v>
      </c>
      <c r="BH30" t="s" s="0">
        <v>81</v>
      </c>
      <c r="BI30" t="s" s="0">
        <v>941</v>
      </c>
      <c r="BJ30" t="s" s="0">
        <v>942</v>
      </c>
      <c r="BK30" t="s" s="57">
        <f>HYPERLINK("http://dx.doi.org/10.1016/j.patcog.2026.114306","http://dx.doi.org/10.1016/j.patcog.2026.114306")</f>
        <v>943</v>
      </c>
      <c r="BL30" t="s" s="0">
        <v>81</v>
      </c>
      <c r="BM30" t="s" s="0">
        <v>827</v>
      </c>
      <c r="BN30" t="s" s="0">
        <v>182</v>
      </c>
      <c r="BO30" t="s" s="0">
        <v>632</v>
      </c>
      <c r="BP30" t="s" s="0">
        <v>633</v>
      </c>
      <c r="BQ30" t="s" s="0">
        <v>944</v>
      </c>
      <c r="BR30" t="s" s="0">
        <v>81</v>
      </c>
      <c r="BS30" t="s" s="0">
        <v>945</v>
      </c>
      <c r="BT30" t="s" s="58">
        <f>HYPERLINK("https://www.webofscience.com/wos/woscc/full-record/WOS:001819291100001","View Record in Web of Science")</f>
        <v>123</v>
      </c>
      <c r="BU30" t="s" s="0">
        <v>81</v>
      </c>
      <c r="BV30" t="s" s="0">
        <v>81</v>
      </c>
      <c r="BW30" t="s" s="0">
        <v>81</v>
      </c>
      <c r="BX30" t="s" s="0">
        <v>124</v>
      </c>
    </row>
    <row r="31">
      <c r="A31" t="s" s="0">
        <v>77</v>
      </c>
      <c r="B31" t="s" s="0">
        <v>77</v>
      </c>
      <c r="C31" t="s" s="0">
        <v>77</v>
      </c>
      <c r="D31" t="s" s="0">
        <v>77</v>
      </c>
      <c r="E31" t="s" s="0">
        <v>946</v>
      </c>
      <c r="F31" t="s" s="0">
        <v>947</v>
      </c>
      <c r="G31" t="s" s="0">
        <v>948</v>
      </c>
      <c r="H31" t="s" s="0">
        <v>81</v>
      </c>
      <c r="I31" t="s" s="0">
        <v>82</v>
      </c>
      <c r="J31" t="s" s="0">
        <v>949</v>
      </c>
      <c r="K31" t="s" s="0">
        <v>950</v>
      </c>
      <c r="L31" t="s" s="0">
        <v>951</v>
      </c>
      <c r="M31" t="s" s="0">
        <v>952</v>
      </c>
      <c r="N31" t="s" s="0">
        <v>953</v>
      </c>
      <c r="O31" t="s" s="0">
        <v>954</v>
      </c>
      <c r="P31" t="s" s="0">
        <v>955</v>
      </c>
      <c r="Q31" t="s" s="0">
        <v>90</v>
      </c>
      <c r="R31" t="s" s="0">
        <v>81</v>
      </c>
      <c r="S31" t="s" s="0">
        <v>81</v>
      </c>
      <c r="T31" t="s" s="0">
        <v>81</v>
      </c>
      <c r="U31" t="s" s="0">
        <v>81</v>
      </c>
      <c r="V31" t="s" s="0">
        <v>956</v>
      </c>
      <c r="W31" t="s" s="0">
        <v>585</v>
      </c>
      <c r="X31" t="s" s="0">
        <v>81</v>
      </c>
      <c r="Y31" t="s" s="0">
        <v>81</v>
      </c>
      <c r="Z31" t="s" s="0">
        <v>93</v>
      </c>
      <c r="AA31" t="s" s="0">
        <v>94</v>
      </c>
      <c r="AB31" t="s" s="0">
        <v>81</v>
      </c>
      <c r="AC31" t="s" s="0">
        <v>81</v>
      </c>
      <c r="AD31" t="s" s="0">
        <v>81</v>
      </c>
      <c r="AE31" t="s" s="0">
        <v>81</v>
      </c>
      <c r="AF31" t="s" s="0">
        <v>81</v>
      </c>
      <c r="AG31" t="s" s="0">
        <v>957</v>
      </c>
      <c r="AH31" t="s" s="0">
        <v>81</v>
      </c>
      <c r="AI31" t="s" s="0">
        <v>958</v>
      </c>
      <c r="AJ31" t="s" s="0">
        <v>959</v>
      </c>
      <c r="AK31" t="s" s="0">
        <v>81</v>
      </c>
      <c r="AL31" t="s" s="0">
        <v>960</v>
      </c>
      <c r="AM31" t="s" s="0">
        <v>101</v>
      </c>
      <c r="AN31" t="s" s="0">
        <v>101</v>
      </c>
      <c r="AO31" t="s" s="0">
        <v>101</v>
      </c>
      <c r="AP31" t="s" s="0">
        <v>183</v>
      </c>
      <c r="AQ31" t="s" s="0">
        <v>588</v>
      </c>
      <c r="AR31" t="s" s="0">
        <v>589</v>
      </c>
      <c r="AS31" t="s" s="0">
        <v>590</v>
      </c>
      <c r="AT31" t="s" s="0">
        <v>591</v>
      </c>
      <c r="AU31" t="s" s="0">
        <v>592</v>
      </c>
      <c r="AV31" t="s" s="0">
        <v>81</v>
      </c>
      <c r="AW31" t="s" s="0">
        <v>593</v>
      </c>
      <c r="AX31" t="s" s="0">
        <v>594</v>
      </c>
      <c r="AY31" t="s" s="0">
        <v>763</v>
      </c>
      <c r="AZ31" t="s" s="0">
        <v>212</v>
      </c>
      <c r="BA31" t="s" s="0">
        <v>595</v>
      </c>
      <c r="BB31" t="s" s="0">
        <v>137</v>
      </c>
      <c r="BC31" t="s" s="0">
        <v>81</v>
      </c>
      <c r="BD31" t="s" s="0">
        <v>81</v>
      </c>
      <c r="BE31" t="s" s="0">
        <v>81</v>
      </c>
      <c r="BF31" t="s" s="0">
        <v>81</v>
      </c>
      <c r="BG31" t="s" s="0">
        <v>961</v>
      </c>
      <c r="BH31" t="s" s="0">
        <v>962</v>
      </c>
      <c r="BI31" t="s" s="0">
        <v>81</v>
      </c>
      <c r="BJ31" t="s" s="0">
        <v>963</v>
      </c>
      <c r="BK31" t="s" s="59">
        <f>HYPERLINK("http://dx.doi.org/10.1109/JBHI.2025.3601059","http://dx.doi.org/10.1109/JBHI.2025.3601059")</f>
        <v>964</v>
      </c>
      <c r="BL31" t="s" s="0">
        <v>81</v>
      </c>
      <c r="BM31" t="s" s="0">
        <v>81</v>
      </c>
      <c r="BN31" t="s" s="0">
        <v>213</v>
      </c>
      <c r="BO31" t="s" s="0">
        <v>600</v>
      </c>
      <c r="BP31" t="s" s="0">
        <v>601</v>
      </c>
      <c r="BQ31" t="s" s="0">
        <v>965</v>
      </c>
      <c r="BR31" t="s" s="0">
        <v>966</v>
      </c>
      <c r="BS31" t="s" s="0">
        <v>967</v>
      </c>
      <c r="BT31" t="s" s="60">
        <f>HYPERLINK("https://www.webofscience.com/wos/woscc/full-record/WOS:001659263300007","View Record in Web of Science")</f>
        <v>123</v>
      </c>
      <c r="BU31" t="s" s="0">
        <v>81</v>
      </c>
      <c r="BV31" t="s" s="0">
        <v>81</v>
      </c>
      <c r="BW31" t="s" s="0">
        <v>81</v>
      </c>
      <c r="BX31" t="s" s="0">
        <v>124</v>
      </c>
    </row>
    <row r="32">
      <c r="A32" t="s" s="0">
        <v>77</v>
      </c>
      <c r="B32" t="s" s="0">
        <v>77</v>
      </c>
      <c r="C32" t="s" s="0">
        <v>77</v>
      </c>
      <c r="D32" t="s" s="0">
        <v>77</v>
      </c>
      <c r="E32" t="s" s="0">
        <v>968</v>
      </c>
      <c r="F32" t="s" s="0">
        <v>969</v>
      </c>
      <c r="G32" t="s" s="0">
        <v>970</v>
      </c>
      <c r="H32" t="s" s="0">
        <v>81</v>
      </c>
      <c r="I32" t="s" s="0">
        <v>82</v>
      </c>
      <c r="J32" t="s" s="0">
        <v>971</v>
      </c>
      <c r="K32" t="s" s="0">
        <v>972</v>
      </c>
      <c r="L32" t="s" s="0">
        <v>973</v>
      </c>
      <c r="M32" t="s" s="0">
        <v>974</v>
      </c>
      <c r="N32" t="s" s="0">
        <v>975</v>
      </c>
      <c r="O32" t="s" s="0">
        <v>976</v>
      </c>
      <c r="P32" t="s" s="0">
        <v>977</v>
      </c>
      <c r="Q32" t="s" s="0">
        <v>90</v>
      </c>
      <c r="R32" t="s" s="0">
        <v>81</v>
      </c>
      <c r="S32" t="s" s="0">
        <v>81</v>
      </c>
      <c r="T32" t="s" s="0">
        <v>81</v>
      </c>
      <c r="U32" t="s" s="0">
        <v>81</v>
      </c>
      <c r="V32" t="s" s="0">
        <v>978</v>
      </c>
      <c r="W32" t="s" s="0">
        <v>979</v>
      </c>
      <c r="X32" t="s" s="0">
        <v>81</v>
      </c>
      <c r="Y32" t="s" s="0">
        <v>81</v>
      </c>
      <c r="Z32" t="s" s="0">
        <v>93</v>
      </c>
      <c r="AA32" t="s" s="0">
        <v>94</v>
      </c>
      <c r="AB32" t="s" s="0">
        <v>81</v>
      </c>
      <c r="AC32" t="s" s="0">
        <v>81</v>
      </c>
      <c r="AD32" t="s" s="0">
        <v>81</v>
      </c>
      <c r="AE32" t="s" s="0">
        <v>81</v>
      </c>
      <c r="AF32" t="s" s="0">
        <v>81</v>
      </c>
      <c r="AG32" t="s" s="0">
        <v>81</v>
      </c>
      <c r="AH32" t="s" s="0">
        <v>980</v>
      </c>
      <c r="AI32" t="s" s="0">
        <v>981</v>
      </c>
      <c r="AJ32" t="s" s="0">
        <v>81</v>
      </c>
      <c r="AK32" t="s" s="0">
        <v>81</v>
      </c>
      <c r="AL32" t="s" s="0">
        <v>982</v>
      </c>
      <c r="AM32" t="s" s="0">
        <v>77</v>
      </c>
      <c r="AN32" t="s" s="0">
        <v>77</v>
      </c>
      <c r="AO32" t="s" s="0">
        <v>137</v>
      </c>
      <c r="AP32" t="s" s="0">
        <v>137</v>
      </c>
      <c r="AQ32" t="s" s="0">
        <v>983</v>
      </c>
      <c r="AR32" t="s" s="0">
        <v>984</v>
      </c>
      <c r="AS32" t="s" s="0">
        <v>985</v>
      </c>
      <c r="AT32" t="s" s="0">
        <v>986</v>
      </c>
      <c r="AU32" t="s" s="0">
        <v>987</v>
      </c>
      <c r="AV32" t="s" s="0">
        <v>81</v>
      </c>
      <c r="AW32" t="s" s="0">
        <v>988</v>
      </c>
      <c r="AX32" t="s" s="0">
        <v>989</v>
      </c>
      <c r="AY32" t="s" s="0">
        <v>990</v>
      </c>
      <c r="AZ32" t="s" s="0">
        <v>212</v>
      </c>
      <c r="BA32" t="s" s="0">
        <v>102</v>
      </c>
      <c r="BB32" t="s" s="0">
        <v>333</v>
      </c>
      <c r="BC32" t="s" s="0">
        <v>81</v>
      </c>
      <c r="BD32" t="s" s="0">
        <v>81</v>
      </c>
      <c r="BE32" t="s" s="0">
        <v>81</v>
      </c>
      <c r="BF32" t="s" s="0">
        <v>81</v>
      </c>
      <c r="BG32" t="s" s="0">
        <v>81</v>
      </c>
      <c r="BH32" t="s" s="0">
        <v>81</v>
      </c>
      <c r="BI32" t="s" s="0">
        <v>991</v>
      </c>
      <c r="BJ32" t="s" s="0">
        <v>992</v>
      </c>
      <c r="BK32" t="s" s="61">
        <f>HYPERLINK("http://dx.doi.org/10.1016/j.cels.2026.101594","http://dx.doi.org/10.1016/j.cels.2026.101594")</f>
        <v>993</v>
      </c>
      <c r="BL32" t="s" s="0">
        <v>81</v>
      </c>
      <c r="BM32" t="s" s="0">
        <v>81</v>
      </c>
      <c r="BN32" t="s" s="0">
        <v>275</v>
      </c>
      <c r="BO32" t="s" s="0">
        <v>994</v>
      </c>
      <c r="BP32" t="s" s="0">
        <v>994</v>
      </c>
      <c r="BQ32" t="s" s="0">
        <v>995</v>
      </c>
      <c r="BR32" t="s" s="0">
        <v>996</v>
      </c>
      <c r="BS32" t="s" s="0">
        <v>997</v>
      </c>
      <c r="BT32" t="s" s="62">
        <f>HYPERLINK("https://www.webofscience.com/wos/woscc/full-record/WOS:001804930000001","View Record in Web of Science")</f>
        <v>123</v>
      </c>
      <c r="BU32" t="s" s="0">
        <v>870</v>
      </c>
      <c r="BV32" t="s" s="0">
        <v>81</v>
      </c>
      <c r="BW32" t="s" s="0">
        <v>81</v>
      </c>
      <c r="BX32" t="s" s="0">
        <v>124</v>
      </c>
    </row>
    <row r="33">
      <c r="A33" t="s" s="0">
        <v>137</v>
      </c>
      <c r="B33" t="s" s="0">
        <v>77</v>
      </c>
      <c r="C33" t="s" s="0">
        <v>100</v>
      </c>
      <c r="D33" t="s" s="0">
        <v>77</v>
      </c>
      <c r="E33" t="s" s="0">
        <v>998</v>
      </c>
      <c r="F33" t="s" s="0">
        <v>999</v>
      </c>
      <c r="G33" t="s" s="0">
        <v>1000</v>
      </c>
      <c r="H33" t="s" s="0">
        <v>81</v>
      </c>
      <c r="I33" t="s" s="0">
        <v>82</v>
      </c>
      <c r="J33" t="s" s="0">
        <v>1001</v>
      </c>
      <c r="K33" t="s" s="0">
        <v>1002</v>
      </c>
      <c r="L33" t="s" s="0">
        <v>1003</v>
      </c>
      <c r="M33" t="s" s="0">
        <v>1003</v>
      </c>
      <c r="N33" t="s" s="0">
        <v>497</v>
      </c>
      <c r="O33" t="s" s="0">
        <v>1004</v>
      </c>
      <c r="P33" t="s" s="0">
        <v>1005</v>
      </c>
      <c r="Q33" t="s" s="0">
        <v>90</v>
      </c>
      <c r="R33" t="s" s="0">
        <v>81</v>
      </c>
      <c r="S33" t="s" s="0">
        <v>81</v>
      </c>
      <c r="T33" t="s" s="0">
        <v>81</v>
      </c>
      <c r="U33" t="s" s="0">
        <v>81</v>
      </c>
      <c r="V33" t="s" s="0">
        <v>1006</v>
      </c>
      <c r="W33" t="s" s="0">
        <v>1007</v>
      </c>
      <c r="X33" t="s" s="0">
        <v>81</v>
      </c>
      <c r="Y33" t="s" s="0">
        <v>81</v>
      </c>
      <c r="Z33" t="s" s="0">
        <v>93</v>
      </c>
      <c r="AA33" t="s" s="0">
        <v>94</v>
      </c>
      <c r="AB33" t="s" s="0">
        <v>81</v>
      </c>
      <c r="AC33" t="s" s="0">
        <v>81</v>
      </c>
      <c r="AD33" t="s" s="0">
        <v>81</v>
      </c>
      <c r="AE33" t="s" s="0">
        <v>81</v>
      </c>
      <c r="AF33" t="s" s="0">
        <v>81</v>
      </c>
      <c r="AG33" t="s" s="0">
        <v>1008</v>
      </c>
      <c r="AH33" t="s" s="0">
        <v>1009</v>
      </c>
      <c r="AI33" t="s" s="0">
        <v>1010</v>
      </c>
      <c r="AJ33" t="s" s="0">
        <v>1011</v>
      </c>
      <c r="AK33" t="s" s="0">
        <v>81</v>
      </c>
      <c r="AL33" t="s" s="0">
        <v>1012</v>
      </c>
      <c r="AM33" t="s" s="0">
        <v>652</v>
      </c>
      <c r="AN33" t="s" s="0">
        <v>217</v>
      </c>
      <c r="AO33" t="s" s="0">
        <v>101</v>
      </c>
      <c r="AP33" t="s" s="0">
        <v>785</v>
      </c>
      <c r="AQ33" t="s" s="0">
        <v>588</v>
      </c>
      <c r="AR33" t="s" s="0">
        <v>589</v>
      </c>
      <c r="AS33" t="s" s="0">
        <v>590</v>
      </c>
      <c r="AT33" t="s" s="0">
        <v>1013</v>
      </c>
      <c r="AU33" t="s" s="0">
        <v>1014</v>
      </c>
      <c r="AV33" t="s" s="0">
        <v>81</v>
      </c>
      <c r="AW33" t="s" s="0">
        <v>1015</v>
      </c>
      <c r="AX33" t="s" s="0">
        <v>1016</v>
      </c>
      <c r="AY33" t="s" s="0">
        <v>309</v>
      </c>
      <c r="AZ33" t="s" s="0">
        <v>309</v>
      </c>
      <c r="BA33" t="s" s="0">
        <v>390</v>
      </c>
      <c r="BB33" t="s" s="0">
        <v>81</v>
      </c>
      <c r="BC33" t="s" s="0">
        <v>81</v>
      </c>
      <c r="BD33" t="s" s="0">
        <v>81</v>
      </c>
      <c r="BE33" t="s" s="0">
        <v>81</v>
      </c>
      <c r="BF33" t="s" s="0">
        <v>81</v>
      </c>
      <c r="BG33" t="s" s="0">
        <v>1017</v>
      </c>
      <c r="BH33" t="s" s="0">
        <v>1018</v>
      </c>
      <c r="BI33" t="s" s="0">
        <v>81</v>
      </c>
      <c r="BJ33" t="s" s="0">
        <v>1019</v>
      </c>
      <c r="BK33" t="s" s="63">
        <f>HYPERLINK("http://dx.doi.org/10.1109/TNSRE.2024.3354388","http://dx.doi.org/10.1109/TNSRE.2024.3354388")</f>
        <v>1020</v>
      </c>
      <c r="BL33" t="s" s="0">
        <v>81</v>
      </c>
      <c r="BM33" t="s" s="0">
        <v>81</v>
      </c>
      <c r="BN33" t="s" s="0">
        <v>172</v>
      </c>
      <c r="BO33" t="s" s="0">
        <v>1021</v>
      </c>
      <c r="BP33" t="s" s="0">
        <v>1022</v>
      </c>
      <c r="BQ33" t="s" s="0">
        <v>1023</v>
      </c>
      <c r="BR33" t="s" s="0">
        <v>1024</v>
      </c>
      <c r="BS33" t="s" s="0">
        <v>1025</v>
      </c>
      <c r="BT33" t="s" s="64">
        <f>HYPERLINK("https://www.webofscience.com/wos/woscc/full-record/WOS:001177070200004","View Record in Web of Science")</f>
        <v>123</v>
      </c>
      <c r="BU33" t="s" s="0">
        <v>1026</v>
      </c>
      <c r="BV33" t="s" s="0">
        <v>81</v>
      </c>
      <c r="BW33" t="s" s="0">
        <v>81</v>
      </c>
      <c r="BX33" t="s" s="0">
        <v>124</v>
      </c>
    </row>
    <row r="34">
      <c r="A34" t="s" s="0">
        <v>77</v>
      </c>
      <c r="B34" t="s" s="0">
        <v>77</v>
      </c>
      <c r="C34" t="s" s="0">
        <v>77</v>
      </c>
      <c r="D34" t="s" s="0">
        <v>77</v>
      </c>
      <c r="E34" t="s" s="0">
        <v>1027</v>
      </c>
      <c r="F34" t="s" s="0">
        <v>1028</v>
      </c>
      <c r="G34" t="s" s="0">
        <v>1029</v>
      </c>
      <c r="H34" t="s" s="0">
        <v>81</v>
      </c>
      <c r="I34" t="s" s="0">
        <v>82</v>
      </c>
      <c r="J34" t="s" s="0">
        <v>1030</v>
      </c>
      <c r="K34" t="s" s="0">
        <v>1031</v>
      </c>
      <c r="L34" t="s" s="0">
        <v>1032</v>
      </c>
      <c r="M34" t="s" s="0">
        <v>1033</v>
      </c>
      <c r="N34" t="s" s="0">
        <v>81</v>
      </c>
      <c r="O34" t="s" s="0">
        <v>1034</v>
      </c>
      <c r="P34" t="s" s="0">
        <v>1035</v>
      </c>
      <c r="Q34" t="s" s="0">
        <v>90</v>
      </c>
      <c r="R34" t="s" s="0">
        <v>81</v>
      </c>
      <c r="S34" t="s" s="0">
        <v>81</v>
      </c>
      <c r="T34" t="s" s="0">
        <v>81</v>
      </c>
      <c r="U34" t="s" s="0">
        <v>81</v>
      </c>
      <c r="V34" t="s" s="0">
        <v>1036</v>
      </c>
      <c r="W34" t="s" s="0">
        <v>1037</v>
      </c>
      <c r="X34" t="s" s="0">
        <v>81</v>
      </c>
      <c r="Y34" t="s" s="0">
        <v>81</v>
      </c>
      <c r="Z34" t="s" s="0">
        <v>93</v>
      </c>
      <c r="AA34" t="s" s="0">
        <v>94</v>
      </c>
      <c r="AB34" t="s" s="0">
        <v>81</v>
      </c>
      <c r="AC34" t="s" s="0">
        <v>81</v>
      </c>
      <c r="AD34" t="s" s="0">
        <v>81</v>
      </c>
      <c r="AE34" t="s" s="0">
        <v>81</v>
      </c>
      <c r="AF34" t="s" s="0">
        <v>81</v>
      </c>
      <c r="AG34" t="s" s="0">
        <v>1038</v>
      </c>
      <c r="AH34" t="s" s="0">
        <v>81</v>
      </c>
      <c r="AI34" t="s" s="0">
        <v>1039</v>
      </c>
      <c r="AJ34" t="s" s="0">
        <v>1040</v>
      </c>
      <c r="AK34" t="s" s="0">
        <v>81</v>
      </c>
      <c r="AL34" t="s" s="0">
        <v>595</v>
      </c>
      <c r="AM34" t="s" s="0">
        <v>301</v>
      </c>
      <c r="AN34" t="s" s="0">
        <v>158</v>
      </c>
      <c r="AO34" t="s" s="0">
        <v>301</v>
      </c>
      <c r="AP34" t="s" s="0">
        <v>183</v>
      </c>
      <c r="AQ34" t="s" s="0">
        <v>174</v>
      </c>
      <c r="AR34" t="s" s="0">
        <v>175</v>
      </c>
      <c r="AS34" t="s" s="0">
        <v>208</v>
      </c>
      <c r="AT34" t="s" s="0">
        <v>81</v>
      </c>
      <c r="AU34" t="s" s="0">
        <v>1041</v>
      </c>
      <c r="AV34" t="s" s="0">
        <v>81</v>
      </c>
      <c r="AW34" t="s" s="0">
        <v>1037</v>
      </c>
      <c r="AX34" t="s" s="0">
        <v>1042</v>
      </c>
      <c r="AY34" t="s" s="0">
        <v>1043</v>
      </c>
      <c r="AZ34" t="s" s="0">
        <v>111</v>
      </c>
      <c r="BA34" t="s" s="0">
        <v>102</v>
      </c>
      <c r="BB34" t="s" s="0">
        <v>117</v>
      </c>
      <c r="BC34" t="s" s="0">
        <v>81</v>
      </c>
      <c r="BD34" t="s" s="0">
        <v>81</v>
      </c>
      <c r="BE34" t="s" s="0">
        <v>81</v>
      </c>
      <c r="BF34" t="s" s="0">
        <v>81</v>
      </c>
      <c r="BG34" t="s" s="0">
        <v>81</v>
      </c>
      <c r="BH34" t="s" s="0">
        <v>81</v>
      </c>
      <c r="BI34" t="s" s="0">
        <v>1044</v>
      </c>
      <c r="BJ34" t="s" s="0">
        <v>1045</v>
      </c>
      <c r="BK34" t="s" s="65">
        <f>HYPERLINK("http://dx.doi.org/10.3390/cancers17132115","http://dx.doi.org/10.3390/cancers17132115")</f>
        <v>1046</v>
      </c>
      <c r="BL34" t="s" s="0">
        <v>81</v>
      </c>
      <c r="BM34" t="s" s="0">
        <v>81</v>
      </c>
      <c r="BN34" t="s" s="0">
        <v>213</v>
      </c>
      <c r="BO34" t="s" s="0">
        <v>1047</v>
      </c>
      <c r="BP34" t="s" s="0">
        <v>1047</v>
      </c>
      <c r="BQ34" t="s" s="0">
        <v>1048</v>
      </c>
      <c r="BR34" t="s" s="0">
        <v>1049</v>
      </c>
      <c r="BS34" t="s" s="0">
        <v>1050</v>
      </c>
      <c r="BT34" t="s" s="66">
        <f>HYPERLINK("https://www.webofscience.com/wos/woscc/full-record/WOS:001527122500001","View Record in Web of Science")</f>
        <v>123</v>
      </c>
      <c r="BU34" t="s" s="0">
        <v>191</v>
      </c>
      <c r="BV34" t="s" s="0">
        <v>81</v>
      </c>
      <c r="BW34" t="s" s="0">
        <v>81</v>
      </c>
      <c r="BX34" t="s" s="0">
        <v>124</v>
      </c>
    </row>
    <row r="35">
      <c r="A35" t="s" s="0">
        <v>77</v>
      </c>
      <c r="B35" t="s" s="0">
        <v>77</v>
      </c>
      <c r="C35" t="s" s="0">
        <v>77</v>
      </c>
      <c r="D35" t="s" s="0">
        <v>77</v>
      </c>
      <c r="E35" t="s" s="0">
        <v>1051</v>
      </c>
      <c r="F35" t="s" s="0">
        <v>1052</v>
      </c>
      <c r="G35" t="s" s="0">
        <v>1053</v>
      </c>
      <c r="H35" t="s" s="0">
        <v>81</v>
      </c>
      <c r="I35" t="s" s="0">
        <v>82</v>
      </c>
      <c r="J35" t="s" s="0">
        <v>1054</v>
      </c>
      <c r="K35" t="s" s="0">
        <v>1055</v>
      </c>
      <c r="L35" t="s" s="0">
        <v>1056</v>
      </c>
      <c r="M35" t="s" s="0">
        <v>1056</v>
      </c>
      <c r="N35" t="s" s="0">
        <v>1057</v>
      </c>
      <c r="O35" t="s" s="0">
        <v>1058</v>
      </c>
      <c r="P35" t="s" s="0">
        <v>1059</v>
      </c>
      <c r="Q35" t="s" s="0">
        <v>90</v>
      </c>
      <c r="R35" t="s" s="0">
        <v>81</v>
      </c>
      <c r="S35" t="s" s="0">
        <v>81</v>
      </c>
      <c r="T35" t="s" s="0">
        <v>81</v>
      </c>
      <c r="U35" t="s" s="0">
        <v>81</v>
      </c>
      <c r="V35" t="s" s="0">
        <v>1060</v>
      </c>
      <c r="W35" t="s" s="0">
        <v>1061</v>
      </c>
      <c r="X35" t="s" s="0">
        <v>81</v>
      </c>
      <c r="Y35" t="s" s="0">
        <v>81</v>
      </c>
      <c r="Z35" t="s" s="0">
        <v>93</v>
      </c>
      <c r="AA35" t="s" s="0">
        <v>94</v>
      </c>
      <c r="AB35" t="s" s="0">
        <v>81</v>
      </c>
      <c r="AC35" t="s" s="0">
        <v>81</v>
      </c>
      <c r="AD35" t="s" s="0">
        <v>81</v>
      </c>
      <c r="AE35" t="s" s="0">
        <v>81</v>
      </c>
      <c r="AF35" t="s" s="0">
        <v>81</v>
      </c>
      <c r="AG35" t="s" s="0">
        <v>1062</v>
      </c>
      <c r="AH35" t="s" s="0">
        <v>1063</v>
      </c>
      <c r="AI35" t="s" s="0">
        <v>81</v>
      </c>
      <c r="AJ35" t="s" s="0">
        <v>81</v>
      </c>
      <c r="AK35" t="s" s="0">
        <v>81</v>
      </c>
      <c r="AL35" t="s" s="0">
        <v>703</v>
      </c>
      <c r="AM35" t="s" s="0">
        <v>77</v>
      </c>
      <c r="AN35" t="s" s="0">
        <v>77</v>
      </c>
      <c r="AO35" t="s" s="0">
        <v>100</v>
      </c>
      <c r="AP35" t="s" s="0">
        <v>100</v>
      </c>
      <c r="AQ35" t="s" s="0">
        <v>505</v>
      </c>
      <c r="AR35" t="s" s="0">
        <v>1064</v>
      </c>
      <c r="AS35" t="s" s="0">
        <v>1065</v>
      </c>
      <c r="AT35" t="s" s="0">
        <v>1066</v>
      </c>
      <c r="AU35" t="s" s="0">
        <v>1067</v>
      </c>
      <c r="AV35" t="s" s="0">
        <v>81</v>
      </c>
      <c r="AW35" t="s" s="0">
        <v>1068</v>
      </c>
      <c r="AX35" t="s" s="0">
        <v>1069</v>
      </c>
      <c r="AY35" t="s" s="0">
        <v>279</v>
      </c>
      <c r="AZ35" t="s" s="0">
        <v>212</v>
      </c>
      <c r="BA35" t="s" s="0">
        <v>915</v>
      </c>
      <c r="BB35" t="s" s="0">
        <v>333</v>
      </c>
      <c r="BC35" t="s" s="0">
        <v>81</v>
      </c>
      <c r="BD35" t="s" s="0">
        <v>81</v>
      </c>
      <c r="BE35" t="s" s="0">
        <v>81</v>
      </c>
      <c r="BF35" t="s" s="0">
        <v>81</v>
      </c>
      <c r="BG35" t="s" s="0">
        <v>81</v>
      </c>
      <c r="BH35" t="s" s="0">
        <v>81</v>
      </c>
      <c r="BI35" t="s" s="0">
        <v>1070</v>
      </c>
      <c r="BJ35" t="s" s="0">
        <v>1071</v>
      </c>
      <c r="BK35" t="s" s="67">
        <f>HYPERLINK("http://dx.doi.org/10.1007/s10489-026-07233-x","http://dx.doi.org/10.1007/s10489-026-07233-x")</f>
        <v>1072</v>
      </c>
      <c r="BL35" t="s" s="0">
        <v>81</v>
      </c>
      <c r="BM35" t="s" s="0">
        <v>279</v>
      </c>
      <c r="BN35" t="s" s="0">
        <v>102</v>
      </c>
      <c r="BO35" t="s" s="0">
        <v>488</v>
      </c>
      <c r="BP35" t="s" s="0">
        <v>250</v>
      </c>
      <c r="BQ35" t="s" s="0">
        <v>1073</v>
      </c>
      <c r="BR35" t="s" s="0">
        <v>81</v>
      </c>
      <c r="BS35" t="s" s="0">
        <v>1074</v>
      </c>
      <c r="BT35" t="s" s="68">
        <f>HYPERLINK("https://www.webofscience.com/wos/woscc/full-record/WOS:001748209200004","View Record in Web of Science")</f>
        <v>123</v>
      </c>
      <c r="BU35" t="s" s="0">
        <v>81</v>
      </c>
      <c r="BV35" t="s" s="0">
        <v>81</v>
      </c>
      <c r="BW35" t="s" s="0">
        <v>81</v>
      </c>
      <c r="BX35" t="s" s="0">
        <v>124</v>
      </c>
    </row>
    <row r="36">
      <c r="A36" t="s" s="0">
        <v>77</v>
      </c>
      <c r="B36" t="s" s="0">
        <v>77</v>
      </c>
      <c r="C36" t="s" s="0">
        <v>77</v>
      </c>
      <c r="D36" t="s" s="0">
        <v>77</v>
      </c>
      <c r="E36" t="s" s="0">
        <v>1075</v>
      </c>
      <c r="F36" t="s" s="0">
        <v>1076</v>
      </c>
      <c r="G36" t="s" s="0">
        <v>1077</v>
      </c>
      <c r="H36" t="s" s="0">
        <v>81</v>
      </c>
      <c r="I36" t="s" s="0">
        <v>82</v>
      </c>
      <c r="J36" t="s" s="0">
        <v>1078</v>
      </c>
      <c r="K36" t="s" s="0">
        <v>1079</v>
      </c>
      <c r="L36" t="s" s="0">
        <v>81</v>
      </c>
      <c r="M36" t="s" s="0">
        <v>81</v>
      </c>
      <c r="N36" t="s" s="0">
        <v>81</v>
      </c>
      <c r="O36" t="s" s="0">
        <v>1080</v>
      </c>
      <c r="P36" t="s" s="0">
        <v>1081</v>
      </c>
      <c r="Q36" t="s" s="0">
        <v>90</v>
      </c>
      <c r="R36" t="s" s="0">
        <v>81</v>
      </c>
      <c r="S36" t="s" s="0">
        <v>81</v>
      </c>
      <c r="T36" t="s" s="0">
        <v>81</v>
      </c>
      <c r="U36" t="s" s="0">
        <v>81</v>
      </c>
      <c r="V36" t="s" s="0">
        <v>1082</v>
      </c>
      <c r="W36" t="s" s="0">
        <v>1083</v>
      </c>
      <c r="X36" t="s" s="0">
        <v>81</v>
      </c>
      <c r="Y36" t="s" s="0">
        <v>81</v>
      </c>
      <c r="Z36" t="s" s="0">
        <v>93</v>
      </c>
      <c r="AA36" t="s" s="0">
        <v>94</v>
      </c>
      <c r="AB36" t="s" s="0">
        <v>81</v>
      </c>
      <c r="AC36" t="s" s="0">
        <v>81</v>
      </c>
      <c r="AD36" t="s" s="0">
        <v>81</v>
      </c>
      <c r="AE36" t="s" s="0">
        <v>81</v>
      </c>
      <c r="AF36" t="s" s="0">
        <v>81</v>
      </c>
      <c r="AG36" t="s" s="0">
        <v>81</v>
      </c>
      <c r="AH36" t="s" s="0">
        <v>81</v>
      </c>
      <c r="AI36" t="s" s="0">
        <v>1084</v>
      </c>
      <c r="AJ36" t="s" s="0">
        <v>81</v>
      </c>
      <c r="AK36" t="s" s="0">
        <v>81</v>
      </c>
      <c r="AL36" t="s" s="0">
        <v>1085</v>
      </c>
      <c r="AM36" t="s" s="0">
        <v>77</v>
      </c>
      <c r="AN36" t="s" s="0">
        <v>137</v>
      </c>
      <c r="AO36" t="s" s="0">
        <v>172</v>
      </c>
      <c r="AP36" t="s" s="0">
        <v>172</v>
      </c>
      <c r="AQ36" t="s" s="0">
        <v>302</v>
      </c>
      <c r="AR36" t="s" s="0">
        <v>303</v>
      </c>
      <c r="AS36" t="s" s="0">
        <v>304</v>
      </c>
      <c r="AT36" t="s" s="0">
        <v>1086</v>
      </c>
      <c r="AU36" t="s" s="0">
        <v>81</v>
      </c>
      <c r="AV36" t="s" s="0">
        <v>81</v>
      </c>
      <c r="AW36" t="s" s="0">
        <v>1087</v>
      </c>
      <c r="AX36" t="s" s="0">
        <v>1088</v>
      </c>
      <c r="AY36" t="s" s="0">
        <v>1089</v>
      </c>
      <c r="AZ36" t="s" s="0">
        <v>212</v>
      </c>
      <c r="BA36" t="s" s="0">
        <v>399</v>
      </c>
      <c r="BB36" t="s" s="0">
        <v>137</v>
      </c>
      <c r="BC36" t="s" s="0">
        <v>81</v>
      </c>
      <c r="BD36" t="s" s="0">
        <v>81</v>
      </c>
      <c r="BE36" t="s" s="0">
        <v>81</v>
      </c>
      <c r="BF36" t="s" s="0">
        <v>81</v>
      </c>
      <c r="BG36" t="s" s="0">
        <v>81</v>
      </c>
      <c r="BH36" t="s" s="0">
        <v>81</v>
      </c>
      <c r="BI36" t="s" s="0">
        <v>1090</v>
      </c>
      <c r="BJ36" t="s" s="0">
        <v>1091</v>
      </c>
      <c r="BK36" t="s" s="69">
        <f>HYPERLINK("http://dx.doi.org/10.1038/s41746-025-02295-6","http://dx.doi.org/10.1038/s41746-025-02295-6")</f>
        <v>1092</v>
      </c>
      <c r="BL36" t="s" s="0">
        <v>81</v>
      </c>
      <c r="BM36" t="s" s="0">
        <v>81</v>
      </c>
      <c r="BN36" t="s" s="0">
        <v>217</v>
      </c>
      <c r="BO36" t="s" s="0">
        <v>1093</v>
      </c>
      <c r="BP36" t="s" s="0">
        <v>1093</v>
      </c>
      <c r="BQ36" t="s" s="0">
        <v>1094</v>
      </c>
      <c r="BR36" t="s" s="0">
        <v>1095</v>
      </c>
      <c r="BS36" t="s" s="0">
        <v>1096</v>
      </c>
      <c r="BT36" t="s" s="70">
        <f>HYPERLINK("https://www.webofscience.com/wos/woscc/full-record/WOS:001679395900001","View Record in Web of Science")</f>
        <v>123</v>
      </c>
      <c r="BU36" t="s" s="0">
        <v>191</v>
      </c>
      <c r="BV36" t="s" s="0">
        <v>81</v>
      </c>
      <c r="BW36" t="s" s="0">
        <v>81</v>
      </c>
      <c r="BX36" t="s" s="0">
        <v>124</v>
      </c>
    </row>
    <row r="37">
      <c r="A37" t="s" s="0">
        <v>77</v>
      </c>
      <c r="B37" t="s" s="0">
        <v>77</v>
      </c>
      <c r="C37" t="s" s="0">
        <v>77</v>
      </c>
      <c r="D37" t="s" s="0">
        <v>77</v>
      </c>
      <c r="E37" t="s" s="0">
        <v>1097</v>
      </c>
      <c r="F37" t="s" s="0">
        <v>1098</v>
      </c>
      <c r="G37" t="s" s="0">
        <v>1099</v>
      </c>
      <c r="H37" t="s" s="0">
        <v>81</v>
      </c>
      <c r="I37" t="s" s="0">
        <v>82</v>
      </c>
      <c r="J37" t="s" s="0">
        <v>1100</v>
      </c>
      <c r="K37" t="s" s="0">
        <v>1101</v>
      </c>
      <c r="L37" t="s" s="0">
        <v>1102</v>
      </c>
      <c r="M37" t="s" s="0">
        <v>1103</v>
      </c>
      <c r="N37" t="s" s="0">
        <v>1104</v>
      </c>
      <c r="O37" t="s" s="0">
        <v>1105</v>
      </c>
      <c r="P37" t="s" s="0">
        <v>1106</v>
      </c>
      <c r="Q37" t="s" s="0">
        <v>90</v>
      </c>
      <c r="R37" t="s" s="0">
        <v>81</v>
      </c>
      <c r="S37" t="s" s="0">
        <v>81</v>
      </c>
      <c r="T37" t="s" s="0">
        <v>81</v>
      </c>
      <c r="U37" t="s" s="0">
        <v>81</v>
      </c>
      <c r="V37" t="s" s="0">
        <v>1107</v>
      </c>
      <c r="W37" t="s" s="0">
        <v>1108</v>
      </c>
      <c r="X37" t="s" s="0">
        <v>81</v>
      </c>
      <c r="Y37" t="s" s="0">
        <v>81</v>
      </c>
      <c r="Z37" t="s" s="0">
        <v>93</v>
      </c>
      <c r="AA37" t="s" s="0">
        <v>94</v>
      </c>
      <c r="AB37" t="s" s="0">
        <v>81</v>
      </c>
      <c r="AC37" t="s" s="0">
        <v>81</v>
      </c>
      <c r="AD37" t="s" s="0">
        <v>81</v>
      </c>
      <c r="AE37" t="s" s="0">
        <v>81</v>
      </c>
      <c r="AF37" t="s" s="0">
        <v>81</v>
      </c>
      <c r="AG37" t="s" s="0">
        <v>1109</v>
      </c>
      <c r="AH37" t="s" s="0">
        <v>81</v>
      </c>
      <c r="AI37" t="s" s="0">
        <v>81</v>
      </c>
      <c r="AJ37" t="s" s="0">
        <v>81</v>
      </c>
      <c r="AK37" t="s" s="0">
        <v>81</v>
      </c>
      <c r="AL37" t="s" s="0">
        <v>676</v>
      </c>
      <c r="AM37" t="s" s="0">
        <v>77</v>
      </c>
      <c r="AN37" t="s" s="0">
        <v>77</v>
      </c>
      <c r="AO37" t="s" s="0">
        <v>182</v>
      </c>
      <c r="AP37" t="s" s="0">
        <v>1110</v>
      </c>
      <c r="AQ37" t="s" s="0">
        <v>1111</v>
      </c>
      <c r="AR37" t="s" s="0">
        <v>1112</v>
      </c>
      <c r="AS37" t="s" s="0">
        <v>1113</v>
      </c>
      <c r="AT37" t="s" s="0">
        <v>1114</v>
      </c>
      <c r="AU37" t="s" s="0">
        <v>1115</v>
      </c>
      <c r="AV37" t="s" s="0">
        <v>81</v>
      </c>
      <c r="AW37" t="s" s="0">
        <v>1116</v>
      </c>
      <c r="AX37" t="s" s="0">
        <v>1117</v>
      </c>
      <c r="AY37" t="s" s="0">
        <v>1118</v>
      </c>
      <c r="AZ37" t="s" s="0">
        <v>111</v>
      </c>
      <c r="BA37" t="s" s="0">
        <v>448</v>
      </c>
      <c r="BB37" t="s" s="0">
        <v>158</v>
      </c>
      <c r="BC37" t="s" s="0">
        <v>81</v>
      </c>
      <c r="BD37" t="s" s="0">
        <v>81</v>
      </c>
      <c r="BE37" t="s" s="0">
        <v>81</v>
      </c>
      <c r="BF37" t="s" s="0">
        <v>81</v>
      </c>
      <c r="BG37" t="s" s="0">
        <v>81</v>
      </c>
      <c r="BH37" t="s" s="0">
        <v>81</v>
      </c>
      <c r="BI37" t="s" s="0">
        <v>1119</v>
      </c>
      <c r="BJ37" t="s" s="0">
        <v>1120</v>
      </c>
      <c r="BK37" t="s" s="71">
        <f>HYPERLINK("http://dx.doi.org/10.1117/1.JEI.34.5.053021","http://dx.doi.org/10.1117/1.JEI.34.5.053021")</f>
        <v>1121</v>
      </c>
      <c r="BL37" t="s" s="0">
        <v>81</v>
      </c>
      <c r="BM37" t="s" s="0">
        <v>81</v>
      </c>
      <c r="BN37" t="s" s="0">
        <v>267</v>
      </c>
      <c r="BO37" t="s" s="0">
        <v>462</v>
      </c>
      <c r="BP37" t="s" s="0">
        <v>463</v>
      </c>
      <c r="BQ37" t="s" s="0">
        <v>1122</v>
      </c>
      <c r="BR37" t="s" s="0">
        <v>81</v>
      </c>
      <c r="BS37" t="s" s="0">
        <v>1123</v>
      </c>
      <c r="BT37" t="s" s="72">
        <f>HYPERLINK("https://www.webofscience.com/wos/woscc/full-record/WOS:001607483800013","View Record in Web of Science")</f>
        <v>123</v>
      </c>
      <c r="BU37" t="s" s="0">
        <v>81</v>
      </c>
      <c r="BV37" t="s" s="0">
        <v>81</v>
      </c>
      <c r="BW37" t="s" s="0">
        <v>81</v>
      </c>
      <c r="BX37" t="s" s="0">
        <v>124</v>
      </c>
    </row>
    <row r="38">
      <c r="A38" t="s" s="0">
        <v>77</v>
      </c>
      <c r="B38" t="s" s="0">
        <v>77</v>
      </c>
      <c r="C38" t="s" s="0">
        <v>137</v>
      </c>
      <c r="D38" t="s" s="0">
        <v>77</v>
      </c>
      <c r="E38" t="s" s="0">
        <v>1124</v>
      </c>
      <c r="F38" t="s" s="0">
        <v>1125</v>
      </c>
      <c r="G38" t="s" s="0">
        <v>1126</v>
      </c>
      <c r="H38" t="s" s="0">
        <v>81</v>
      </c>
      <c r="I38" t="s" s="0">
        <v>82</v>
      </c>
      <c r="J38" t="s" s="0">
        <v>1127</v>
      </c>
      <c r="K38" t="s" s="0">
        <v>1128</v>
      </c>
      <c r="L38" t="s" s="0">
        <v>1129</v>
      </c>
      <c r="M38" t="s" s="0">
        <v>199</v>
      </c>
      <c r="N38" t="s" s="0">
        <v>1130</v>
      </c>
      <c r="O38" t="s" s="0">
        <v>1131</v>
      </c>
      <c r="P38" t="s" s="0">
        <v>1132</v>
      </c>
      <c r="Q38" t="s" s="0">
        <v>90</v>
      </c>
      <c r="R38" t="s" s="0">
        <v>81</v>
      </c>
      <c r="S38" t="s" s="0">
        <v>81</v>
      </c>
      <c r="T38" t="s" s="0">
        <v>81</v>
      </c>
      <c r="U38" t="s" s="0">
        <v>81</v>
      </c>
      <c r="V38" t="s" s="0">
        <v>1133</v>
      </c>
      <c r="W38" t="s" s="0">
        <v>1134</v>
      </c>
      <c r="X38" t="s" s="0">
        <v>81</v>
      </c>
      <c r="Y38" t="s" s="0">
        <v>81</v>
      </c>
      <c r="Z38" t="s" s="0">
        <v>93</v>
      </c>
      <c r="AA38" t="s" s="0">
        <v>94</v>
      </c>
      <c r="AB38" t="s" s="0">
        <v>81</v>
      </c>
      <c r="AC38" t="s" s="0">
        <v>81</v>
      </c>
      <c r="AD38" t="s" s="0">
        <v>81</v>
      </c>
      <c r="AE38" t="s" s="0">
        <v>81</v>
      </c>
      <c r="AF38" t="s" s="0">
        <v>81</v>
      </c>
      <c r="AG38" t="s" s="0">
        <v>1135</v>
      </c>
      <c r="AH38" t="s" s="0">
        <v>1136</v>
      </c>
      <c r="AI38" t="s" s="0">
        <v>81</v>
      </c>
      <c r="AJ38" t="s" s="0">
        <v>1137</v>
      </c>
      <c r="AK38" t="s" s="0">
        <v>81</v>
      </c>
      <c r="AL38" t="s" s="0">
        <v>1138</v>
      </c>
      <c r="AM38" t="s" s="0">
        <v>851</v>
      </c>
      <c r="AN38" t="s" s="0">
        <v>207</v>
      </c>
      <c r="AO38" t="s" s="0">
        <v>158</v>
      </c>
      <c r="AP38" t="s" s="0">
        <v>398</v>
      </c>
      <c r="AQ38" t="s" s="0">
        <v>588</v>
      </c>
      <c r="AR38" t="s" s="0">
        <v>589</v>
      </c>
      <c r="AS38" t="s" s="0">
        <v>590</v>
      </c>
      <c r="AT38" t="s" s="0">
        <v>1139</v>
      </c>
      <c r="AU38" t="s" s="0">
        <v>1140</v>
      </c>
      <c r="AV38" t="s" s="0">
        <v>81</v>
      </c>
      <c r="AW38" t="s" s="0">
        <v>1141</v>
      </c>
      <c r="AX38" t="s" s="0">
        <v>1142</v>
      </c>
      <c r="AY38" t="s" s="0">
        <v>512</v>
      </c>
      <c r="AZ38" t="s" s="0">
        <v>309</v>
      </c>
      <c r="BA38" t="s" s="0">
        <v>448</v>
      </c>
      <c r="BB38" t="s" s="0">
        <v>138</v>
      </c>
      <c r="BC38" t="s" s="0">
        <v>81</v>
      </c>
      <c r="BD38" t="s" s="0">
        <v>81</v>
      </c>
      <c r="BE38" t="s" s="0">
        <v>81</v>
      </c>
      <c r="BF38" t="s" s="0">
        <v>81</v>
      </c>
      <c r="BG38" t="s" s="0">
        <v>1143</v>
      </c>
      <c r="BH38" t="s" s="0">
        <v>1144</v>
      </c>
      <c r="BI38" t="s" s="0">
        <v>81</v>
      </c>
      <c r="BJ38" t="s" s="0">
        <v>1145</v>
      </c>
      <c r="BK38" t="s" s="73">
        <f>HYPERLINK("http://dx.doi.org/10.1109/TCSVT.2024.3376564","http://dx.doi.org/10.1109/TCSVT.2024.3376564")</f>
        <v>1146</v>
      </c>
      <c r="BL38" t="s" s="0">
        <v>81</v>
      </c>
      <c r="BM38" t="s" s="0">
        <v>81</v>
      </c>
      <c r="BN38" t="s" s="0">
        <v>213</v>
      </c>
      <c r="BO38" t="s" s="0">
        <v>1147</v>
      </c>
      <c r="BP38" t="s" s="0">
        <v>219</v>
      </c>
      <c r="BQ38" t="s" s="0">
        <v>1148</v>
      </c>
      <c r="BR38" t="s" s="0">
        <v>81</v>
      </c>
      <c r="BS38" t="s" s="0">
        <v>1149</v>
      </c>
      <c r="BT38" t="s" s="74">
        <f>HYPERLINK("https://www.webofscience.com/wos/woscc/full-record/WOS:001327614800020","View Record in Web of Science")</f>
        <v>123</v>
      </c>
      <c r="BU38" t="s" s="0">
        <v>523</v>
      </c>
      <c r="BV38" t="s" s="0">
        <v>81</v>
      </c>
      <c r="BW38" t="s" s="0">
        <v>81</v>
      </c>
      <c r="BX38" t="s" s="0">
        <v>124</v>
      </c>
    </row>
    <row r="39">
      <c r="A39" t="s" s="0">
        <v>77</v>
      </c>
      <c r="B39" t="s" s="0">
        <v>77</v>
      </c>
      <c r="C39" t="s" s="0">
        <v>77</v>
      </c>
      <c r="D39" t="s" s="0">
        <v>77</v>
      </c>
      <c r="E39" t="s" s="0">
        <v>1150</v>
      </c>
      <c r="F39" t="s" s="0">
        <v>1151</v>
      </c>
      <c r="G39" t="s" s="0">
        <v>1152</v>
      </c>
      <c r="H39" t="s" s="0">
        <v>81</v>
      </c>
      <c r="I39" t="s" s="0">
        <v>82</v>
      </c>
      <c r="J39" t="s" s="0">
        <v>1153</v>
      </c>
      <c r="K39" t="s" s="0">
        <v>1154</v>
      </c>
      <c r="L39" t="s" s="0">
        <v>1155</v>
      </c>
      <c r="M39" t="s" s="0">
        <v>1156</v>
      </c>
      <c r="N39" t="s" s="0">
        <v>1157</v>
      </c>
      <c r="O39" t="s" s="0">
        <v>1158</v>
      </c>
      <c r="P39" t="s" s="0">
        <v>1159</v>
      </c>
      <c r="Q39" t="s" s="0">
        <v>90</v>
      </c>
      <c r="R39" t="s" s="0">
        <v>81</v>
      </c>
      <c r="S39" t="s" s="0">
        <v>81</v>
      </c>
      <c r="T39" t="s" s="0">
        <v>81</v>
      </c>
      <c r="U39" t="s" s="0">
        <v>81</v>
      </c>
      <c r="V39" t="s" s="0">
        <v>1160</v>
      </c>
      <c r="W39" t="s" s="0">
        <v>1161</v>
      </c>
      <c r="X39" t="s" s="0">
        <v>81</v>
      </c>
      <c r="Y39" t="s" s="0">
        <v>81</v>
      </c>
      <c r="Z39" t="s" s="0">
        <v>93</v>
      </c>
      <c r="AA39" t="s" s="0">
        <v>94</v>
      </c>
      <c r="AB39" t="s" s="0">
        <v>81</v>
      </c>
      <c r="AC39" t="s" s="0">
        <v>81</v>
      </c>
      <c r="AD39" t="s" s="0">
        <v>81</v>
      </c>
      <c r="AE39" t="s" s="0">
        <v>81</v>
      </c>
      <c r="AF39" t="s" s="0">
        <v>81</v>
      </c>
      <c r="AG39" t="s" s="0">
        <v>1162</v>
      </c>
      <c r="AH39" t="s" s="0">
        <v>1163</v>
      </c>
      <c r="AI39" t="s" s="0">
        <v>1164</v>
      </c>
      <c r="AJ39" t="s" s="0">
        <v>81</v>
      </c>
      <c r="AK39" t="s" s="0">
        <v>81</v>
      </c>
      <c r="AL39" t="s" s="0">
        <v>1165</v>
      </c>
      <c r="AM39" t="s" s="0">
        <v>77</v>
      </c>
      <c r="AN39" t="s" s="0">
        <v>77</v>
      </c>
      <c r="AO39" t="s" s="0">
        <v>100</v>
      </c>
      <c r="AP39" t="s" s="0">
        <v>100</v>
      </c>
      <c r="AQ39" t="s" s="0">
        <v>620</v>
      </c>
      <c r="AR39" t="s" s="0">
        <v>621</v>
      </c>
      <c r="AS39" t="s" s="0">
        <v>622</v>
      </c>
      <c r="AT39" t="s" s="0">
        <v>1166</v>
      </c>
      <c r="AU39" t="s" s="0">
        <v>1167</v>
      </c>
      <c r="AV39" t="s" s="0">
        <v>81</v>
      </c>
      <c r="AW39" t="s" s="0">
        <v>1168</v>
      </c>
      <c r="AX39" t="s" s="0">
        <v>1169</v>
      </c>
      <c r="AY39" t="s" s="0">
        <v>822</v>
      </c>
      <c r="AZ39" t="s" s="0">
        <v>212</v>
      </c>
      <c r="BA39" t="s" s="0">
        <v>1170</v>
      </c>
      <c r="BB39" t="s" s="0">
        <v>81</v>
      </c>
      <c r="BC39" t="s" s="0">
        <v>81</v>
      </c>
      <c r="BD39" t="s" s="0">
        <v>81</v>
      </c>
      <c r="BE39" t="s" s="0">
        <v>81</v>
      </c>
      <c r="BF39" t="s" s="0">
        <v>81</v>
      </c>
      <c r="BG39" t="s" s="0">
        <v>81</v>
      </c>
      <c r="BH39" t="s" s="0">
        <v>81</v>
      </c>
      <c r="BI39" t="s" s="0">
        <v>1171</v>
      </c>
      <c r="BJ39" t="s" s="0">
        <v>1172</v>
      </c>
      <c r="BK39" t="s" s="75">
        <f>HYPERLINK("http://dx.doi.org/10.1016/j.aei.2026.104863","http://dx.doi.org/10.1016/j.aei.2026.104863")</f>
        <v>1173</v>
      </c>
      <c r="BL39" t="s" s="0">
        <v>81</v>
      </c>
      <c r="BM39" t="s" s="0">
        <v>1174</v>
      </c>
      <c r="BN39" t="s" s="0">
        <v>102</v>
      </c>
      <c r="BO39" t="s" s="0">
        <v>1175</v>
      </c>
      <c r="BP39" t="s" s="0">
        <v>633</v>
      </c>
      <c r="BQ39" t="s" s="0">
        <v>1176</v>
      </c>
      <c r="BR39" t="s" s="0">
        <v>81</v>
      </c>
      <c r="BS39" t="s" s="0">
        <v>1177</v>
      </c>
      <c r="BT39" t="s" s="76">
        <f>HYPERLINK("https://www.webofscience.com/wos/woscc/full-record/WOS:001786021700001","View Record in Web of Science")</f>
        <v>123</v>
      </c>
      <c r="BU39" t="s" s="0">
        <v>157</v>
      </c>
      <c r="BV39" t="s" s="0">
        <v>81</v>
      </c>
      <c r="BW39" t="s" s="0">
        <v>81</v>
      </c>
      <c r="BX39" t="s" s="0">
        <v>124</v>
      </c>
    </row>
    <row r="40">
      <c r="A40" t="s" s="0">
        <v>77</v>
      </c>
      <c r="B40" t="s" s="0">
        <v>77</v>
      </c>
      <c r="C40" t="s" s="0">
        <v>77</v>
      </c>
      <c r="D40" t="s" s="0">
        <v>77</v>
      </c>
      <c r="E40" t="s" s="0">
        <v>1178</v>
      </c>
      <c r="F40" t="s" s="0">
        <v>1179</v>
      </c>
      <c r="G40" t="s" s="0">
        <v>1180</v>
      </c>
      <c r="H40" t="s" s="0">
        <v>81</v>
      </c>
      <c r="I40" t="s" s="0">
        <v>82</v>
      </c>
      <c r="J40" t="s" s="0">
        <v>1181</v>
      </c>
      <c r="K40" t="s" s="0">
        <v>1182</v>
      </c>
      <c r="L40" t="s" s="0">
        <v>81</v>
      </c>
      <c r="M40" t="s" s="0">
        <v>81</v>
      </c>
      <c r="N40" t="s" s="0">
        <v>81</v>
      </c>
      <c r="O40" t="s" s="0">
        <v>1183</v>
      </c>
      <c r="P40" t="s" s="0">
        <v>1184</v>
      </c>
      <c r="Q40" t="s" s="0">
        <v>90</v>
      </c>
      <c r="R40" t="s" s="0">
        <v>81</v>
      </c>
      <c r="S40" t="s" s="0">
        <v>81</v>
      </c>
      <c r="T40" t="s" s="0">
        <v>81</v>
      </c>
      <c r="U40" t="s" s="0">
        <v>81</v>
      </c>
      <c r="V40" t="s" s="0">
        <v>1185</v>
      </c>
      <c r="W40" t="s" s="0">
        <v>1186</v>
      </c>
      <c r="X40" t="s" s="0">
        <v>81</v>
      </c>
      <c r="Y40" t="s" s="0">
        <v>81</v>
      </c>
      <c r="Z40" t="s" s="0">
        <v>93</v>
      </c>
      <c r="AA40" t="s" s="0">
        <v>94</v>
      </c>
      <c r="AB40" t="s" s="0">
        <v>81</v>
      </c>
      <c r="AC40" t="s" s="0">
        <v>81</v>
      </c>
      <c r="AD40" t="s" s="0">
        <v>81</v>
      </c>
      <c r="AE40" t="s" s="0">
        <v>81</v>
      </c>
      <c r="AF40" t="s" s="0">
        <v>81</v>
      </c>
      <c r="AG40" t="s" s="0">
        <v>1187</v>
      </c>
      <c r="AH40" t="s" s="0">
        <v>81</v>
      </c>
      <c r="AI40" t="s" s="0">
        <v>1188</v>
      </c>
      <c r="AJ40" t="s" s="0">
        <v>81</v>
      </c>
      <c r="AK40" t="s" s="0">
        <v>81</v>
      </c>
      <c r="AL40" t="s" s="0">
        <v>173</v>
      </c>
      <c r="AM40" t="s" s="0">
        <v>137</v>
      </c>
      <c r="AN40" t="s" s="0">
        <v>137</v>
      </c>
      <c r="AO40" t="s" s="0">
        <v>301</v>
      </c>
      <c r="AP40" t="s" s="0">
        <v>172</v>
      </c>
      <c r="AQ40" t="s" s="0">
        <v>174</v>
      </c>
      <c r="AR40" t="s" s="0">
        <v>175</v>
      </c>
      <c r="AS40" t="s" s="0">
        <v>208</v>
      </c>
      <c r="AT40" t="s" s="0">
        <v>81</v>
      </c>
      <c r="AU40" t="s" s="0">
        <v>1189</v>
      </c>
      <c r="AV40" t="s" s="0">
        <v>81</v>
      </c>
      <c r="AW40" t="s" s="0">
        <v>1190</v>
      </c>
      <c r="AX40" t="s" s="0">
        <v>1191</v>
      </c>
      <c r="AY40" t="s" s="0">
        <v>116</v>
      </c>
      <c r="AZ40" t="s" s="0">
        <v>111</v>
      </c>
      <c r="BA40" t="s" s="0">
        <v>405</v>
      </c>
      <c r="BB40" t="s" s="0">
        <v>137</v>
      </c>
      <c r="BC40" t="s" s="0">
        <v>81</v>
      </c>
      <c r="BD40" t="s" s="0">
        <v>81</v>
      </c>
      <c r="BE40" t="s" s="0">
        <v>81</v>
      </c>
      <c r="BF40" t="s" s="0">
        <v>81</v>
      </c>
      <c r="BG40" t="s" s="0">
        <v>81</v>
      </c>
      <c r="BH40" t="s" s="0">
        <v>81</v>
      </c>
      <c r="BI40" t="s" s="0">
        <v>1192</v>
      </c>
      <c r="BJ40" t="s" s="0">
        <v>1193</v>
      </c>
      <c r="BK40" t="s" s="77">
        <f>HYPERLINK("http://dx.doi.org/10.3390/app15010438","http://dx.doi.org/10.3390/app15010438")</f>
        <v>1194</v>
      </c>
      <c r="BL40" t="s" s="0">
        <v>81</v>
      </c>
      <c r="BM40" t="s" s="0">
        <v>81</v>
      </c>
      <c r="BN40" t="s" s="0">
        <v>461</v>
      </c>
      <c r="BO40" t="s" s="0">
        <v>1195</v>
      </c>
      <c r="BP40" t="s" s="0">
        <v>1196</v>
      </c>
      <c r="BQ40" t="s" s="0">
        <v>1197</v>
      </c>
      <c r="BR40" t="s" s="0">
        <v>81</v>
      </c>
      <c r="BS40" t="s" s="0">
        <v>1198</v>
      </c>
      <c r="BT40" t="s" s="78">
        <f>HYPERLINK("https://www.webofscience.com/wos/woscc/full-record/WOS:001393458900001","View Record in Web of Science")</f>
        <v>123</v>
      </c>
      <c r="BU40" t="s" s="0">
        <v>191</v>
      </c>
      <c r="BV40" t="s" s="0">
        <v>81</v>
      </c>
      <c r="BW40" t="s" s="0">
        <v>81</v>
      </c>
      <c r="BX40" t="s" s="0">
        <v>124</v>
      </c>
    </row>
    <row r="41">
      <c r="A41" t="s" s="0">
        <v>77</v>
      </c>
      <c r="B41" t="s" s="0">
        <v>77</v>
      </c>
      <c r="C41" t="s" s="0">
        <v>77</v>
      </c>
      <c r="D41" t="s" s="0">
        <v>77</v>
      </c>
      <c r="E41" t="s" s="0">
        <v>1199</v>
      </c>
      <c r="F41" t="s" s="0">
        <v>1200</v>
      </c>
      <c r="G41" t="s" s="0">
        <v>1201</v>
      </c>
      <c r="H41" t="s" s="0">
        <v>81</v>
      </c>
      <c r="I41" t="s" s="0">
        <v>82</v>
      </c>
      <c r="J41" t="s" s="0">
        <v>1202</v>
      </c>
      <c r="K41" t="s" s="0">
        <v>1203</v>
      </c>
      <c r="L41" t="s" s="0">
        <v>1204</v>
      </c>
      <c r="M41" t="s" s="0">
        <v>1205</v>
      </c>
      <c r="N41" t="s" s="0">
        <v>1206</v>
      </c>
      <c r="O41" t="s" s="0">
        <v>1207</v>
      </c>
      <c r="P41" t="s" s="0">
        <v>1208</v>
      </c>
      <c r="Q41" t="s" s="0">
        <v>90</v>
      </c>
      <c r="R41" t="s" s="0">
        <v>81</v>
      </c>
      <c r="S41" t="s" s="0">
        <v>81</v>
      </c>
      <c r="T41" t="s" s="0">
        <v>81</v>
      </c>
      <c r="U41" t="s" s="0">
        <v>81</v>
      </c>
      <c r="V41" t="s" s="0">
        <v>1209</v>
      </c>
      <c r="W41" t="s" s="0">
        <v>1210</v>
      </c>
      <c r="X41" t="s" s="0">
        <v>81</v>
      </c>
      <c r="Y41" t="s" s="0">
        <v>81</v>
      </c>
      <c r="Z41" t="s" s="0">
        <v>93</v>
      </c>
      <c r="AA41" t="s" s="0">
        <v>94</v>
      </c>
      <c r="AB41" t="s" s="0">
        <v>81</v>
      </c>
      <c r="AC41" t="s" s="0">
        <v>81</v>
      </c>
      <c r="AD41" t="s" s="0">
        <v>81</v>
      </c>
      <c r="AE41" t="s" s="0">
        <v>81</v>
      </c>
      <c r="AF41" t="s" s="0">
        <v>81</v>
      </c>
      <c r="AG41" t="s" s="0">
        <v>1211</v>
      </c>
      <c r="AH41" t="s" s="0">
        <v>81</v>
      </c>
      <c r="AI41" t="s" s="0">
        <v>81</v>
      </c>
      <c r="AJ41" t="s" s="0">
        <v>81</v>
      </c>
      <c r="AK41" t="s" s="0">
        <v>81</v>
      </c>
      <c r="AL41" t="s" s="0">
        <v>960</v>
      </c>
      <c r="AM41" t="s" s="0">
        <v>77</v>
      </c>
      <c r="AN41" t="s" s="0">
        <v>77</v>
      </c>
      <c r="AO41" t="s" s="0">
        <v>301</v>
      </c>
      <c r="AP41" t="s" s="0">
        <v>301</v>
      </c>
      <c r="AQ41" t="s" s="0">
        <v>140</v>
      </c>
      <c r="AR41" t="s" s="0">
        <v>141</v>
      </c>
      <c r="AS41" t="s" s="0">
        <v>142</v>
      </c>
      <c r="AT41" t="s" s="0">
        <v>1212</v>
      </c>
      <c r="AU41" t="s" s="0">
        <v>1213</v>
      </c>
      <c r="AV41" t="s" s="0">
        <v>81</v>
      </c>
      <c r="AW41" t="s" s="0">
        <v>1214</v>
      </c>
      <c r="AX41" t="s" s="0">
        <v>1215</v>
      </c>
      <c r="AY41" t="s" s="0">
        <v>343</v>
      </c>
      <c r="AZ41" t="s" s="0">
        <v>212</v>
      </c>
      <c r="BA41" t="s" s="0">
        <v>1216</v>
      </c>
      <c r="BB41" t="s" s="0">
        <v>81</v>
      </c>
      <c r="BC41" t="s" s="0">
        <v>81</v>
      </c>
      <c r="BD41" t="s" s="0">
        <v>81</v>
      </c>
      <c r="BE41" t="s" s="0">
        <v>81</v>
      </c>
      <c r="BF41" t="s" s="0">
        <v>81</v>
      </c>
      <c r="BG41" t="s" s="0">
        <v>1217</v>
      </c>
      <c r="BH41" t="s" s="0">
        <v>1218</v>
      </c>
      <c r="BI41" t="s" s="0">
        <v>81</v>
      </c>
      <c r="BJ41" t="s" s="0">
        <v>1219</v>
      </c>
      <c r="BK41" t="s" s="79">
        <f>HYPERLINK("http://dx.doi.org/10.1016/j.aej.2026.01.050","http://dx.doi.org/10.1016/j.aej.2026.01.050")</f>
        <v>1220</v>
      </c>
      <c r="BL41" t="s" s="0">
        <v>81</v>
      </c>
      <c r="BM41" t="s" s="0">
        <v>1221</v>
      </c>
      <c r="BN41" t="s" s="0">
        <v>172</v>
      </c>
      <c r="BO41" t="s" s="0">
        <v>218</v>
      </c>
      <c r="BP41" t="s" s="0">
        <v>219</v>
      </c>
      <c r="BQ41" t="s" s="0">
        <v>1222</v>
      </c>
      <c r="BR41" t="s" s="0">
        <v>81</v>
      </c>
      <c r="BS41" t="s" s="0">
        <v>1223</v>
      </c>
      <c r="BT41" t="s" s="80">
        <f>HYPERLINK("https://www.webofscience.com/wos/woscc/full-record/WOS:001695454700001","View Record in Web of Science")</f>
        <v>123</v>
      </c>
      <c r="BU41" t="s" s="0">
        <v>222</v>
      </c>
      <c r="BV41" t="s" s="0">
        <v>81</v>
      </c>
      <c r="BW41" t="s" s="0">
        <v>81</v>
      </c>
      <c r="BX41" t="s" s="0">
        <v>124</v>
      </c>
    </row>
    <row r="42">
      <c r="A42" t="s" s="0">
        <v>77</v>
      </c>
      <c r="B42" t="s" s="0">
        <v>77</v>
      </c>
      <c r="C42" t="s" s="0">
        <v>77</v>
      </c>
      <c r="D42" t="s" s="0">
        <v>77</v>
      </c>
      <c r="E42" t="s" s="0">
        <v>1224</v>
      </c>
      <c r="F42" t="s" s="0">
        <v>1225</v>
      </c>
      <c r="G42" t="s" s="0">
        <v>1226</v>
      </c>
      <c r="H42" t="s" s="0">
        <v>81</v>
      </c>
      <c r="I42" t="s" s="0">
        <v>195</v>
      </c>
      <c r="J42" t="s" s="0">
        <v>1227</v>
      </c>
      <c r="K42" t="s" s="0">
        <v>1228</v>
      </c>
      <c r="L42" t="s" s="0">
        <v>1229</v>
      </c>
      <c r="M42" t="s" s="0">
        <v>1230</v>
      </c>
      <c r="N42" t="s" s="0">
        <v>1231</v>
      </c>
      <c r="O42" t="s" s="0">
        <v>1232</v>
      </c>
      <c r="P42" t="s" s="0">
        <v>1233</v>
      </c>
      <c r="Q42" t="s" s="0">
        <v>90</v>
      </c>
      <c r="R42" t="s" s="0">
        <v>81</v>
      </c>
      <c r="S42" t="s" s="0">
        <v>81</v>
      </c>
      <c r="T42" t="s" s="0">
        <v>81</v>
      </c>
      <c r="U42" t="s" s="0">
        <v>81</v>
      </c>
      <c r="V42" t="s" s="0">
        <v>1234</v>
      </c>
      <c r="W42" t="s" s="0">
        <v>204</v>
      </c>
      <c r="X42" t="s" s="0">
        <v>81</v>
      </c>
      <c r="Y42" t="s" s="0">
        <v>81</v>
      </c>
      <c r="Z42" t="s" s="0">
        <v>93</v>
      </c>
      <c r="AA42" t="s" s="0">
        <v>94</v>
      </c>
      <c r="AB42" t="s" s="0">
        <v>81</v>
      </c>
      <c r="AC42" t="s" s="0">
        <v>81</v>
      </c>
      <c r="AD42" t="s" s="0">
        <v>81</v>
      </c>
      <c r="AE42" t="s" s="0">
        <v>81</v>
      </c>
      <c r="AF42" t="s" s="0">
        <v>81</v>
      </c>
      <c r="AG42" t="s" s="0">
        <v>1235</v>
      </c>
      <c r="AH42" t="s" s="0">
        <v>81</v>
      </c>
      <c r="AI42" t="s" s="0">
        <v>1236</v>
      </c>
      <c r="AJ42" t="s" s="0">
        <v>81</v>
      </c>
      <c r="AK42" t="s" s="0">
        <v>81</v>
      </c>
      <c r="AL42" t="s" s="0">
        <v>850</v>
      </c>
      <c r="AM42" t="s" s="0">
        <v>77</v>
      </c>
      <c r="AN42" t="s" s="0">
        <v>77</v>
      </c>
      <c r="AO42" t="s" s="0">
        <v>77</v>
      </c>
      <c r="AP42" t="s" s="0">
        <v>77</v>
      </c>
      <c r="AQ42" t="s" s="0">
        <v>174</v>
      </c>
      <c r="AR42" t="s" s="0">
        <v>175</v>
      </c>
      <c r="AS42" t="s" s="0">
        <v>208</v>
      </c>
      <c r="AT42" t="s" s="0">
        <v>81</v>
      </c>
      <c r="AU42" t="s" s="0">
        <v>209</v>
      </c>
      <c r="AV42" t="s" s="0">
        <v>81</v>
      </c>
      <c r="AW42" t="s" s="0">
        <v>204</v>
      </c>
      <c r="AX42" t="s" s="0">
        <v>210</v>
      </c>
      <c r="AY42" t="s" s="0">
        <v>1237</v>
      </c>
      <c r="AZ42" t="s" s="0">
        <v>212</v>
      </c>
      <c r="BA42" t="s" s="0">
        <v>213</v>
      </c>
      <c r="BB42" t="s" s="0">
        <v>158</v>
      </c>
      <c r="BC42" t="s" s="0">
        <v>81</v>
      </c>
      <c r="BD42" t="s" s="0">
        <v>81</v>
      </c>
      <c r="BE42" t="s" s="0">
        <v>81</v>
      </c>
      <c r="BF42" t="s" s="0">
        <v>81</v>
      </c>
      <c r="BG42" t="s" s="0">
        <v>81</v>
      </c>
      <c r="BH42" t="s" s="0">
        <v>81</v>
      </c>
      <c r="BI42" t="s" s="0">
        <v>1238</v>
      </c>
      <c r="BJ42" t="s" s="0">
        <v>1239</v>
      </c>
      <c r="BK42" t="s" s="81">
        <f>HYPERLINK("http://dx.doi.org/10.3390/technologies14050277","http://dx.doi.org/10.3390/technologies14050277")</f>
        <v>1240</v>
      </c>
      <c r="BL42" t="s" s="0">
        <v>81</v>
      </c>
      <c r="BM42" t="s" s="0">
        <v>1174</v>
      </c>
      <c r="BN42" t="s" s="0">
        <v>461</v>
      </c>
      <c r="BO42" t="s" s="0">
        <v>218</v>
      </c>
      <c r="BP42" t="s" s="0">
        <v>219</v>
      </c>
      <c r="BQ42" t="s" s="0">
        <v>1241</v>
      </c>
      <c r="BR42" t="s" s="0">
        <v>81</v>
      </c>
      <c r="BS42" t="s" s="0">
        <v>1242</v>
      </c>
      <c r="BT42" t="s" s="82">
        <f>HYPERLINK("https://www.webofscience.com/wos/woscc/full-record/WOS:001774323600001","View Record in Web of Science")</f>
        <v>123</v>
      </c>
      <c r="BU42" t="s" s="0">
        <v>191</v>
      </c>
      <c r="BV42" t="s" s="0">
        <v>81</v>
      </c>
      <c r="BW42" t="s" s="0">
        <v>81</v>
      </c>
      <c r="BX42" t="s" s="0">
        <v>124</v>
      </c>
    </row>
    <row r="43">
      <c r="A43" t="s" s="0">
        <v>77</v>
      </c>
      <c r="B43" t="s" s="0">
        <v>77</v>
      </c>
      <c r="C43" t="s" s="0">
        <v>77</v>
      </c>
      <c r="D43" t="s" s="0">
        <v>77</v>
      </c>
      <c r="E43" t="s" s="0">
        <v>1243</v>
      </c>
      <c r="F43" t="s" s="0">
        <v>1244</v>
      </c>
      <c r="G43" t="s" s="0">
        <v>1245</v>
      </c>
      <c r="H43" t="s" s="0">
        <v>81</v>
      </c>
      <c r="I43" t="s" s="0">
        <v>82</v>
      </c>
      <c r="J43" t="s" s="0">
        <v>1246</v>
      </c>
      <c r="K43" t="s" s="0">
        <v>1247</v>
      </c>
      <c r="L43" t="s" s="0">
        <v>1248</v>
      </c>
      <c r="M43" t="s" s="0">
        <v>1249</v>
      </c>
      <c r="N43" t="s" s="0">
        <v>1250</v>
      </c>
      <c r="O43" t="s" s="0">
        <v>1251</v>
      </c>
      <c r="P43" t="s" s="0">
        <v>1252</v>
      </c>
      <c r="Q43" t="s" s="0">
        <v>90</v>
      </c>
      <c r="R43" t="s" s="0">
        <v>81</v>
      </c>
      <c r="S43" t="s" s="0">
        <v>81</v>
      </c>
      <c r="T43" t="s" s="0">
        <v>81</v>
      </c>
      <c r="U43" t="s" s="0">
        <v>81</v>
      </c>
      <c r="V43" t="s" s="0">
        <v>1253</v>
      </c>
      <c r="W43" t="s" s="0">
        <v>1254</v>
      </c>
      <c r="X43" t="s" s="0">
        <v>81</v>
      </c>
      <c r="Y43" t="s" s="0">
        <v>81</v>
      </c>
      <c r="Z43" t="s" s="0">
        <v>93</v>
      </c>
      <c r="AA43" t="s" s="0">
        <v>94</v>
      </c>
      <c r="AB43" t="s" s="0">
        <v>81</v>
      </c>
      <c r="AC43" t="s" s="0">
        <v>81</v>
      </c>
      <c r="AD43" t="s" s="0">
        <v>81</v>
      </c>
      <c r="AE43" t="s" s="0">
        <v>81</v>
      </c>
      <c r="AF43" t="s" s="0">
        <v>81</v>
      </c>
      <c r="AG43" t="s" s="0">
        <v>1255</v>
      </c>
      <c r="AH43" t="s" s="0">
        <v>81</v>
      </c>
      <c r="AI43" t="s" s="0">
        <v>81</v>
      </c>
      <c r="AJ43" t="s" s="0">
        <v>81</v>
      </c>
      <c r="AK43" t="s" s="0">
        <v>81</v>
      </c>
      <c r="AL43" t="s" s="0">
        <v>595</v>
      </c>
      <c r="AM43" t="s" s="0">
        <v>77</v>
      </c>
      <c r="AN43" t="s" s="0">
        <v>77</v>
      </c>
      <c r="AO43" t="s" s="0">
        <v>333</v>
      </c>
      <c r="AP43" t="s" s="0">
        <v>333</v>
      </c>
      <c r="AQ43" t="s" s="0">
        <v>620</v>
      </c>
      <c r="AR43" t="s" s="0">
        <v>621</v>
      </c>
      <c r="AS43" t="s" s="0">
        <v>622</v>
      </c>
      <c r="AT43" t="s" s="0">
        <v>1256</v>
      </c>
      <c r="AU43" t="s" s="0">
        <v>1257</v>
      </c>
      <c r="AV43" t="s" s="0">
        <v>81</v>
      </c>
      <c r="AW43" t="s" s="0">
        <v>1258</v>
      </c>
      <c r="AX43" t="s" s="0">
        <v>1259</v>
      </c>
      <c r="AY43" t="s" s="0">
        <v>1260</v>
      </c>
      <c r="AZ43" t="s" s="0">
        <v>212</v>
      </c>
      <c r="BA43" t="s" s="0">
        <v>1261</v>
      </c>
      <c r="BB43" t="s" s="0">
        <v>81</v>
      </c>
      <c r="BC43" t="s" s="0">
        <v>81</v>
      </c>
      <c r="BD43" t="s" s="0">
        <v>628</v>
      </c>
      <c r="BE43" t="s" s="0">
        <v>81</v>
      </c>
      <c r="BF43" t="s" s="0">
        <v>81</v>
      </c>
      <c r="BG43" t="s" s="0">
        <v>81</v>
      </c>
      <c r="BH43" t="s" s="0">
        <v>81</v>
      </c>
      <c r="BI43" t="s" s="0">
        <v>1262</v>
      </c>
      <c r="BJ43" t="s" s="0">
        <v>1263</v>
      </c>
      <c r="BK43" t="s" s="83">
        <f>HYPERLINK("http://dx.doi.org/10.1016/j.bspc.2026.109749","http://dx.doi.org/10.1016/j.bspc.2026.109749")</f>
        <v>1264</v>
      </c>
      <c r="BL43" t="s" s="0">
        <v>81</v>
      </c>
      <c r="BM43" t="s" s="0">
        <v>1221</v>
      </c>
      <c r="BN43" t="s" s="0">
        <v>676</v>
      </c>
      <c r="BO43" t="s" s="0">
        <v>1265</v>
      </c>
      <c r="BP43" t="s" s="0">
        <v>219</v>
      </c>
      <c r="BQ43" t="s" s="0">
        <v>1266</v>
      </c>
      <c r="BR43" t="s" s="0">
        <v>81</v>
      </c>
      <c r="BS43" t="s" s="0">
        <v>1267</v>
      </c>
      <c r="BT43" t="s" s="84">
        <f>HYPERLINK("https://www.webofscience.com/wos/woscc/full-record/WOS:001691530900001","View Record in Web of Science")</f>
        <v>123</v>
      </c>
      <c r="BU43" t="s" s="0">
        <v>81</v>
      </c>
      <c r="BV43" t="s" s="0">
        <v>81</v>
      </c>
      <c r="BW43" t="s" s="0">
        <v>81</v>
      </c>
      <c r="BX43" t="s" s="0">
        <v>124</v>
      </c>
    </row>
    <row r="44">
      <c r="A44" t="s" s="0">
        <v>77</v>
      </c>
      <c r="B44" t="s" s="0">
        <v>77</v>
      </c>
      <c r="C44" t="s" s="0">
        <v>77</v>
      </c>
      <c r="D44" t="s" s="0">
        <v>77</v>
      </c>
      <c r="E44" t="s" s="0">
        <v>1268</v>
      </c>
      <c r="F44" t="s" s="0">
        <v>1269</v>
      </c>
      <c r="G44" t="s" s="0">
        <v>1270</v>
      </c>
      <c r="H44" t="s" s="0">
        <v>81</v>
      </c>
      <c r="I44" t="s" s="0">
        <v>82</v>
      </c>
      <c r="J44" t="s" s="0">
        <v>1271</v>
      </c>
      <c r="K44" t="s" s="0">
        <v>1272</v>
      </c>
      <c r="L44" t="s" s="0">
        <v>81</v>
      </c>
      <c r="M44" t="s" s="0">
        <v>81</v>
      </c>
      <c r="N44" t="s" s="0">
        <v>81</v>
      </c>
      <c r="O44" t="s" s="0">
        <v>1273</v>
      </c>
      <c r="P44" t="s" s="0">
        <v>1274</v>
      </c>
      <c r="Q44" t="s" s="0">
        <v>90</v>
      </c>
      <c r="R44" t="s" s="0">
        <v>81</v>
      </c>
      <c r="S44" t="s" s="0">
        <v>81</v>
      </c>
      <c r="T44" t="s" s="0">
        <v>81</v>
      </c>
      <c r="U44" t="s" s="0">
        <v>81</v>
      </c>
      <c r="V44" t="s" s="0">
        <v>1275</v>
      </c>
      <c r="W44" t="s" s="0">
        <v>1276</v>
      </c>
      <c r="X44" t="s" s="0">
        <v>81</v>
      </c>
      <c r="Y44" t="s" s="0">
        <v>81</v>
      </c>
      <c r="Z44" t="s" s="0">
        <v>93</v>
      </c>
      <c r="AA44" t="s" s="0">
        <v>94</v>
      </c>
      <c r="AB44" t="s" s="0">
        <v>81</v>
      </c>
      <c r="AC44" t="s" s="0">
        <v>81</v>
      </c>
      <c r="AD44" t="s" s="0">
        <v>81</v>
      </c>
      <c r="AE44" t="s" s="0">
        <v>81</v>
      </c>
      <c r="AF44" t="s" s="0">
        <v>81</v>
      </c>
      <c r="AG44" t="s" s="0">
        <v>1277</v>
      </c>
      <c r="AH44" t="s" s="0">
        <v>1278</v>
      </c>
      <c r="AI44" t="s" s="0">
        <v>1279</v>
      </c>
      <c r="AJ44" t="s" s="0">
        <v>81</v>
      </c>
      <c r="AK44" t="s" s="0">
        <v>81</v>
      </c>
      <c r="AL44" t="s" s="0">
        <v>207</v>
      </c>
      <c r="AM44" t="s" s="0">
        <v>137</v>
      </c>
      <c r="AN44" t="s" s="0">
        <v>137</v>
      </c>
      <c r="AO44" t="s" s="0">
        <v>101</v>
      </c>
      <c r="AP44" t="s" s="0">
        <v>399</v>
      </c>
      <c r="AQ44" t="s" s="0">
        <v>140</v>
      </c>
      <c r="AR44" t="s" s="0">
        <v>141</v>
      </c>
      <c r="AS44" t="s" s="0">
        <v>142</v>
      </c>
      <c r="AT44" t="s" s="0">
        <v>1280</v>
      </c>
      <c r="AU44" t="s" s="0">
        <v>81</v>
      </c>
      <c r="AV44" t="s" s="0">
        <v>81</v>
      </c>
      <c r="AW44" t="s" s="0">
        <v>1281</v>
      </c>
      <c r="AX44" t="s" s="0">
        <v>1282</v>
      </c>
      <c r="AY44" t="s" s="0">
        <v>1283</v>
      </c>
      <c r="AZ44" t="s" s="0">
        <v>111</v>
      </c>
      <c r="BA44" t="s" s="0">
        <v>461</v>
      </c>
      <c r="BB44" t="s" s="0">
        <v>301</v>
      </c>
      <c r="BC44" t="s" s="0">
        <v>81</v>
      </c>
      <c r="BD44" t="s" s="0">
        <v>81</v>
      </c>
      <c r="BE44" t="s" s="0">
        <v>81</v>
      </c>
      <c r="BF44" t="s" s="0">
        <v>81</v>
      </c>
      <c r="BG44" t="s" s="0">
        <v>81</v>
      </c>
      <c r="BH44" t="s" s="0">
        <v>81</v>
      </c>
      <c r="BI44" t="s" s="0">
        <v>1284</v>
      </c>
      <c r="BJ44" t="s" s="0">
        <v>1285</v>
      </c>
      <c r="BK44" t="s" s="85">
        <f>HYPERLINK("http://dx.doi.org/10.1016/j.jrras.2025.101959","http://dx.doi.org/10.1016/j.jrras.2025.101959")</f>
        <v>1286</v>
      </c>
      <c r="BL44" t="s" s="0">
        <v>81</v>
      </c>
      <c r="BM44" t="s" s="0">
        <v>116</v>
      </c>
      <c r="BN44" t="s" s="0">
        <v>102</v>
      </c>
      <c r="BO44" t="s" s="0">
        <v>1287</v>
      </c>
      <c r="BP44" t="s" s="0">
        <v>1288</v>
      </c>
      <c r="BQ44" t="s" s="0">
        <v>1289</v>
      </c>
      <c r="BR44" t="s" s="0">
        <v>81</v>
      </c>
      <c r="BS44" t="s" s="0">
        <v>1290</v>
      </c>
      <c r="BT44" t="s" s="86">
        <f>HYPERLINK("https://www.webofscience.com/wos/woscc/full-record/WOS:001588780800001","View Record in Web of Science")</f>
        <v>123</v>
      </c>
      <c r="BU44" t="s" s="0">
        <v>222</v>
      </c>
      <c r="BV44" t="s" s="0">
        <v>81</v>
      </c>
      <c r="BW44" t="s" s="0">
        <v>81</v>
      </c>
      <c r="BX44" t="s" s="0">
        <v>124</v>
      </c>
    </row>
    <row r="45">
      <c r="A45" t="s" s="0">
        <v>77</v>
      </c>
      <c r="B45" t="s" s="0">
        <v>77</v>
      </c>
      <c r="C45" t="s" s="0">
        <v>138</v>
      </c>
      <c r="D45" t="s" s="0">
        <v>77</v>
      </c>
      <c r="E45" t="s" s="0">
        <v>1291</v>
      </c>
      <c r="F45" t="s" s="0">
        <v>1292</v>
      </c>
      <c r="G45" t="s" s="0">
        <v>1293</v>
      </c>
      <c r="H45" t="s" s="0">
        <v>81</v>
      </c>
      <c r="I45" t="s" s="0">
        <v>82</v>
      </c>
      <c r="J45" t="s" s="0">
        <v>1294</v>
      </c>
      <c r="K45" t="s" s="0">
        <v>1295</v>
      </c>
      <c r="L45" t="s" s="0">
        <v>496</v>
      </c>
      <c r="M45" t="s" s="0">
        <v>199</v>
      </c>
      <c r="N45" t="s" s="0">
        <v>497</v>
      </c>
      <c r="O45" t="s" s="0">
        <v>1296</v>
      </c>
      <c r="P45" t="s" s="0">
        <v>1297</v>
      </c>
      <c r="Q45" t="s" s="0">
        <v>90</v>
      </c>
      <c r="R45" t="s" s="0">
        <v>81</v>
      </c>
      <c r="S45" t="s" s="0">
        <v>81</v>
      </c>
      <c r="T45" t="s" s="0">
        <v>81</v>
      </c>
      <c r="U45" t="s" s="0">
        <v>81</v>
      </c>
      <c r="V45" t="s" s="0">
        <v>1298</v>
      </c>
      <c r="W45" t="s" s="0">
        <v>1299</v>
      </c>
      <c r="X45" t="s" s="0">
        <v>81</v>
      </c>
      <c r="Y45" t="s" s="0">
        <v>81</v>
      </c>
      <c r="Z45" t="s" s="0">
        <v>93</v>
      </c>
      <c r="AA45" t="s" s="0">
        <v>94</v>
      </c>
      <c r="AB45" t="s" s="0">
        <v>81</v>
      </c>
      <c r="AC45" t="s" s="0">
        <v>81</v>
      </c>
      <c r="AD45" t="s" s="0">
        <v>81</v>
      </c>
      <c r="AE45" t="s" s="0">
        <v>81</v>
      </c>
      <c r="AF45" t="s" s="0">
        <v>81</v>
      </c>
      <c r="AG45" t="s" s="0">
        <v>1300</v>
      </c>
      <c r="AH45" t="s" s="0">
        <v>1301</v>
      </c>
      <c r="AI45" t="s" s="0">
        <v>1302</v>
      </c>
      <c r="AJ45" t="s" s="0">
        <v>1303</v>
      </c>
      <c r="AK45" t="s" s="0">
        <v>81</v>
      </c>
      <c r="AL45" t="s" s="0">
        <v>207</v>
      </c>
      <c r="AM45" t="s" s="0">
        <v>895</v>
      </c>
      <c r="AN45" t="s" s="0">
        <v>267</v>
      </c>
      <c r="AO45" t="s" s="0">
        <v>137</v>
      </c>
      <c r="AP45" t="s" s="0">
        <v>1110</v>
      </c>
      <c r="AQ45" t="s" s="0">
        <v>1304</v>
      </c>
      <c r="AR45" t="s" s="0">
        <v>1305</v>
      </c>
      <c r="AS45" t="s" s="0">
        <v>1306</v>
      </c>
      <c r="AT45" t="s" s="0">
        <v>1307</v>
      </c>
      <c r="AU45" t="s" s="0">
        <v>81</v>
      </c>
      <c r="AV45" t="s" s="0">
        <v>81</v>
      </c>
      <c r="AW45" t="s" s="0">
        <v>1308</v>
      </c>
      <c r="AX45" t="s" s="0">
        <v>1309</v>
      </c>
      <c r="AY45" t="s" s="0">
        <v>1310</v>
      </c>
      <c r="AZ45" t="s" s="0">
        <v>309</v>
      </c>
      <c r="BA45" t="s" s="0">
        <v>405</v>
      </c>
      <c r="BB45" t="s" s="0">
        <v>137</v>
      </c>
      <c r="BC45" t="s" s="0">
        <v>81</v>
      </c>
      <c r="BD45" t="s" s="0">
        <v>81</v>
      </c>
      <c r="BE45" t="s" s="0">
        <v>81</v>
      </c>
      <c r="BF45" t="s" s="0">
        <v>81</v>
      </c>
      <c r="BG45" t="s" s="0">
        <v>81</v>
      </c>
      <c r="BH45" t="s" s="0">
        <v>81</v>
      </c>
      <c r="BI45" t="s" s="0">
        <v>1311</v>
      </c>
      <c r="BJ45" t="s" s="0">
        <v>1312</v>
      </c>
      <c r="BK45" t="s" s="87">
        <f>HYPERLINK("http://dx.doi.org/10.1186/s13244-024-01784-8","http://dx.doi.org/10.1186/s13244-024-01784-8")</f>
        <v>1313</v>
      </c>
      <c r="BL45" t="s" s="0">
        <v>81</v>
      </c>
      <c r="BM45" t="s" s="0">
        <v>81</v>
      </c>
      <c r="BN45" t="s" s="0">
        <v>117</v>
      </c>
      <c r="BO45" t="s" s="0">
        <v>519</v>
      </c>
      <c r="BP45" t="s" s="0">
        <v>519</v>
      </c>
      <c r="BQ45" t="s" s="0">
        <v>1314</v>
      </c>
      <c r="BR45" t="s" s="0">
        <v>1315</v>
      </c>
      <c r="BS45" t="s" s="0">
        <v>1316</v>
      </c>
      <c r="BT45" t="s" s="88">
        <f>HYPERLINK("https://www.webofscience.com/wos/woscc/full-record/WOS:001298806400001","View Record in Web of Science")</f>
        <v>123</v>
      </c>
      <c r="BU45" t="s" s="0">
        <v>191</v>
      </c>
      <c r="BV45" t="s" s="0">
        <v>81</v>
      </c>
      <c r="BW45" t="s" s="0">
        <v>81</v>
      </c>
      <c r="BX45" t="s" s="0">
        <v>124</v>
      </c>
    </row>
    <row r="46">
      <c r="A46" t="s" s="0">
        <v>77</v>
      </c>
      <c r="B46" t="s" s="0">
        <v>77</v>
      </c>
      <c r="C46" t="s" s="0">
        <v>137</v>
      </c>
      <c r="D46" t="s" s="0">
        <v>77</v>
      </c>
      <c r="E46" t="s" s="0">
        <v>1317</v>
      </c>
      <c r="F46" t="s" s="0">
        <v>1318</v>
      </c>
      <c r="G46" t="s" s="0">
        <v>1319</v>
      </c>
      <c r="H46" t="s" s="0">
        <v>81</v>
      </c>
      <c r="I46" t="s" s="0">
        <v>82</v>
      </c>
      <c r="J46" t="s" s="0">
        <v>1320</v>
      </c>
      <c r="K46" t="s" s="0">
        <v>1321</v>
      </c>
      <c r="L46" t="s" s="0">
        <v>81</v>
      </c>
      <c r="M46" t="s" s="0">
        <v>81</v>
      </c>
      <c r="N46" t="s" s="0">
        <v>81</v>
      </c>
      <c r="O46" t="s" s="0">
        <v>1322</v>
      </c>
      <c r="P46" t="s" s="0">
        <v>1323</v>
      </c>
      <c r="Q46" t="s" s="0">
        <v>90</v>
      </c>
      <c r="R46" t="s" s="0">
        <v>81</v>
      </c>
      <c r="S46" t="s" s="0">
        <v>81</v>
      </c>
      <c r="T46" t="s" s="0">
        <v>81</v>
      </c>
      <c r="U46" t="s" s="0">
        <v>81</v>
      </c>
      <c r="V46" t="s" s="0">
        <v>1324</v>
      </c>
      <c r="W46" t="s" s="0">
        <v>1325</v>
      </c>
      <c r="X46" t="s" s="0">
        <v>81</v>
      </c>
      <c r="Y46" t="s" s="0">
        <v>81</v>
      </c>
      <c r="Z46" t="s" s="0">
        <v>93</v>
      </c>
      <c r="AA46" t="s" s="0">
        <v>94</v>
      </c>
      <c r="AB46" t="s" s="0">
        <v>81</v>
      </c>
      <c r="AC46" t="s" s="0">
        <v>81</v>
      </c>
      <c r="AD46" t="s" s="0">
        <v>81</v>
      </c>
      <c r="AE46" t="s" s="0">
        <v>81</v>
      </c>
      <c r="AF46" t="s" s="0">
        <v>81</v>
      </c>
      <c r="AG46" t="s" s="0">
        <v>1326</v>
      </c>
      <c r="AH46" t="s" s="0">
        <v>1327</v>
      </c>
      <c r="AI46" t="s" s="0">
        <v>1328</v>
      </c>
      <c r="AJ46" t="s" s="0">
        <v>1329</v>
      </c>
      <c r="AK46" t="s" s="0">
        <v>81</v>
      </c>
      <c r="AL46" t="s" s="0">
        <v>1330</v>
      </c>
      <c r="AM46" t="s" s="0">
        <v>399</v>
      </c>
      <c r="AN46" t="s" s="0">
        <v>172</v>
      </c>
      <c r="AO46" t="s" s="0">
        <v>158</v>
      </c>
      <c r="AP46" t="s" s="0">
        <v>1331</v>
      </c>
      <c r="AQ46" t="s" s="0">
        <v>174</v>
      </c>
      <c r="AR46" t="s" s="0">
        <v>175</v>
      </c>
      <c r="AS46" t="s" s="0">
        <v>176</v>
      </c>
      <c r="AT46" t="s" s="0">
        <v>81</v>
      </c>
      <c r="AU46" t="s" s="0">
        <v>1332</v>
      </c>
      <c r="AV46" t="s" s="0">
        <v>81</v>
      </c>
      <c r="AW46" t="s" s="0">
        <v>1333</v>
      </c>
      <c r="AX46" t="s" s="0">
        <v>1334</v>
      </c>
      <c r="AY46" t="s" s="0">
        <v>1335</v>
      </c>
      <c r="AZ46" t="s" s="0">
        <v>309</v>
      </c>
      <c r="BA46" t="s" s="0">
        <v>213</v>
      </c>
      <c r="BB46" t="s" s="0">
        <v>172</v>
      </c>
      <c r="BC46" t="s" s="0">
        <v>81</v>
      </c>
      <c r="BD46" t="s" s="0">
        <v>81</v>
      </c>
      <c r="BE46" t="s" s="0">
        <v>81</v>
      </c>
      <c r="BF46" t="s" s="0">
        <v>81</v>
      </c>
      <c r="BG46" t="s" s="0">
        <v>81</v>
      </c>
      <c r="BH46" t="s" s="0">
        <v>81</v>
      </c>
      <c r="BI46" t="s" s="0">
        <v>1336</v>
      </c>
      <c r="BJ46" t="s" s="0">
        <v>1337</v>
      </c>
      <c r="BK46" t="s" s="89">
        <f>HYPERLINK("http://dx.doi.org/10.3390/brainsci14101018","http://dx.doi.org/10.3390/brainsci14101018")</f>
        <v>1338</v>
      </c>
      <c r="BL46" t="s" s="0">
        <v>81</v>
      </c>
      <c r="BM46" t="s" s="0">
        <v>81</v>
      </c>
      <c r="BN46" t="s" s="0">
        <v>461</v>
      </c>
      <c r="BO46" t="s" s="0">
        <v>1339</v>
      </c>
      <c r="BP46" t="s" s="0">
        <v>370</v>
      </c>
      <c r="BQ46" t="s" s="0">
        <v>1340</v>
      </c>
      <c r="BR46" t="s" s="0">
        <v>1341</v>
      </c>
      <c r="BS46" t="s" s="0">
        <v>1342</v>
      </c>
      <c r="BT46" t="s" s="90">
        <f>HYPERLINK("https://www.webofscience.com/wos/woscc/full-record/WOS:001341843100001","View Record in Web of Science")</f>
        <v>123</v>
      </c>
      <c r="BU46" t="s" s="0">
        <v>191</v>
      </c>
      <c r="BV46" t="s" s="0">
        <v>81</v>
      </c>
      <c r="BW46" t="s" s="0">
        <v>81</v>
      </c>
      <c r="BX46" t="s" s="0">
        <v>124</v>
      </c>
    </row>
    <row r="47">
      <c r="A47" t="s" s="0">
        <v>77</v>
      </c>
      <c r="B47" t="s" s="0">
        <v>77</v>
      </c>
      <c r="C47" t="s" s="0">
        <v>77</v>
      </c>
      <c r="D47" t="s" s="0">
        <v>77</v>
      </c>
      <c r="E47" t="s" s="0">
        <v>1343</v>
      </c>
      <c r="F47" t="s" s="0">
        <v>1344</v>
      </c>
      <c r="G47" t="s" s="0">
        <v>1345</v>
      </c>
      <c r="H47" t="s" s="0">
        <v>81</v>
      </c>
      <c r="I47" t="s" s="0">
        <v>82</v>
      </c>
      <c r="J47" t="s" s="0">
        <v>1346</v>
      </c>
      <c r="K47" t="s" s="0">
        <v>1347</v>
      </c>
      <c r="L47" t="s" s="0">
        <v>1348</v>
      </c>
      <c r="M47" t="s" s="0">
        <v>1349</v>
      </c>
      <c r="N47" t="s" s="0">
        <v>1350</v>
      </c>
      <c r="O47" t="s" s="0">
        <v>1351</v>
      </c>
      <c r="P47" t="s" s="0">
        <v>1352</v>
      </c>
      <c r="Q47" t="s" s="0">
        <v>90</v>
      </c>
      <c r="R47" t="s" s="0">
        <v>81</v>
      </c>
      <c r="S47" t="s" s="0">
        <v>81</v>
      </c>
      <c r="T47" t="s" s="0">
        <v>81</v>
      </c>
      <c r="U47" t="s" s="0">
        <v>81</v>
      </c>
      <c r="V47" t="s" s="0">
        <v>1353</v>
      </c>
      <c r="W47" t="s" s="0">
        <v>1354</v>
      </c>
      <c r="X47" t="s" s="0">
        <v>81</v>
      </c>
      <c r="Y47" t="s" s="0">
        <v>81</v>
      </c>
      <c r="Z47" t="s" s="0">
        <v>93</v>
      </c>
      <c r="AA47" t="s" s="0">
        <v>94</v>
      </c>
      <c r="AB47" t="s" s="0">
        <v>81</v>
      </c>
      <c r="AC47" t="s" s="0">
        <v>81</v>
      </c>
      <c r="AD47" t="s" s="0">
        <v>81</v>
      </c>
      <c r="AE47" t="s" s="0">
        <v>81</v>
      </c>
      <c r="AF47" t="s" s="0">
        <v>81</v>
      </c>
      <c r="AG47" t="s" s="0">
        <v>1355</v>
      </c>
      <c r="AH47" t="s" s="0">
        <v>81</v>
      </c>
      <c r="AI47" t="s" s="0">
        <v>1356</v>
      </c>
      <c r="AJ47" t="s" s="0">
        <v>81</v>
      </c>
      <c r="AK47" t="s" s="0">
        <v>81</v>
      </c>
      <c r="AL47" t="s" s="0">
        <v>1357</v>
      </c>
      <c r="AM47" t="s" s="0">
        <v>137</v>
      </c>
      <c r="AN47" t="s" s="0">
        <v>137</v>
      </c>
      <c r="AO47" t="s" s="0">
        <v>301</v>
      </c>
      <c r="AP47" t="s" s="0">
        <v>301</v>
      </c>
      <c r="AQ47" t="s" s="0">
        <v>174</v>
      </c>
      <c r="AR47" t="s" s="0">
        <v>175</v>
      </c>
      <c r="AS47" t="s" s="0">
        <v>208</v>
      </c>
      <c r="AT47" t="s" s="0">
        <v>81</v>
      </c>
      <c r="AU47" t="s" s="0">
        <v>1358</v>
      </c>
      <c r="AV47" t="s" s="0">
        <v>81</v>
      </c>
      <c r="AW47" t="s" s="0">
        <v>1359</v>
      </c>
      <c r="AX47" t="s" s="0">
        <v>1360</v>
      </c>
      <c r="AY47" t="s" s="0">
        <v>1361</v>
      </c>
      <c r="AZ47" t="s" s="0">
        <v>212</v>
      </c>
      <c r="BA47" t="s" s="0">
        <v>213</v>
      </c>
      <c r="BB47" t="s" s="0">
        <v>172</v>
      </c>
      <c r="BC47" t="s" s="0">
        <v>81</v>
      </c>
      <c r="BD47" t="s" s="0">
        <v>81</v>
      </c>
      <c r="BE47" t="s" s="0">
        <v>81</v>
      </c>
      <c r="BF47" t="s" s="0">
        <v>81</v>
      </c>
      <c r="BG47" t="s" s="0">
        <v>81</v>
      </c>
      <c r="BH47" t="s" s="0">
        <v>81</v>
      </c>
      <c r="BI47" t="s" s="0">
        <v>1362</v>
      </c>
      <c r="BJ47" t="s" s="0">
        <v>1363</v>
      </c>
      <c r="BK47" t="s" s="91">
        <f>HYPERLINK("http://dx.doi.org/10.3390/math14101743","http://dx.doi.org/10.3390/math14101743")</f>
        <v>1364</v>
      </c>
      <c r="BL47" t="s" s="0">
        <v>81</v>
      </c>
      <c r="BM47" t="s" s="0">
        <v>1174</v>
      </c>
      <c r="BN47" t="s" s="0">
        <v>457</v>
      </c>
      <c r="BO47" t="s" s="0">
        <v>1360</v>
      </c>
      <c r="BP47" t="s" s="0">
        <v>1360</v>
      </c>
      <c r="BQ47" t="s" s="0">
        <v>1365</v>
      </c>
      <c r="BR47" t="s" s="0">
        <v>81</v>
      </c>
      <c r="BS47" t="s" s="0">
        <v>1366</v>
      </c>
      <c r="BT47" t="s" s="92">
        <f>HYPERLINK("https://www.webofscience.com/wos/woscc/full-record/WOS:001774989100001","View Record in Web of Science")</f>
        <v>123</v>
      </c>
      <c r="BU47" t="s" s="0">
        <v>191</v>
      </c>
      <c r="BV47" t="s" s="0">
        <v>81</v>
      </c>
      <c r="BW47" t="s" s="0">
        <v>81</v>
      </c>
      <c r="BX47" t="s" s="0">
        <v>124</v>
      </c>
    </row>
    <row r="48">
      <c r="A48" t="s" s="0">
        <v>77</v>
      </c>
      <c r="B48" t="s" s="0">
        <v>77</v>
      </c>
      <c r="C48" t="s" s="0">
        <v>77</v>
      </c>
      <c r="D48" t="s" s="0">
        <v>77</v>
      </c>
      <c r="E48" t="s" s="0">
        <v>1367</v>
      </c>
      <c r="F48" t="s" s="0">
        <v>1368</v>
      </c>
      <c r="G48" t="s" s="0">
        <v>1369</v>
      </c>
      <c r="H48" t="s" s="0">
        <v>81</v>
      </c>
      <c r="I48" t="s" s="0">
        <v>82</v>
      </c>
      <c r="J48" t="s" s="0">
        <v>1370</v>
      </c>
      <c r="K48" t="s" s="0">
        <v>1371</v>
      </c>
      <c r="L48" t="s" s="0">
        <v>81</v>
      </c>
      <c r="M48" t="s" s="0">
        <v>81</v>
      </c>
      <c r="N48" t="s" s="0">
        <v>81</v>
      </c>
      <c r="O48" t="s" s="0">
        <v>1372</v>
      </c>
      <c r="P48" t="s" s="0">
        <v>1373</v>
      </c>
      <c r="Q48" t="s" s="0">
        <v>90</v>
      </c>
      <c r="R48" t="s" s="0">
        <v>81</v>
      </c>
      <c r="S48" t="s" s="0">
        <v>81</v>
      </c>
      <c r="T48" t="s" s="0">
        <v>81</v>
      </c>
      <c r="U48" t="s" s="0">
        <v>81</v>
      </c>
      <c r="V48" t="s" s="0">
        <v>1374</v>
      </c>
      <c r="W48" t="s" s="0">
        <v>1375</v>
      </c>
      <c r="X48" t="s" s="0">
        <v>81</v>
      </c>
      <c r="Y48" t="s" s="0">
        <v>81</v>
      </c>
      <c r="Z48" t="s" s="0">
        <v>93</v>
      </c>
      <c r="AA48" t="s" s="0">
        <v>94</v>
      </c>
      <c r="AB48" t="s" s="0">
        <v>81</v>
      </c>
      <c r="AC48" t="s" s="0">
        <v>81</v>
      </c>
      <c r="AD48" t="s" s="0">
        <v>81</v>
      </c>
      <c r="AE48" t="s" s="0">
        <v>81</v>
      </c>
      <c r="AF48" t="s" s="0">
        <v>81</v>
      </c>
      <c r="AG48" t="s" s="0">
        <v>1376</v>
      </c>
      <c r="AH48" t="s" s="0">
        <v>81</v>
      </c>
      <c r="AI48" t="s" s="0">
        <v>81</v>
      </c>
      <c r="AJ48" t="s" s="0">
        <v>81</v>
      </c>
      <c r="AK48" t="s" s="0">
        <v>81</v>
      </c>
      <c r="AL48" t="s" s="0">
        <v>915</v>
      </c>
      <c r="AM48" t="s" s="0">
        <v>77</v>
      </c>
      <c r="AN48" t="s" s="0">
        <v>77</v>
      </c>
      <c r="AO48" t="s" s="0">
        <v>77</v>
      </c>
      <c r="AP48" t="s" s="0">
        <v>77</v>
      </c>
      <c r="AQ48" t="s" s="0">
        <v>505</v>
      </c>
      <c r="AR48" t="s" s="0">
        <v>506</v>
      </c>
      <c r="AS48" t="s" s="0">
        <v>507</v>
      </c>
      <c r="AT48" t="s" s="0">
        <v>1377</v>
      </c>
      <c r="AU48" t="s" s="0">
        <v>1378</v>
      </c>
      <c r="AV48" t="s" s="0">
        <v>81</v>
      </c>
      <c r="AW48" t="s" s="0">
        <v>1379</v>
      </c>
      <c r="AX48" t="s" s="0">
        <v>1380</v>
      </c>
      <c r="AY48" t="s" s="0">
        <v>427</v>
      </c>
      <c r="AZ48" t="s" s="0">
        <v>212</v>
      </c>
      <c r="BA48" t="s" s="0">
        <v>390</v>
      </c>
      <c r="BB48" t="s" s="0">
        <v>183</v>
      </c>
      <c r="BC48" t="s" s="0">
        <v>81</v>
      </c>
      <c r="BD48" t="s" s="0">
        <v>81</v>
      </c>
      <c r="BE48" t="s" s="0">
        <v>81</v>
      </c>
      <c r="BF48" t="s" s="0">
        <v>81</v>
      </c>
      <c r="BG48" t="s" s="0">
        <v>81</v>
      </c>
      <c r="BH48" t="s" s="0">
        <v>81</v>
      </c>
      <c r="BI48" t="s" s="0">
        <v>1381</v>
      </c>
      <c r="BJ48" t="s" s="0">
        <v>1382</v>
      </c>
      <c r="BK48" t="s" s="93">
        <f>HYPERLINK("http://dx.doi.org/10.1007/s00530-026-02527-z","http://dx.doi.org/10.1007/s00530-026-02527-z")</f>
        <v>1383</v>
      </c>
      <c r="BL48" t="s" s="0">
        <v>81</v>
      </c>
      <c r="BM48" t="s" s="0">
        <v>827</v>
      </c>
      <c r="BN48" t="s" s="0">
        <v>173</v>
      </c>
      <c r="BO48" t="s" s="0">
        <v>1384</v>
      </c>
      <c r="BP48" t="s" s="0">
        <v>250</v>
      </c>
      <c r="BQ48" t="s" s="0">
        <v>1385</v>
      </c>
      <c r="BR48" t="s" s="0">
        <v>81</v>
      </c>
      <c r="BS48" t="s" s="0">
        <v>1386</v>
      </c>
      <c r="BT48" t="s" s="94">
        <f>HYPERLINK("https://www.webofscience.com/wos/woscc/full-record/WOS:001822352300008","View Record in Web of Science")</f>
        <v>123</v>
      </c>
      <c r="BU48" t="s" s="0">
        <v>81</v>
      </c>
      <c r="BV48" t="s" s="0">
        <v>81</v>
      </c>
      <c r="BW48" t="s" s="0">
        <v>81</v>
      </c>
      <c r="BX48" t="s" s="0">
        <v>124</v>
      </c>
    </row>
    <row r="49">
      <c r="A49" t="s" s="0">
        <v>77</v>
      </c>
      <c r="B49" t="s" s="0">
        <v>77</v>
      </c>
      <c r="C49" t="s" s="0">
        <v>77</v>
      </c>
      <c r="D49" t="s" s="0">
        <v>77</v>
      </c>
      <c r="E49" t="s" s="0">
        <v>1387</v>
      </c>
      <c r="F49" t="s" s="0">
        <v>1388</v>
      </c>
      <c r="G49" t="s" s="0">
        <v>1389</v>
      </c>
      <c r="H49" t="s" s="0">
        <v>81</v>
      </c>
      <c r="I49" t="s" s="0">
        <v>82</v>
      </c>
      <c r="J49" t="s" s="0">
        <v>1390</v>
      </c>
      <c r="K49" t="s" s="0">
        <v>1391</v>
      </c>
      <c r="L49" t="s" s="0">
        <v>81</v>
      </c>
      <c r="M49" t="s" s="0">
        <v>81</v>
      </c>
      <c r="N49" t="s" s="0">
        <v>1392</v>
      </c>
      <c r="O49" t="s" s="0">
        <v>1393</v>
      </c>
      <c r="P49" t="s" s="0">
        <v>1394</v>
      </c>
      <c r="Q49" t="s" s="0">
        <v>90</v>
      </c>
      <c r="R49" t="s" s="0">
        <v>81</v>
      </c>
      <c r="S49" t="s" s="0">
        <v>81</v>
      </c>
      <c r="T49" t="s" s="0">
        <v>81</v>
      </c>
      <c r="U49" t="s" s="0">
        <v>81</v>
      </c>
      <c r="V49" t="s" s="0">
        <v>1395</v>
      </c>
      <c r="W49" t="s" s="0">
        <v>1396</v>
      </c>
      <c r="X49" t="s" s="0">
        <v>81</v>
      </c>
      <c r="Y49" t="s" s="0">
        <v>81</v>
      </c>
      <c r="Z49" t="s" s="0">
        <v>93</v>
      </c>
      <c r="AA49" t="s" s="0">
        <v>94</v>
      </c>
      <c r="AB49" t="s" s="0">
        <v>81</v>
      </c>
      <c r="AC49" t="s" s="0">
        <v>81</v>
      </c>
      <c r="AD49" t="s" s="0">
        <v>81</v>
      </c>
      <c r="AE49" t="s" s="0">
        <v>81</v>
      </c>
      <c r="AF49" t="s" s="0">
        <v>81</v>
      </c>
      <c r="AG49" t="s" s="0">
        <v>1397</v>
      </c>
      <c r="AH49" t="s" s="0">
        <v>1398</v>
      </c>
      <c r="AI49" t="s" s="0">
        <v>1399</v>
      </c>
      <c r="AJ49" t="s" s="0">
        <v>81</v>
      </c>
      <c r="AK49" t="s" s="0">
        <v>81</v>
      </c>
      <c r="AL49" t="s" s="0">
        <v>1400</v>
      </c>
      <c r="AM49" t="s" s="0">
        <v>77</v>
      </c>
      <c r="AN49" t="s" s="0">
        <v>77</v>
      </c>
      <c r="AO49" t="s" s="0">
        <v>137</v>
      </c>
      <c r="AP49" t="s" s="0">
        <v>137</v>
      </c>
      <c r="AQ49" t="s" s="0">
        <v>505</v>
      </c>
      <c r="AR49" t="s" s="0">
        <v>1064</v>
      </c>
      <c r="AS49" t="s" s="0">
        <v>1065</v>
      </c>
      <c r="AT49" t="s" s="0">
        <v>1401</v>
      </c>
      <c r="AU49" t="s" s="0">
        <v>1402</v>
      </c>
      <c r="AV49" t="s" s="0">
        <v>81</v>
      </c>
      <c r="AW49" t="s" s="0">
        <v>1403</v>
      </c>
      <c r="AX49" t="s" s="0">
        <v>1404</v>
      </c>
      <c r="AY49" t="s" s="0">
        <v>1405</v>
      </c>
      <c r="AZ49" t="s" s="0">
        <v>212</v>
      </c>
      <c r="BA49" t="s" s="0">
        <v>566</v>
      </c>
      <c r="BB49" t="s" s="0">
        <v>137</v>
      </c>
      <c r="BC49" t="s" s="0">
        <v>81</v>
      </c>
      <c r="BD49" t="s" s="0">
        <v>81</v>
      </c>
      <c r="BE49" t="s" s="0">
        <v>81</v>
      </c>
      <c r="BF49" t="s" s="0">
        <v>81</v>
      </c>
      <c r="BG49" t="s" s="0">
        <v>81</v>
      </c>
      <c r="BH49" t="s" s="0">
        <v>81</v>
      </c>
      <c r="BI49" t="s" s="0">
        <v>1406</v>
      </c>
      <c r="BJ49" t="s" s="0">
        <v>1407</v>
      </c>
      <c r="BK49" t="s" s="95">
        <f>HYPERLINK("http://dx.doi.org/10.1007/s10791-026-10338-z","http://dx.doi.org/10.1007/s10791-026-10338-z")</f>
        <v>1408</v>
      </c>
      <c r="BL49" t="s" s="0">
        <v>81</v>
      </c>
      <c r="BM49" t="s" s="0">
        <v>827</v>
      </c>
      <c r="BN49" t="s" s="0">
        <v>420</v>
      </c>
      <c r="BO49" t="s" s="0">
        <v>1409</v>
      </c>
      <c r="BP49" t="s" s="0">
        <v>250</v>
      </c>
      <c r="BQ49" t="s" s="0">
        <v>1410</v>
      </c>
      <c r="BR49" t="s" s="0">
        <v>81</v>
      </c>
      <c r="BS49" t="s" s="0">
        <v>1411</v>
      </c>
      <c r="BT49" t="s" s="96">
        <f>HYPERLINK("https://www.webofscience.com/wos/woscc/full-record/WOS:001821168400001","View Record in Web of Science")</f>
        <v>123</v>
      </c>
      <c r="BU49" t="s" s="0">
        <v>222</v>
      </c>
      <c r="BV49" t="s" s="0">
        <v>81</v>
      </c>
      <c r="BW49" t="s" s="0">
        <v>81</v>
      </c>
      <c r="BX49" t="s" s="0">
        <v>124</v>
      </c>
    </row>
    <row r="50">
      <c r="A50" t="s" s="0">
        <v>77</v>
      </c>
      <c r="B50" t="s" s="0">
        <v>77</v>
      </c>
      <c r="C50" t="s" s="0">
        <v>137</v>
      </c>
      <c r="D50" t="s" s="0">
        <v>77</v>
      </c>
      <c r="E50" t="s" s="0">
        <v>1412</v>
      </c>
      <c r="F50" t="s" s="0">
        <v>1413</v>
      </c>
      <c r="G50" t="s" s="0">
        <v>1414</v>
      </c>
      <c r="H50" t="s" s="0">
        <v>81</v>
      </c>
      <c r="I50" t="s" s="0">
        <v>82</v>
      </c>
      <c r="J50" t="s" s="0">
        <v>1415</v>
      </c>
      <c r="K50" t="s" s="0">
        <v>1416</v>
      </c>
      <c r="L50" t="s" s="0">
        <v>81</v>
      </c>
      <c r="M50" t="s" s="0">
        <v>81</v>
      </c>
      <c r="N50" t="s" s="0">
        <v>81</v>
      </c>
      <c r="O50" t="s" s="0">
        <v>1417</v>
      </c>
      <c r="P50" t="s" s="0">
        <v>1418</v>
      </c>
      <c r="Q50" t="s" s="0">
        <v>90</v>
      </c>
      <c r="R50" t="s" s="0">
        <v>81</v>
      </c>
      <c r="S50" t="s" s="0">
        <v>81</v>
      </c>
      <c r="T50" t="s" s="0">
        <v>81</v>
      </c>
      <c r="U50" t="s" s="0">
        <v>81</v>
      </c>
      <c r="V50" t="s" s="0">
        <v>1419</v>
      </c>
      <c r="W50" t="s" s="0">
        <v>167</v>
      </c>
      <c r="X50" t="s" s="0">
        <v>81</v>
      </c>
      <c r="Y50" t="s" s="0">
        <v>81</v>
      </c>
      <c r="Z50" t="s" s="0">
        <v>93</v>
      </c>
      <c r="AA50" t="s" s="0">
        <v>94</v>
      </c>
      <c r="AB50" t="s" s="0">
        <v>81</v>
      </c>
      <c r="AC50" t="s" s="0">
        <v>81</v>
      </c>
      <c r="AD50" t="s" s="0">
        <v>81</v>
      </c>
      <c r="AE50" t="s" s="0">
        <v>81</v>
      </c>
      <c r="AF50" t="s" s="0">
        <v>81</v>
      </c>
      <c r="AG50" t="s" s="0">
        <v>1420</v>
      </c>
      <c r="AH50" t="s" s="0">
        <v>1421</v>
      </c>
      <c r="AI50" t="s" s="0">
        <v>81</v>
      </c>
      <c r="AJ50" t="s" s="0">
        <v>1422</v>
      </c>
      <c r="AK50" t="s" s="0">
        <v>81</v>
      </c>
      <c r="AL50" t="s" s="0">
        <v>915</v>
      </c>
      <c r="AM50" t="s" s="0">
        <v>138</v>
      </c>
      <c r="AN50" t="s" s="0">
        <v>138</v>
      </c>
      <c r="AO50" t="s" s="0">
        <v>158</v>
      </c>
      <c r="AP50" t="s" s="0">
        <v>102</v>
      </c>
      <c r="AQ50" t="s" s="0">
        <v>174</v>
      </c>
      <c r="AR50" t="s" s="0">
        <v>175</v>
      </c>
      <c r="AS50" t="s" s="0">
        <v>208</v>
      </c>
      <c r="AT50" t="s" s="0">
        <v>177</v>
      </c>
      <c r="AU50" t="s" s="0">
        <v>81</v>
      </c>
      <c r="AV50" t="s" s="0">
        <v>81</v>
      </c>
      <c r="AW50" t="s" s="0">
        <v>178</v>
      </c>
      <c r="AX50" t="s" s="0">
        <v>179</v>
      </c>
      <c r="AY50" t="s" s="0">
        <v>1423</v>
      </c>
      <c r="AZ50" t="s" s="0">
        <v>111</v>
      </c>
      <c r="BA50" t="s" s="0">
        <v>213</v>
      </c>
      <c r="BB50" t="s" s="0">
        <v>172</v>
      </c>
      <c r="BC50" t="s" s="0">
        <v>81</v>
      </c>
      <c r="BD50" t="s" s="0">
        <v>81</v>
      </c>
      <c r="BE50" t="s" s="0">
        <v>81</v>
      </c>
      <c r="BF50" t="s" s="0">
        <v>81</v>
      </c>
      <c r="BG50" t="s" s="0">
        <v>81</v>
      </c>
      <c r="BH50" t="s" s="0">
        <v>81</v>
      </c>
      <c r="BI50" t="s" s="0">
        <v>1424</v>
      </c>
      <c r="BJ50" t="s" s="0">
        <v>1425</v>
      </c>
      <c r="BK50" t="s" s="97">
        <f>HYPERLINK("http://dx.doi.org/10.3390/electronics14101926","http://dx.doi.org/10.3390/electronics14101926")</f>
        <v>1426</v>
      </c>
      <c r="BL50" t="s" s="0">
        <v>81</v>
      </c>
      <c r="BM50" t="s" s="0">
        <v>81</v>
      </c>
      <c r="BN50" t="s" s="0">
        <v>275</v>
      </c>
      <c r="BO50" t="s" s="0">
        <v>187</v>
      </c>
      <c r="BP50" t="s" s="0">
        <v>188</v>
      </c>
      <c r="BQ50" t="s" s="0">
        <v>1427</v>
      </c>
      <c r="BR50" t="s" s="0">
        <v>81</v>
      </c>
      <c r="BS50" t="s" s="0">
        <v>1428</v>
      </c>
      <c r="BT50" t="s" s="98">
        <f>HYPERLINK("https://www.webofscience.com/wos/woscc/full-record/WOS:001495951300001","View Record in Web of Science")</f>
        <v>123</v>
      </c>
      <c r="BU50" t="s" s="0">
        <v>222</v>
      </c>
      <c r="BV50" t="s" s="0">
        <v>81</v>
      </c>
      <c r="BW50" t="s" s="0">
        <v>81</v>
      </c>
      <c r="BX50" t="s" s="0">
        <v>124</v>
      </c>
    </row>
    <row r="51">
      <c r="A51" t="s" s="0">
        <v>77</v>
      </c>
      <c r="B51" t="s" s="0">
        <v>77</v>
      </c>
      <c r="C51" t="s" s="0">
        <v>77</v>
      </c>
      <c r="D51" t="s" s="0">
        <v>77</v>
      </c>
      <c r="E51" t="s" s="0">
        <v>1429</v>
      </c>
      <c r="F51" t="s" s="0">
        <v>1430</v>
      </c>
      <c r="G51" t="s" s="0">
        <v>1431</v>
      </c>
      <c r="H51" t="s" s="0">
        <v>81</v>
      </c>
      <c r="I51" t="s" s="0">
        <v>195</v>
      </c>
      <c r="J51" t="s" s="0">
        <v>1432</v>
      </c>
      <c r="K51" t="s" s="0">
        <v>1433</v>
      </c>
      <c r="L51" t="s" s="0">
        <v>1434</v>
      </c>
      <c r="M51" t="s" s="0">
        <v>1435</v>
      </c>
      <c r="N51" t="s" s="0">
        <v>1436</v>
      </c>
      <c r="O51" t="s" s="0">
        <v>1437</v>
      </c>
      <c r="P51" t="s" s="0">
        <v>1438</v>
      </c>
      <c r="Q51" t="s" s="0">
        <v>90</v>
      </c>
      <c r="R51" t="s" s="0">
        <v>81</v>
      </c>
      <c r="S51" t="s" s="0">
        <v>81</v>
      </c>
      <c r="T51" t="s" s="0">
        <v>81</v>
      </c>
      <c r="U51" t="s" s="0">
        <v>81</v>
      </c>
      <c r="V51" t="s" s="0">
        <v>1439</v>
      </c>
      <c r="W51" t="s" s="0">
        <v>1440</v>
      </c>
      <c r="X51" t="s" s="0">
        <v>81</v>
      </c>
      <c r="Y51" t="s" s="0">
        <v>81</v>
      </c>
      <c r="Z51" t="s" s="0">
        <v>93</v>
      </c>
      <c r="AA51" t="s" s="0">
        <v>94</v>
      </c>
      <c r="AB51" t="s" s="0">
        <v>81</v>
      </c>
      <c r="AC51" t="s" s="0">
        <v>81</v>
      </c>
      <c r="AD51" t="s" s="0">
        <v>81</v>
      </c>
      <c r="AE51" t="s" s="0">
        <v>81</v>
      </c>
      <c r="AF51" t="s" s="0">
        <v>81</v>
      </c>
      <c r="AG51" t="s" s="0">
        <v>1441</v>
      </c>
      <c r="AH51" t="s" s="0">
        <v>1442</v>
      </c>
      <c r="AI51" t="s" s="0">
        <v>81</v>
      </c>
      <c r="AJ51" t="s" s="0">
        <v>81</v>
      </c>
      <c r="AK51" t="s" s="0">
        <v>81</v>
      </c>
      <c r="AL51" t="s" s="0">
        <v>1443</v>
      </c>
      <c r="AM51" t="s" s="0">
        <v>137</v>
      </c>
      <c r="AN51" t="s" s="0">
        <v>137</v>
      </c>
      <c r="AO51" t="s" s="0">
        <v>137</v>
      </c>
      <c r="AP51" t="s" s="0">
        <v>137</v>
      </c>
      <c r="AQ51" t="s" s="0">
        <v>174</v>
      </c>
      <c r="AR51" t="s" s="0">
        <v>175</v>
      </c>
      <c r="AS51" t="s" s="0">
        <v>208</v>
      </c>
      <c r="AT51" t="s" s="0">
        <v>81</v>
      </c>
      <c r="AU51" t="s" s="0">
        <v>1444</v>
      </c>
      <c r="AV51" t="s" s="0">
        <v>81</v>
      </c>
      <c r="AW51" t="s" s="0">
        <v>1445</v>
      </c>
      <c r="AX51" t="s" s="0">
        <v>1446</v>
      </c>
      <c r="AY51" t="s" s="0">
        <v>1447</v>
      </c>
      <c r="AZ51" t="s" s="0">
        <v>212</v>
      </c>
      <c r="BA51" t="s" s="0">
        <v>182</v>
      </c>
      <c r="BB51" t="s" s="0">
        <v>301</v>
      </c>
      <c r="BC51" t="s" s="0">
        <v>81</v>
      </c>
      <c r="BD51" t="s" s="0">
        <v>81</v>
      </c>
      <c r="BE51" t="s" s="0">
        <v>81</v>
      </c>
      <c r="BF51" t="s" s="0">
        <v>81</v>
      </c>
      <c r="BG51" t="s" s="0">
        <v>81</v>
      </c>
      <c r="BH51" t="s" s="0">
        <v>81</v>
      </c>
      <c r="BI51" t="s" s="0">
        <v>1448</v>
      </c>
      <c r="BJ51" t="s" s="0">
        <v>1449</v>
      </c>
      <c r="BK51" t="s" s="99">
        <f>HYPERLINK("http://dx.doi.org/10.3390/jimaging12040158","http://dx.doi.org/10.3390/jimaging12040158")</f>
        <v>1450</v>
      </c>
      <c r="BL51" t="s" s="0">
        <v>81</v>
      </c>
      <c r="BM51" t="s" s="0">
        <v>279</v>
      </c>
      <c r="BN51" t="s" s="0">
        <v>173</v>
      </c>
      <c r="BO51" t="s" s="0">
        <v>1451</v>
      </c>
      <c r="BP51" t="s" s="0">
        <v>1451</v>
      </c>
      <c r="BQ51" t="s" s="0">
        <v>1452</v>
      </c>
      <c r="BR51" t="s" s="0">
        <v>1453</v>
      </c>
      <c r="BS51" t="s" s="0">
        <v>1454</v>
      </c>
      <c r="BT51" t="s" s="100">
        <f>HYPERLINK("https://www.webofscience.com/wos/woscc/full-record/WOS:001749792500001","View Record in Web of Science")</f>
        <v>123</v>
      </c>
      <c r="BU51" t="s" s="0">
        <v>191</v>
      </c>
      <c r="BV51" t="s" s="0">
        <v>81</v>
      </c>
      <c r="BW51" t="s" s="0">
        <v>81</v>
      </c>
      <c r="BX51" t="s" s="0">
        <v>124</v>
      </c>
    </row>
    <row r="52">
      <c r="A52" t="s" s="0">
        <v>101</v>
      </c>
      <c r="B52" t="s" s="0">
        <v>77</v>
      </c>
      <c r="C52" t="s" s="0">
        <v>399</v>
      </c>
      <c r="D52" t="s" s="0">
        <v>77</v>
      </c>
      <c r="E52" t="s" s="0">
        <v>1455</v>
      </c>
      <c r="F52" t="s" s="0">
        <v>1456</v>
      </c>
      <c r="G52" t="s" s="0">
        <v>1457</v>
      </c>
      <c r="H52" t="s" s="0">
        <v>81</v>
      </c>
      <c r="I52" t="s" s="0">
        <v>82</v>
      </c>
      <c r="J52" t="s" s="0">
        <v>1458</v>
      </c>
      <c r="K52" t="s" s="0">
        <v>1459</v>
      </c>
      <c r="L52" t="s" s="0">
        <v>1460</v>
      </c>
      <c r="M52" t="s" s="0">
        <v>1461</v>
      </c>
      <c r="N52" t="s" s="0">
        <v>1462</v>
      </c>
      <c r="O52" t="s" s="0">
        <v>1463</v>
      </c>
      <c r="P52" t="s" s="0">
        <v>1464</v>
      </c>
      <c r="Q52" t="s" s="0">
        <v>90</v>
      </c>
      <c r="R52" t="s" s="0">
        <v>81</v>
      </c>
      <c r="S52" t="s" s="0">
        <v>81</v>
      </c>
      <c r="T52" t="s" s="0">
        <v>81</v>
      </c>
      <c r="U52" t="s" s="0">
        <v>81</v>
      </c>
      <c r="V52" t="s" s="0">
        <v>1465</v>
      </c>
      <c r="W52" t="s" s="0">
        <v>754</v>
      </c>
      <c r="X52" t="s" s="0">
        <v>81</v>
      </c>
      <c r="Y52" t="s" s="0">
        <v>81</v>
      </c>
      <c r="Z52" t="s" s="0">
        <v>93</v>
      </c>
      <c r="AA52" t="s" s="0">
        <v>94</v>
      </c>
      <c r="AB52" t="s" s="0">
        <v>81</v>
      </c>
      <c r="AC52" t="s" s="0">
        <v>81</v>
      </c>
      <c r="AD52" t="s" s="0">
        <v>81</v>
      </c>
      <c r="AE52" t="s" s="0">
        <v>81</v>
      </c>
      <c r="AF52" t="s" s="0">
        <v>81</v>
      </c>
      <c r="AG52" t="s" s="0">
        <v>1466</v>
      </c>
      <c r="AH52" t="s" s="0">
        <v>1467</v>
      </c>
      <c r="AI52" t="s" s="0">
        <v>1468</v>
      </c>
      <c r="AJ52" t="s" s="0">
        <v>1469</v>
      </c>
      <c r="AK52" t="s" s="0">
        <v>81</v>
      </c>
      <c r="AL52" t="s" s="0">
        <v>171</v>
      </c>
      <c r="AM52" t="s" s="0">
        <v>652</v>
      </c>
      <c r="AN52" t="s" s="0">
        <v>676</v>
      </c>
      <c r="AO52" t="s" s="0">
        <v>102</v>
      </c>
      <c r="AP52" t="s" s="0">
        <v>732</v>
      </c>
      <c r="AQ52" t="s" s="0">
        <v>391</v>
      </c>
      <c r="AR52" t="s" s="0">
        <v>392</v>
      </c>
      <c r="AS52" t="s" s="0">
        <v>393</v>
      </c>
      <c r="AT52" t="s" s="0">
        <v>81</v>
      </c>
      <c r="AU52" t="s" s="0">
        <v>758</v>
      </c>
      <c r="AV52" t="s" s="0">
        <v>81</v>
      </c>
      <c r="AW52" t="s" s="0">
        <v>759</v>
      </c>
      <c r="AX52" t="s" s="0">
        <v>760</v>
      </c>
      <c r="AY52" t="s" s="0">
        <v>1470</v>
      </c>
      <c r="AZ52" t="s" s="0">
        <v>111</v>
      </c>
      <c r="BA52" t="s" s="0">
        <v>182</v>
      </c>
      <c r="BB52" t="s" s="0">
        <v>102</v>
      </c>
      <c r="BC52" t="s" s="0">
        <v>81</v>
      </c>
      <c r="BD52" t="s" s="0">
        <v>81</v>
      </c>
      <c r="BE52" t="s" s="0">
        <v>81</v>
      </c>
      <c r="BF52" t="s" s="0">
        <v>81</v>
      </c>
      <c r="BG52" t="s" s="0">
        <v>81</v>
      </c>
      <c r="BH52" t="s" s="0">
        <v>81</v>
      </c>
      <c r="BI52" t="s" s="0">
        <v>1471</v>
      </c>
      <c r="BJ52" t="s" s="0">
        <v>1472</v>
      </c>
      <c r="BK52" t="s" s="101">
        <f>HYPERLINK("http://dx.doi.org/10.1002/advs.202407060","http://dx.doi.org/10.1002/advs.202407060")</f>
        <v>1473</v>
      </c>
      <c r="BL52" t="s" s="0">
        <v>81</v>
      </c>
      <c r="BM52" t="s" s="0">
        <v>1474</v>
      </c>
      <c r="BN52" t="s" s="0">
        <v>182</v>
      </c>
      <c r="BO52" t="s" s="0">
        <v>764</v>
      </c>
      <c r="BP52" t="s" s="0">
        <v>765</v>
      </c>
      <c r="BQ52" t="s" s="0">
        <v>1475</v>
      </c>
      <c r="BR52" t="s" s="0">
        <v>1476</v>
      </c>
      <c r="BS52" t="s" s="0">
        <v>1477</v>
      </c>
      <c r="BT52" t="s" s="102">
        <f>HYPERLINK("https://www.webofscience.com/wos/woscc/full-record/WOS:001438977100001","View Record in Web of Science")</f>
        <v>123</v>
      </c>
      <c r="BU52" t="s" s="0">
        <v>191</v>
      </c>
      <c r="BV52" t="s" s="0">
        <v>81</v>
      </c>
      <c r="BW52" t="s" s="0">
        <v>81</v>
      </c>
      <c r="BX52" t="s" s="0">
        <v>124</v>
      </c>
    </row>
    <row r="53">
      <c r="A53" t="s" s="0">
        <v>77</v>
      </c>
      <c r="B53" t="s" s="0">
        <v>77</v>
      </c>
      <c r="C53" t="s" s="0">
        <v>77</v>
      </c>
      <c r="D53" t="s" s="0">
        <v>77</v>
      </c>
      <c r="E53" t="s" s="0">
        <v>1478</v>
      </c>
      <c r="F53" t="s" s="0">
        <v>1479</v>
      </c>
      <c r="G53" t="s" s="0">
        <v>1480</v>
      </c>
      <c r="H53" t="s" s="0">
        <v>81</v>
      </c>
      <c r="I53" t="s" s="0">
        <v>195</v>
      </c>
      <c r="J53" t="s" s="0">
        <v>1481</v>
      </c>
      <c r="K53" t="s" s="0">
        <v>1482</v>
      </c>
      <c r="L53" t="s" s="0">
        <v>81</v>
      </c>
      <c r="M53" t="s" s="0">
        <v>81</v>
      </c>
      <c r="N53" t="s" s="0">
        <v>81</v>
      </c>
      <c r="O53" t="s" s="0">
        <v>1483</v>
      </c>
      <c r="P53" t="s" s="0">
        <v>1484</v>
      </c>
      <c r="Q53" t="s" s="0">
        <v>90</v>
      </c>
      <c r="R53" t="s" s="0">
        <v>81</v>
      </c>
      <c r="S53" t="s" s="0">
        <v>81</v>
      </c>
      <c r="T53" t="s" s="0">
        <v>81</v>
      </c>
      <c r="U53" t="s" s="0">
        <v>81</v>
      </c>
      <c r="V53" t="s" s="0">
        <v>1485</v>
      </c>
      <c r="W53" t="s" s="0">
        <v>1486</v>
      </c>
      <c r="X53" t="s" s="0">
        <v>81</v>
      </c>
      <c r="Y53" t="s" s="0">
        <v>81</v>
      </c>
      <c r="Z53" t="s" s="0">
        <v>93</v>
      </c>
      <c r="AA53" t="s" s="0">
        <v>94</v>
      </c>
      <c r="AB53" t="s" s="0">
        <v>81</v>
      </c>
      <c r="AC53" t="s" s="0">
        <v>81</v>
      </c>
      <c r="AD53" t="s" s="0">
        <v>81</v>
      </c>
      <c r="AE53" t="s" s="0">
        <v>81</v>
      </c>
      <c r="AF53" t="s" s="0">
        <v>81</v>
      </c>
      <c r="AG53" t="s" s="0">
        <v>1487</v>
      </c>
      <c r="AH53" t="s" s="0">
        <v>1488</v>
      </c>
      <c r="AI53" t="s" s="0">
        <v>1489</v>
      </c>
      <c r="AJ53" t="s" s="0">
        <v>81</v>
      </c>
      <c r="AK53" t="s" s="0">
        <v>81</v>
      </c>
      <c r="AL53" t="s" s="0">
        <v>1490</v>
      </c>
      <c r="AM53" t="s" s="0">
        <v>77</v>
      </c>
      <c r="AN53" t="s" s="0">
        <v>77</v>
      </c>
      <c r="AO53" t="s" s="0">
        <v>77</v>
      </c>
      <c r="AP53" t="s" s="0">
        <v>77</v>
      </c>
      <c r="AQ53" t="s" s="0">
        <v>1491</v>
      </c>
      <c r="AR53" t="s" s="0">
        <v>1492</v>
      </c>
      <c r="AS53" t="s" s="0">
        <v>1493</v>
      </c>
      <c r="AT53" t="s" s="0">
        <v>81</v>
      </c>
      <c r="AU53" t="s" s="0">
        <v>1494</v>
      </c>
      <c r="AV53" t="s" s="0">
        <v>81</v>
      </c>
      <c r="AW53" t="s" s="0">
        <v>1495</v>
      </c>
      <c r="AX53" t="s" s="0">
        <v>1496</v>
      </c>
      <c r="AY53" t="s" s="0">
        <v>1497</v>
      </c>
      <c r="AZ53" t="s" s="0">
        <v>212</v>
      </c>
      <c r="BA53" t="s" s="0">
        <v>213</v>
      </c>
      <c r="BB53" t="s" s="0">
        <v>101</v>
      </c>
      <c r="BC53" t="s" s="0">
        <v>81</v>
      </c>
      <c r="BD53" t="s" s="0">
        <v>81</v>
      </c>
      <c r="BE53" t="s" s="0">
        <v>81</v>
      </c>
      <c r="BF53" t="s" s="0">
        <v>81</v>
      </c>
      <c r="BG53" t="s" s="0">
        <v>1498</v>
      </c>
      <c r="BH53" t="s" s="0">
        <v>1499</v>
      </c>
      <c r="BI53" t="s" s="0">
        <v>81</v>
      </c>
      <c r="BJ53" t="s" s="0">
        <v>1500</v>
      </c>
      <c r="BK53" t="s" s="103">
        <f>HYPERLINK("http://dx.doi.org/10.36306/konjes.1716813","http://dx.doi.org/10.36306/konjes.1716813")</f>
        <v>1501</v>
      </c>
      <c r="BL53" t="s" s="0">
        <v>81</v>
      </c>
      <c r="BM53" t="s" s="0">
        <v>81</v>
      </c>
      <c r="BN53" t="s" s="0">
        <v>448</v>
      </c>
      <c r="BO53" t="s" s="0">
        <v>218</v>
      </c>
      <c r="BP53" t="s" s="0">
        <v>219</v>
      </c>
      <c r="BQ53" t="s" s="0">
        <v>1502</v>
      </c>
      <c r="BR53" t="s" s="0">
        <v>81</v>
      </c>
      <c r="BS53" t="s" s="0">
        <v>1503</v>
      </c>
      <c r="BT53" t="s" s="104">
        <f>HYPERLINK("https://www.webofscience.com/wos/woscc/full-record/WOS:001805107900002","View Record in Web of Science")</f>
        <v>123</v>
      </c>
      <c r="BU53" t="s" s="0">
        <v>222</v>
      </c>
      <c r="BV53" t="s" s="0">
        <v>81</v>
      </c>
      <c r="BW53" t="s" s="0">
        <v>81</v>
      </c>
      <c r="BX53" t="s" s="0">
        <v>124</v>
      </c>
    </row>
    <row r="54">
      <c r="A54" t="s" s="0">
        <v>77</v>
      </c>
      <c r="B54" t="s" s="0">
        <v>77</v>
      </c>
      <c r="C54" t="s" s="0">
        <v>77</v>
      </c>
      <c r="D54" t="s" s="0">
        <v>77</v>
      </c>
      <c r="E54" t="s" s="0">
        <v>1504</v>
      </c>
      <c r="F54" t="s" s="0">
        <v>1505</v>
      </c>
      <c r="G54" t="s" s="0">
        <v>1506</v>
      </c>
      <c r="H54" t="s" s="0">
        <v>81</v>
      </c>
      <c r="I54" t="s" s="0">
        <v>82</v>
      </c>
      <c r="J54" t="s" s="0">
        <v>1507</v>
      </c>
      <c r="K54" t="s" s="0">
        <v>1508</v>
      </c>
      <c r="L54" t="s" s="0">
        <v>1509</v>
      </c>
      <c r="M54" t="s" s="0">
        <v>1509</v>
      </c>
      <c r="N54" t="s" s="0">
        <v>1510</v>
      </c>
      <c r="O54" t="s" s="0">
        <v>1511</v>
      </c>
      <c r="P54" t="s" s="0">
        <v>81</v>
      </c>
      <c r="Q54" t="s" s="0">
        <v>90</v>
      </c>
      <c r="R54" t="s" s="0">
        <v>81</v>
      </c>
      <c r="S54" t="s" s="0">
        <v>81</v>
      </c>
      <c r="T54" t="s" s="0">
        <v>81</v>
      </c>
      <c r="U54" t="s" s="0">
        <v>81</v>
      </c>
      <c r="V54" t="s" s="0">
        <v>1512</v>
      </c>
      <c r="W54" t="s" s="0">
        <v>1513</v>
      </c>
      <c r="X54" t="s" s="0">
        <v>81</v>
      </c>
      <c r="Y54" t="s" s="0">
        <v>81</v>
      </c>
      <c r="Z54" t="s" s="0">
        <v>93</v>
      </c>
      <c r="AA54" t="s" s="0">
        <v>94</v>
      </c>
      <c r="AB54" t="s" s="0">
        <v>81</v>
      </c>
      <c r="AC54" t="s" s="0">
        <v>81</v>
      </c>
      <c r="AD54" t="s" s="0">
        <v>81</v>
      </c>
      <c r="AE54" t="s" s="0">
        <v>81</v>
      </c>
      <c r="AF54" t="s" s="0">
        <v>81</v>
      </c>
      <c r="AG54" t="s" s="0">
        <v>1514</v>
      </c>
      <c r="AH54" t="s" s="0">
        <v>81</v>
      </c>
      <c r="AI54" t="s" s="0">
        <v>1515</v>
      </c>
      <c r="AJ54" t="s" s="0">
        <v>1516</v>
      </c>
      <c r="AK54" t="s" s="0">
        <v>81</v>
      </c>
      <c r="AL54" t="s" s="0">
        <v>1085</v>
      </c>
      <c r="AM54" t="s" s="0">
        <v>137</v>
      </c>
      <c r="AN54" t="s" s="0">
        <v>137</v>
      </c>
      <c r="AO54" t="s" s="0">
        <v>137</v>
      </c>
      <c r="AP54" t="s" s="0">
        <v>137</v>
      </c>
      <c r="AQ54" t="s" s="0">
        <v>140</v>
      </c>
      <c r="AR54" t="s" s="0">
        <v>141</v>
      </c>
      <c r="AS54" t="s" s="0">
        <v>142</v>
      </c>
      <c r="AT54" t="s" s="0">
        <v>1517</v>
      </c>
      <c r="AU54" t="s" s="0">
        <v>1518</v>
      </c>
      <c r="AV54" t="s" s="0">
        <v>81</v>
      </c>
      <c r="AW54" t="s" s="0">
        <v>1519</v>
      </c>
      <c r="AX54" t="s" s="0">
        <v>1520</v>
      </c>
      <c r="AY54" t="s" s="0">
        <v>1521</v>
      </c>
      <c r="AZ54" t="s" s="0">
        <v>212</v>
      </c>
      <c r="BA54" t="s" s="0">
        <v>1522</v>
      </c>
      <c r="BB54" t="s" s="0">
        <v>81</v>
      </c>
      <c r="BC54" t="s" s="0">
        <v>81</v>
      </c>
      <c r="BD54" t="s" s="0">
        <v>137</v>
      </c>
      <c r="BE54" t="s" s="0">
        <v>81</v>
      </c>
      <c r="BF54" t="s" s="0">
        <v>81</v>
      </c>
      <c r="BG54" t="s" s="0">
        <v>81</v>
      </c>
      <c r="BH54" t="s" s="0">
        <v>81</v>
      </c>
      <c r="BI54" t="s" s="0">
        <v>1523</v>
      </c>
      <c r="BJ54" t="s" s="0">
        <v>1524</v>
      </c>
      <c r="BK54" t="s" s="105">
        <f>HYPERLINK("http://dx.doi.org/10.1016/j.molstruc.2025.144614","http://dx.doi.org/10.1016/j.molstruc.2025.144614")</f>
        <v>1525</v>
      </c>
      <c r="BL54" t="s" s="0">
        <v>81</v>
      </c>
      <c r="BM54" t="s" s="0">
        <v>1526</v>
      </c>
      <c r="BN54" t="s" s="0">
        <v>172</v>
      </c>
      <c r="BO54" t="s" s="0">
        <v>1527</v>
      </c>
      <c r="BP54" t="s" s="0">
        <v>1528</v>
      </c>
      <c r="BQ54" t="s" s="0">
        <v>1529</v>
      </c>
      <c r="BR54" t="s" s="0">
        <v>81</v>
      </c>
      <c r="BS54" t="s" s="0">
        <v>1530</v>
      </c>
      <c r="BT54" t="s" s="106">
        <f>HYPERLINK("https://www.webofscience.com/wos/woscc/full-record/WOS:001615833000004","View Record in Web of Science")</f>
        <v>123</v>
      </c>
      <c r="BU54" t="s" s="0">
        <v>81</v>
      </c>
      <c r="BV54" t="s" s="0">
        <v>81</v>
      </c>
      <c r="BW54" t="s" s="0">
        <v>81</v>
      </c>
      <c r="BX54" t="s" s="0">
        <v>124</v>
      </c>
    </row>
    <row r="55">
      <c r="A55" t="s" s="0">
        <v>77</v>
      </c>
      <c r="B55" t="s" s="0">
        <v>77</v>
      </c>
      <c r="C55" t="s" s="0">
        <v>77</v>
      </c>
      <c r="D55" t="s" s="0">
        <v>77</v>
      </c>
      <c r="E55" t="s" s="0">
        <v>1531</v>
      </c>
      <c r="F55" t="s" s="0">
        <v>1532</v>
      </c>
      <c r="G55" t="s" s="0">
        <v>1533</v>
      </c>
      <c r="H55" t="s" s="0">
        <v>81</v>
      </c>
      <c r="I55" t="s" s="0">
        <v>82</v>
      </c>
      <c r="J55" t="s" s="0">
        <v>1534</v>
      </c>
      <c r="K55" t="s" s="0">
        <v>1535</v>
      </c>
      <c r="L55" t="s" s="0">
        <v>1536</v>
      </c>
      <c r="M55" t="s" s="0">
        <v>1537</v>
      </c>
      <c r="N55" t="s" s="0">
        <v>1538</v>
      </c>
      <c r="O55" t="s" s="0">
        <v>1539</v>
      </c>
      <c r="P55" t="s" s="0">
        <v>1540</v>
      </c>
      <c r="Q55" t="s" s="0">
        <v>90</v>
      </c>
      <c r="R55" t="s" s="0">
        <v>81</v>
      </c>
      <c r="S55" t="s" s="0">
        <v>81</v>
      </c>
      <c r="T55" t="s" s="0">
        <v>81</v>
      </c>
      <c r="U55" t="s" s="0">
        <v>81</v>
      </c>
      <c r="V55" t="s" s="0">
        <v>1541</v>
      </c>
      <c r="W55" t="s" s="0">
        <v>1542</v>
      </c>
      <c r="X55" t="s" s="0">
        <v>81</v>
      </c>
      <c r="Y55" t="s" s="0">
        <v>81</v>
      </c>
      <c r="Z55" t="s" s="0">
        <v>93</v>
      </c>
      <c r="AA55" t="s" s="0">
        <v>94</v>
      </c>
      <c r="AB55" t="s" s="0">
        <v>81</v>
      </c>
      <c r="AC55" t="s" s="0">
        <v>81</v>
      </c>
      <c r="AD55" t="s" s="0">
        <v>81</v>
      </c>
      <c r="AE55" t="s" s="0">
        <v>81</v>
      </c>
      <c r="AF55" t="s" s="0">
        <v>81</v>
      </c>
      <c r="AG55" t="s" s="0">
        <v>81</v>
      </c>
      <c r="AH55" t="s" s="0">
        <v>1543</v>
      </c>
      <c r="AI55" t="s" s="0">
        <v>81</v>
      </c>
      <c r="AJ55" t="s" s="0">
        <v>81</v>
      </c>
      <c r="AK55" t="s" s="0">
        <v>81</v>
      </c>
      <c r="AL55" t="s" s="0">
        <v>1357</v>
      </c>
      <c r="AM55" t="s" s="0">
        <v>77</v>
      </c>
      <c r="AN55" t="s" s="0">
        <v>77</v>
      </c>
      <c r="AO55" t="s" s="0">
        <v>333</v>
      </c>
      <c r="AP55" t="s" s="0">
        <v>333</v>
      </c>
      <c r="AQ55" t="s" s="0">
        <v>1544</v>
      </c>
      <c r="AR55" t="s" s="0">
        <v>1545</v>
      </c>
      <c r="AS55" t="s" s="0">
        <v>1546</v>
      </c>
      <c r="AT55" t="s" s="0">
        <v>1547</v>
      </c>
      <c r="AU55" t="s" s="0">
        <v>1548</v>
      </c>
      <c r="AV55" t="s" s="0">
        <v>81</v>
      </c>
      <c r="AW55" t="s" s="0">
        <v>1549</v>
      </c>
      <c r="AX55" t="s" s="0">
        <v>1550</v>
      </c>
      <c r="AY55" t="s" s="0">
        <v>1551</v>
      </c>
      <c r="AZ55" t="s" s="0">
        <v>212</v>
      </c>
      <c r="BA55" t="s" s="0">
        <v>399</v>
      </c>
      <c r="BB55" t="s" s="0">
        <v>81</v>
      </c>
      <c r="BC55" t="s" s="0">
        <v>81</v>
      </c>
      <c r="BD55" t="s" s="0">
        <v>81</v>
      </c>
      <c r="BE55" t="s" s="0">
        <v>81</v>
      </c>
      <c r="BF55" t="s" s="0">
        <v>81</v>
      </c>
      <c r="BG55" t="s" s="0">
        <v>81</v>
      </c>
      <c r="BH55" t="s" s="0">
        <v>81</v>
      </c>
      <c r="BI55" t="s" s="0">
        <v>1552</v>
      </c>
      <c r="BJ55" t="s" s="0">
        <v>1553</v>
      </c>
      <c r="BK55" t="s" s="107">
        <f>HYPERLINK("http://dx.doi.org/10.34133/research.1136","http://dx.doi.org/10.34133/research.1136")</f>
        <v>1554</v>
      </c>
      <c r="BL55" t="s" s="0">
        <v>81</v>
      </c>
      <c r="BM55" t="s" s="0">
        <v>81</v>
      </c>
      <c r="BN55" t="s" s="0">
        <v>117</v>
      </c>
      <c r="BO55" t="s" s="0">
        <v>313</v>
      </c>
      <c r="BP55" t="s" s="0">
        <v>314</v>
      </c>
      <c r="BQ55" t="s" s="0">
        <v>1555</v>
      </c>
      <c r="BR55" t="s" s="0">
        <v>1556</v>
      </c>
      <c r="BS55" t="s" s="0">
        <v>1557</v>
      </c>
      <c r="BT55" t="s" s="108">
        <f>HYPERLINK("https://www.webofscience.com/wos/woscc/full-record/WOS:001727655000001","View Record in Web of Science")</f>
        <v>123</v>
      </c>
      <c r="BU55" t="s" s="0">
        <v>191</v>
      </c>
      <c r="BV55" t="s" s="0">
        <v>81</v>
      </c>
      <c r="BW55" t="s" s="0">
        <v>81</v>
      </c>
      <c r="BX55" t="s" s="0">
        <v>124</v>
      </c>
    </row>
    <row r="56">
      <c r="A56" t="s" s="0">
        <v>77</v>
      </c>
      <c r="B56" t="s" s="0">
        <v>77</v>
      </c>
      <c r="C56" t="s" s="0">
        <v>77</v>
      </c>
      <c r="D56" t="s" s="0">
        <v>77</v>
      </c>
      <c r="E56" t="s" s="0">
        <v>1558</v>
      </c>
      <c r="F56" t="s" s="0">
        <v>1559</v>
      </c>
      <c r="G56" t="s" s="0">
        <v>1560</v>
      </c>
      <c r="H56" t="s" s="0">
        <v>81</v>
      </c>
      <c r="I56" t="s" s="0">
        <v>82</v>
      </c>
      <c r="J56" t="s" s="0">
        <v>1561</v>
      </c>
      <c r="K56" t="s" s="0">
        <v>1562</v>
      </c>
      <c r="L56" t="s" s="0">
        <v>81</v>
      </c>
      <c r="M56" t="s" s="0">
        <v>81</v>
      </c>
      <c r="N56" t="s" s="0">
        <v>81</v>
      </c>
      <c r="O56" t="s" s="0">
        <v>1563</v>
      </c>
      <c r="P56" t="s" s="0">
        <v>1564</v>
      </c>
      <c r="Q56" t="s" s="0">
        <v>90</v>
      </c>
      <c r="R56" t="s" s="0">
        <v>81</v>
      </c>
      <c r="S56" t="s" s="0">
        <v>81</v>
      </c>
      <c r="T56" t="s" s="0">
        <v>81</v>
      </c>
      <c r="U56" t="s" s="0">
        <v>81</v>
      </c>
      <c r="V56" t="s" s="0">
        <v>1565</v>
      </c>
      <c r="W56" t="s" s="0">
        <v>1566</v>
      </c>
      <c r="X56" t="s" s="0">
        <v>81</v>
      </c>
      <c r="Y56" t="s" s="0">
        <v>81</v>
      </c>
      <c r="Z56" t="s" s="0">
        <v>93</v>
      </c>
      <c r="AA56" t="s" s="0">
        <v>94</v>
      </c>
      <c r="AB56" t="s" s="0">
        <v>81</v>
      </c>
      <c r="AC56" t="s" s="0">
        <v>81</v>
      </c>
      <c r="AD56" t="s" s="0">
        <v>81</v>
      </c>
      <c r="AE56" t="s" s="0">
        <v>81</v>
      </c>
      <c r="AF56" t="s" s="0">
        <v>81</v>
      </c>
      <c r="AG56" t="s" s="0">
        <v>1567</v>
      </c>
      <c r="AH56" t="s" s="0">
        <v>81</v>
      </c>
      <c r="AI56" t="s" s="0">
        <v>1568</v>
      </c>
      <c r="AJ56" t="s" s="0">
        <v>81</v>
      </c>
      <c r="AK56" t="s" s="0">
        <v>81</v>
      </c>
      <c r="AL56" t="s" s="0">
        <v>457</v>
      </c>
      <c r="AM56" t="s" s="0">
        <v>77</v>
      </c>
      <c r="AN56" t="s" s="0">
        <v>77</v>
      </c>
      <c r="AO56" t="s" s="0">
        <v>137</v>
      </c>
      <c r="AP56" t="s" s="0">
        <v>137</v>
      </c>
      <c r="AQ56" t="s" s="0">
        <v>1569</v>
      </c>
      <c r="AR56" t="s" s="0">
        <v>1570</v>
      </c>
      <c r="AS56" t="s" s="0">
        <v>1571</v>
      </c>
      <c r="AT56" t="s" s="0">
        <v>1572</v>
      </c>
      <c r="AU56" t="s" s="0">
        <v>1573</v>
      </c>
      <c r="AV56" t="s" s="0">
        <v>81</v>
      </c>
      <c r="AW56" t="s" s="0">
        <v>1574</v>
      </c>
      <c r="AX56" t="s" s="0">
        <v>1575</v>
      </c>
      <c r="AY56" t="s" s="0">
        <v>1576</v>
      </c>
      <c r="AZ56" t="s" s="0">
        <v>212</v>
      </c>
      <c r="BA56" t="s" s="0">
        <v>1577</v>
      </c>
      <c r="BB56" t="s" s="0">
        <v>100</v>
      </c>
      <c r="BC56" t="s" s="0">
        <v>81</v>
      </c>
      <c r="BD56" t="s" s="0">
        <v>81</v>
      </c>
      <c r="BE56" t="s" s="0">
        <v>81</v>
      </c>
      <c r="BF56" t="s" s="0">
        <v>81</v>
      </c>
      <c r="BG56" t="s" s="0">
        <v>81</v>
      </c>
      <c r="BH56" t="s" s="0">
        <v>81</v>
      </c>
      <c r="BI56" t="s" s="0">
        <v>1578</v>
      </c>
      <c r="BJ56" t="s" s="0">
        <v>1579</v>
      </c>
      <c r="BK56" t="s" s="109">
        <f>HYPERLINK("http://dx.doi.org/10.1088/1873-4030/ae449b","http://dx.doi.org/10.1088/1873-4030/ae449b")</f>
        <v>1580</v>
      </c>
      <c r="BL56" t="s" s="0">
        <v>81</v>
      </c>
      <c r="BM56" t="s" s="0">
        <v>81</v>
      </c>
      <c r="BN56" t="s" s="0">
        <v>217</v>
      </c>
      <c r="BO56" t="s" s="0">
        <v>1265</v>
      </c>
      <c r="BP56" t="s" s="0">
        <v>219</v>
      </c>
      <c r="BQ56" t="s" s="0">
        <v>1581</v>
      </c>
      <c r="BR56" t="s" s="0">
        <v>1582</v>
      </c>
      <c r="BS56" t="s" s="0">
        <v>1583</v>
      </c>
      <c r="BT56" t="s" s="110">
        <f>HYPERLINK("https://www.webofscience.com/wos/woscc/full-record/WOS:001751399300001","View Record in Web of Science")</f>
        <v>123</v>
      </c>
      <c r="BU56" t="s" s="0">
        <v>81</v>
      </c>
      <c r="BV56" t="s" s="0">
        <v>81</v>
      </c>
      <c r="BW56" t="s" s="0">
        <v>81</v>
      </c>
      <c r="BX56" t="s" s="0">
        <v>124</v>
      </c>
    </row>
    <row r="57">
      <c r="A57" t="s" s="0">
        <v>77</v>
      </c>
      <c r="B57" t="s" s="0">
        <v>77</v>
      </c>
      <c r="C57" t="s" s="0">
        <v>137</v>
      </c>
      <c r="D57" t="s" s="0">
        <v>77</v>
      </c>
      <c r="E57" t="s" s="0">
        <v>1584</v>
      </c>
      <c r="F57" t="s" s="0">
        <v>1585</v>
      </c>
      <c r="G57" t="s" s="0">
        <v>1586</v>
      </c>
      <c r="H57" t="s" s="0">
        <v>81</v>
      </c>
      <c r="I57" t="s" s="0">
        <v>82</v>
      </c>
      <c r="J57" t="s" s="0">
        <v>1587</v>
      </c>
      <c r="K57" t="s" s="0">
        <v>1588</v>
      </c>
      <c r="L57" t="s" s="0">
        <v>1589</v>
      </c>
      <c r="M57" t="s" s="0">
        <v>1590</v>
      </c>
      <c r="N57" t="s" s="0">
        <v>1591</v>
      </c>
      <c r="O57" t="s" s="0">
        <v>1592</v>
      </c>
      <c r="P57" t="s" s="0">
        <v>1593</v>
      </c>
      <c r="Q57" t="s" s="0">
        <v>90</v>
      </c>
      <c r="R57" t="s" s="0">
        <v>81</v>
      </c>
      <c r="S57" t="s" s="0">
        <v>81</v>
      </c>
      <c r="T57" t="s" s="0">
        <v>81</v>
      </c>
      <c r="U57" t="s" s="0">
        <v>81</v>
      </c>
      <c r="V57" t="s" s="0">
        <v>1594</v>
      </c>
      <c r="W57" t="s" s="0">
        <v>1595</v>
      </c>
      <c r="X57" t="s" s="0">
        <v>81</v>
      </c>
      <c r="Y57" t="s" s="0">
        <v>81</v>
      </c>
      <c r="Z57" t="s" s="0">
        <v>93</v>
      </c>
      <c r="AA57" t="s" s="0">
        <v>94</v>
      </c>
      <c r="AB57" t="s" s="0">
        <v>81</v>
      </c>
      <c r="AC57" t="s" s="0">
        <v>81</v>
      </c>
      <c r="AD57" t="s" s="0">
        <v>81</v>
      </c>
      <c r="AE57" t="s" s="0">
        <v>81</v>
      </c>
      <c r="AF57" t="s" s="0">
        <v>81</v>
      </c>
      <c r="AG57" t="s" s="0">
        <v>1596</v>
      </c>
      <c r="AH57" t="s" s="0">
        <v>1597</v>
      </c>
      <c r="AI57" t="s" s="0">
        <v>81</v>
      </c>
      <c r="AJ57" t="s" s="0">
        <v>81</v>
      </c>
      <c r="AK57" t="s" s="0">
        <v>81</v>
      </c>
      <c r="AL57" t="s" s="0">
        <v>937</v>
      </c>
      <c r="AM57" t="s" s="0">
        <v>301</v>
      </c>
      <c r="AN57" t="s" s="0">
        <v>301</v>
      </c>
      <c r="AO57" t="s" s="0">
        <v>137</v>
      </c>
      <c r="AP57" t="s" s="0">
        <v>333</v>
      </c>
      <c r="AQ57" t="s" s="0">
        <v>1598</v>
      </c>
      <c r="AR57" t="s" s="0">
        <v>1599</v>
      </c>
      <c r="AS57" t="s" s="0">
        <v>1600</v>
      </c>
      <c r="AT57" t="s" s="0">
        <v>1601</v>
      </c>
      <c r="AU57" t="s" s="0">
        <v>1602</v>
      </c>
      <c r="AV57" t="s" s="0">
        <v>81</v>
      </c>
      <c r="AW57" t="s" s="0">
        <v>1603</v>
      </c>
      <c r="AX57" t="s" s="0">
        <v>1604</v>
      </c>
      <c r="AY57" t="s" s="0">
        <v>1605</v>
      </c>
      <c r="AZ57" t="s" s="0">
        <v>111</v>
      </c>
      <c r="BA57" t="s" s="0">
        <v>102</v>
      </c>
      <c r="BB57" t="s" s="0">
        <v>172</v>
      </c>
      <c r="BC57" t="s" s="0">
        <v>81</v>
      </c>
      <c r="BD57" t="s" s="0">
        <v>81</v>
      </c>
      <c r="BE57" t="s" s="0">
        <v>81</v>
      </c>
      <c r="BF57" t="s" s="0">
        <v>81</v>
      </c>
      <c r="BG57" t="s" s="0">
        <v>1606</v>
      </c>
      <c r="BH57" t="s" s="0">
        <v>1607</v>
      </c>
      <c r="BI57" t="s" s="0">
        <v>81</v>
      </c>
      <c r="BJ57" t="s" s="0">
        <v>1608</v>
      </c>
      <c r="BK57" t="s" s="111">
        <f>HYPERLINK("http://dx.doi.org/10.21037/jtd-2025-1012","http://dx.doi.org/10.21037/jtd-2025-1012")</f>
        <v>1609</v>
      </c>
      <c r="BL57" t="s" s="0">
        <v>81</v>
      </c>
      <c r="BM57" t="s" s="0">
        <v>81</v>
      </c>
      <c r="BN57" t="s" s="0">
        <v>405</v>
      </c>
      <c r="BO57" t="s" s="0">
        <v>1610</v>
      </c>
      <c r="BP57" t="s" s="0">
        <v>1610</v>
      </c>
      <c r="BQ57" t="s" s="0">
        <v>1611</v>
      </c>
      <c r="BR57" t="s" s="0">
        <v>1612</v>
      </c>
      <c r="BS57" t="s" s="0">
        <v>1613</v>
      </c>
      <c r="BT57" t="s" s="112">
        <f>HYPERLINK("https://www.webofscience.com/wos/woscc/full-record/WOS:001615901300001","View Record in Web of Science")</f>
        <v>123</v>
      </c>
      <c r="BU57" t="s" s="0">
        <v>191</v>
      </c>
      <c r="BV57" t="s" s="0">
        <v>81</v>
      </c>
      <c r="BW57" t="s" s="0">
        <v>81</v>
      </c>
      <c r="BX57" t="s" s="0">
        <v>124</v>
      </c>
    </row>
    <row r="58">
      <c r="A58" t="s" s="0">
        <v>77</v>
      </c>
      <c r="B58" t="s" s="0">
        <v>77</v>
      </c>
      <c r="C58" t="s" s="0">
        <v>77</v>
      </c>
      <c r="D58" t="s" s="0">
        <v>77</v>
      </c>
      <c r="E58" t="s" s="0">
        <v>1614</v>
      </c>
      <c r="F58" t="s" s="0">
        <v>1615</v>
      </c>
      <c r="G58" t="s" s="0">
        <v>1616</v>
      </c>
      <c r="H58" t="s" s="0">
        <v>81</v>
      </c>
      <c r="I58" t="s" s="0">
        <v>82</v>
      </c>
      <c r="J58" t="s" s="0">
        <v>1617</v>
      </c>
      <c r="K58" t="s" s="0">
        <v>1618</v>
      </c>
      <c r="L58" t="s" s="0">
        <v>1619</v>
      </c>
      <c r="M58" t="s" s="0">
        <v>1620</v>
      </c>
      <c r="N58" t="s" s="0">
        <v>1621</v>
      </c>
      <c r="O58" t="s" s="0">
        <v>1622</v>
      </c>
      <c r="P58" t="s" s="0">
        <v>1623</v>
      </c>
      <c r="Q58" t="s" s="0">
        <v>90</v>
      </c>
      <c r="R58" t="s" s="0">
        <v>81</v>
      </c>
      <c r="S58" t="s" s="0">
        <v>81</v>
      </c>
      <c r="T58" t="s" s="0">
        <v>81</v>
      </c>
      <c r="U58" t="s" s="0">
        <v>81</v>
      </c>
      <c r="V58" t="s" s="0">
        <v>1624</v>
      </c>
      <c r="W58" t="s" s="0">
        <v>234</v>
      </c>
      <c r="X58" t="s" s="0">
        <v>81</v>
      </c>
      <c r="Y58" t="s" s="0">
        <v>81</v>
      </c>
      <c r="Z58" t="s" s="0">
        <v>93</v>
      </c>
      <c r="AA58" t="s" s="0">
        <v>94</v>
      </c>
      <c r="AB58" t="s" s="0">
        <v>81</v>
      </c>
      <c r="AC58" t="s" s="0">
        <v>81</v>
      </c>
      <c r="AD58" t="s" s="0">
        <v>81</v>
      </c>
      <c r="AE58" t="s" s="0">
        <v>81</v>
      </c>
      <c r="AF58" t="s" s="0">
        <v>81</v>
      </c>
      <c r="AG58" t="s" s="0">
        <v>1625</v>
      </c>
      <c r="AH58" t="s" s="0">
        <v>1626</v>
      </c>
      <c r="AI58" t="s" s="0">
        <v>1627</v>
      </c>
      <c r="AJ58" t="s" s="0">
        <v>1628</v>
      </c>
      <c r="AK58" t="s" s="0">
        <v>81</v>
      </c>
      <c r="AL58" t="s" s="0">
        <v>1629</v>
      </c>
      <c r="AM58" t="s" s="0">
        <v>158</v>
      </c>
      <c r="AN58" t="s" s="0">
        <v>158</v>
      </c>
      <c r="AO58" t="s" s="0">
        <v>182</v>
      </c>
      <c r="AP58" t="s" s="0">
        <v>182</v>
      </c>
      <c r="AQ58" t="s" s="0">
        <v>140</v>
      </c>
      <c r="AR58" t="s" s="0">
        <v>141</v>
      </c>
      <c r="AS58" t="s" s="0">
        <v>142</v>
      </c>
      <c r="AT58" t="s" s="0">
        <v>240</v>
      </c>
      <c r="AU58" t="s" s="0">
        <v>241</v>
      </c>
      <c r="AV58" t="s" s="0">
        <v>81</v>
      </c>
      <c r="AW58" t="s" s="0">
        <v>242</v>
      </c>
      <c r="AX58" t="s" s="0">
        <v>243</v>
      </c>
      <c r="AY58" t="s" s="0">
        <v>1630</v>
      </c>
      <c r="AZ58" t="s" s="0">
        <v>212</v>
      </c>
      <c r="BA58" t="s" s="0">
        <v>1631</v>
      </c>
      <c r="BB58" t="s" s="0">
        <v>81</v>
      </c>
      <c r="BC58" t="s" s="0">
        <v>81</v>
      </c>
      <c r="BD58" t="s" s="0">
        <v>81</v>
      </c>
      <c r="BE58" t="s" s="0">
        <v>81</v>
      </c>
      <c r="BF58" t="s" s="0">
        <v>81</v>
      </c>
      <c r="BG58" t="s" s="0">
        <v>81</v>
      </c>
      <c r="BH58" t="s" s="0">
        <v>81</v>
      </c>
      <c r="BI58" t="s" s="0">
        <v>1632</v>
      </c>
      <c r="BJ58" t="s" s="0">
        <v>1633</v>
      </c>
      <c r="BK58" t="s" s="113">
        <f>HYPERLINK("http://dx.doi.org/10.1016/j.inffus.2026.104437","http://dx.doi.org/10.1016/j.inffus.2026.104437")</f>
        <v>1634</v>
      </c>
      <c r="BL58" t="s" s="0">
        <v>81</v>
      </c>
      <c r="BM58" t="s" s="0">
        <v>81</v>
      </c>
      <c r="BN58" t="s" s="0">
        <v>652</v>
      </c>
      <c r="BO58" t="s" s="0">
        <v>249</v>
      </c>
      <c r="BP58" t="s" s="0">
        <v>250</v>
      </c>
      <c r="BQ58" t="s" s="0">
        <v>1635</v>
      </c>
      <c r="BR58" t="s" s="0">
        <v>81</v>
      </c>
      <c r="BS58" t="s" s="0">
        <v>1636</v>
      </c>
      <c r="BT58" t="s" s="114">
        <f>HYPERLINK("https://www.webofscience.com/wos/woscc/full-record/WOS:001778956600001","View Record in Web of Science")</f>
        <v>123</v>
      </c>
      <c r="BU58" t="s" s="0">
        <v>523</v>
      </c>
      <c r="BV58" t="s" s="0">
        <v>81</v>
      </c>
      <c r="BW58" t="s" s="0">
        <v>81</v>
      </c>
      <c r="BX58" t="s" s="0">
        <v>124</v>
      </c>
    </row>
    <row r="59">
      <c r="A59" t="s" s="0">
        <v>77</v>
      </c>
      <c r="B59" t="s" s="0">
        <v>77</v>
      </c>
      <c r="C59" t="s" s="0">
        <v>100</v>
      </c>
      <c r="D59" t="s" s="0">
        <v>77</v>
      </c>
      <c r="E59" t="s" s="0">
        <v>1637</v>
      </c>
      <c r="F59" t="s" s="0">
        <v>1638</v>
      </c>
      <c r="G59" t="s" s="0">
        <v>1639</v>
      </c>
      <c r="H59" t="s" s="0">
        <v>81</v>
      </c>
      <c r="I59" t="s" s="0">
        <v>82</v>
      </c>
      <c r="J59" t="s" s="0">
        <v>1640</v>
      </c>
      <c r="K59" t="s" s="0">
        <v>1641</v>
      </c>
      <c r="L59" t="s" s="0">
        <v>1642</v>
      </c>
      <c r="M59" t="s" s="0">
        <v>1643</v>
      </c>
      <c r="N59" t="s" s="0">
        <v>1644</v>
      </c>
      <c r="O59" t="s" s="0">
        <v>1645</v>
      </c>
      <c r="P59" t="s" s="0">
        <v>1646</v>
      </c>
      <c r="Q59" t="s" s="0">
        <v>90</v>
      </c>
      <c r="R59" t="s" s="0">
        <v>81</v>
      </c>
      <c r="S59" t="s" s="0">
        <v>81</v>
      </c>
      <c r="T59" t="s" s="0">
        <v>81</v>
      </c>
      <c r="U59" t="s" s="0">
        <v>81</v>
      </c>
      <c r="V59" t="s" s="0">
        <v>1647</v>
      </c>
      <c r="W59" t="s" s="0">
        <v>844</v>
      </c>
      <c r="X59" t="s" s="0">
        <v>81</v>
      </c>
      <c r="Y59" t="s" s="0">
        <v>81</v>
      </c>
      <c r="Z59" t="s" s="0">
        <v>93</v>
      </c>
      <c r="AA59" t="s" s="0">
        <v>94</v>
      </c>
      <c r="AB59" t="s" s="0">
        <v>81</v>
      </c>
      <c r="AC59" t="s" s="0">
        <v>81</v>
      </c>
      <c r="AD59" t="s" s="0">
        <v>81</v>
      </c>
      <c r="AE59" t="s" s="0">
        <v>81</v>
      </c>
      <c r="AF59" t="s" s="0">
        <v>81</v>
      </c>
      <c r="AG59" t="s" s="0">
        <v>1648</v>
      </c>
      <c r="AH59" t="s" s="0">
        <v>1649</v>
      </c>
      <c r="AI59" t="s" s="0">
        <v>81</v>
      </c>
      <c r="AJ59" t="s" s="0">
        <v>1650</v>
      </c>
      <c r="AK59" t="s" s="0">
        <v>81</v>
      </c>
      <c r="AL59" t="s" s="0">
        <v>1651</v>
      </c>
      <c r="AM59" t="s" s="0">
        <v>267</v>
      </c>
      <c r="AN59" t="s" s="0">
        <v>566</v>
      </c>
      <c r="AO59" t="s" s="0">
        <v>137</v>
      </c>
      <c r="AP59" t="s" s="0">
        <v>1652</v>
      </c>
      <c r="AQ59" t="s" s="0">
        <v>852</v>
      </c>
      <c r="AR59" t="s" s="0">
        <v>853</v>
      </c>
      <c r="AS59" t="s" s="0">
        <v>854</v>
      </c>
      <c r="AT59" t="s" s="0">
        <v>855</v>
      </c>
      <c r="AU59" t="s" s="0">
        <v>856</v>
      </c>
      <c r="AV59" t="s" s="0">
        <v>81</v>
      </c>
      <c r="AW59" t="s" s="0">
        <v>857</v>
      </c>
      <c r="AX59" t="s" s="0">
        <v>858</v>
      </c>
      <c r="AY59" t="s" s="0">
        <v>1653</v>
      </c>
      <c r="AZ59" t="s" s="0">
        <v>181</v>
      </c>
      <c r="BA59" t="s" s="0">
        <v>1654</v>
      </c>
      <c r="BB59" t="s" s="0">
        <v>81</v>
      </c>
      <c r="BC59" t="s" s="0">
        <v>81</v>
      </c>
      <c r="BD59" t="s" s="0">
        <v>81</v>
      </c>
      <c r="BE59" t="s" s="0">
        <v>81</v>
      </c>
      <c r="BF59" t="s" s="0">
        <v>81</v>
      </c>
      <c r="BG59" t="s" s="0">
        <v>81</v>
      </c>
      <c r="BH59" t="s" s="0">
        <v>81</v>
      </c>
      <c r="BI59" t="s" s="0">
        <v>1655</v>
      </c>
      <c r="BJ59" t="s" s="0">
        <v>1656</v>
      </c>
      <c r="BK59" t="s" s="115">
        <f>HYPERLINK("http://dx.doi.org/10.1016/j.jbi.2023.104415","http://dx.doi.org/10.1016/j.jbi.2023.104415")</f>
        <v>1657</v>
      </c>
      <c r="BL59" t="s" s="0">
        <v>81</v>
      </c>
      <c r="BM59" t="s" s="0">
        <v>1658</v>
      </c>
      <c r="BN59" t="s" s="0">
        <v>213</v>
      </c>
      <c r="BO59" t="s" s="0">
        <v>865</v>
      </c>
      <c r="BP59" t="s" s="0">
        <v>866</v>
      </c>
      <c r="BQ59" t="s" s="0">
        <v>1659</v>
      </c>
      <c r="BR59" t="s" s="0">
        <v>1660</v>
      </c>
      <c r="BS59" t="s" s="0">
        <v>1661</v>
      </c>
      <c r="BT59" t="s" s="116">
        <f>HYPERLINK("https://www.webofscience.com/wos/woscc/full-record/WOS:001036089700001","View Record in Web of Science")</f>
        <v>123</v>
      </c>
      <c r="BU59" t="s" s="0">
        <v>523</v>
      </c>
      <c r="BV59" t="s" s="0">
        <v>81</v>
      </c>
      <c r="BW59" t="s" s="0">
        <v>81</v>
      </c>
      <c r="BX59" t="s" s="0">
        <v>124</v>
      </c>
    </row>
    <row r="60">
      <c r="A60" t="s" s="0">
        <v>77</v>
      </c>
      <c r="B60" t="s" s="0">
        <v>77</v>
      </c>
      <c r="C60" t="s" s="0">
        <v>77</v>
      </c>
      <c r="D60" t="s" s="0">
        <v>77</v>
      </c>
      <c r="E60" t="s" s="0">
        <v>1662</v>
      </c>
      <c r="F60" t="s" s="0">
        <v>1663</v>
      </c>
      <c r="G60" t="s" s="0">
        <v>1664</v>
      </c>
      <c r="H60" t="s" s="0">
        <v>81</v>
      </c>
      <c r="I60" t="s" s="0">
        <v>82</v>
      </c>
      <c r="J60" t="s" s="0">
        <v>1665</v>
      </c>
      <c r="K60" t="s" s="0">
        <v>1666</v>
      </c>
      <c r="L60" t="s" s="0">
        <v>1667</v>
      </c>
      <c r="M60" t="s" s="0">
        <v>1668</v>
      </c>
      <c r="N60" t="s" s="0">
        <v>1669</v>
      </c>
      <c r="O60" t="s" s="0">
        <v>1670</v>
      </c>
      <c r="P60" t="s" s="0">
        <v>1671</v>
      </c>
      <c r="Q60" t="s" s="0">
        <v>90</v>
      </c>
      <c r="R60" t="s" s="0">
        <v>81</v>
      </c>
      <c r="S60" t="s" s="0">
        <v>81</v>
      </c>
      <c r="T60" t="s" s="0">
        <v>81</v>
      </c>
      <c r="U60" t="s" s="0">
        <v>81</v>
      </c>
      <c r="V60" t="s" s="0">
        <v>1672</v>
      </c>
      <c r="W60" t="s" s="0">
        <v>1037</v>
      </c>
      <c r="X60" t="s" s="0">
        <v>81</v>
      </c>
      <c r="Y60" t="s" s="0">
        <v>81</v>
      </c>
      <c r="Z60" t="s" s="0">
        <v>93</v>
      </c>
      <c r="AA60" t="s" s="0">
        <v>94</v>
      </c>
      <c r="AB60" t="s" s="0">
        <v>81</v>
      </c>
      <c r="AC60" t="s" s="0">
        <v>81</v>
      </c>
      <c r="AD60" t="s" s="0">
        <v>81</v>
      </c>
      <c r="AE60" t="s" s="0">
        <v>81</v>
      </c>
      <c r="AF60" t="s" s="0">
        <v>81</v>
      </c>
      <c r="AG60" t="s" s="0">
        <v>1673</v>
      </c>
      <c r="AH60" t="s" s="0">
        <v>1674</v>
      </c>
      <c r="AI60" t="s" s="0">
        <v>1675</v>
      </c>
      <c r="AJ60" t="s" s="0">
        <v>81</v>
      </c>
      <c r="AK60" t="s" s="0">
        <v>81</v>
      </c>
      <c r="AL60" t="s" s="0">
        <v>137</v>
      </c>
      <c r="AM60" t="s" s="0">
        <v>137</v>
      </c>
      <c r="AN60" t="s" s="0">
        <v>137</v>
      </c>
      <c r="AO60" t="s" s="0">
        <v>101</v>
      </c>
      <c r="AP60" t="s" s="0">
        <v>158</v>
      </c>
      <c r="AQ60" t="s" s="0">
        <v>174</v>
      </c>
      <c r="AR60" t="s" s="0">
        <v>175</v>
      </c>
      <c r="AS60" t="s" s="0">
        <v>208</v>
      </c>
      <c r="AT60" t="s" s="0">
        <v>81</v>
      </c>
      <c r="AU60" t="s" s="0">
        <v>1041</v>
      </c>
      <c r="AV60" t="s" s="0">
        <v>81</v>
      </c>
      <c r="AW60" t="s" s="0">
        <v>1037</v>
      </c>
      <c r="AX60" t="s" s="0">
        <v>1042</v>
      </c>
      <c r="AY60" t="s" s="0">
        <v>1676</v>
      </c>
      <c r="AZ60" t="s" s="0">
        <v>212</v>
      </c>
      <c r="BA60" t="s" s="0">
        <v>461</v>
      </c>
      <c r="BB60" t="s" s="0">
        <v>101</v>
      </c>
      <c r="BC60" t="s" s="0">
        <v>81</v>
      </c>
      <c r="BD60" t="s" s="0">
        <v>81</v>
      </c>
      <c r="BE60" t="s" s="0">
        <v>81</v>
      </c>
      <c r="BF60" t="s" s="0">
        <v>81</v>
      </c>
      <c r="BG60" t="s" s="0">
        <v>81</v>
      </c>
      <c r="BH60" t="s" s="0">
        <v>81</v>
      </c>
      <c r="BI60" t="s" s="0">
        <v>1677</v>
      </c>
      <c r="BJ60" t="s" s="0">
        <v>1678</v>
      </c>
      <c r="BK60" t="s" s="117">
        <f>HYPERLINK("http://dx.doi.org/10.3390/cancers18020210","http://dx.doi.org/10.3390/cancers18020210")</f>
        <v>1679</v>
      </c>
      <c r="BL60" t="s" s="0">
        <v>81</v>
      </c>
      <c r="BM60" t="s" s="0">
        <v>81</v>
      </c>
      <c r="BN60" t="s" s="0">
        <v>652</v>
      </c>
      <c r="BO60" t="s" s="0">
        <v>1047</v>
      </c>
      <c r="BP60" t="s" s="0">
        <v>1047</v>
      </c>
      <c r="BQ60" t="s" s="0">
        <v>1680</v>
      </c>
      <c r="BR60" t="s" s="0">
        <v>1681</v>
      </c>
      <c r="BS60" t="s" s="0">
        <v>1682</v>
      </c>
      <c r="BT60" t="s" s="118">
        <f>HYPERLINK("https://www.webofscience.com/wos/woscc/full-record/WOS:001671995700001","View Record in Web of Science")</f>
        <v>123</v>
      </c>
      <c r="BU60" t="s" s="0">
        <v>191</v>
      </c>
      <c r="BV60" t="s" s="0">
        <v>81</v>
      </c>
      <c r="BW60" t="s" s="0">
        <v>81</v>
      </c>
      <c r="BX60" t="s" s="0">
        <v>124</v>
      </c>
    </row>
    <row r="61">
      <c r="A61" t="s" s="0">
        <v>77</v>
      </c>
      <c r="B61" t="s" s="0">
        <v>77</v>
      </c>
      <c r="C61" t="s" s="0">
        <v>301</v>
      </c>
      <c r="D61" t="s" s="0">
        <v>77</v>
      </c>
      <c r="E61" t="s" s="0">
        <v>1683</v>
      </c>
      <c r="F61" t="s" s="0">
        <v>1684</v>
      </c>
      <c r="G61" t="s" s="0">
        <v>1685</v>
      </c>
      <c r="H61" t="s" s="0">
        <v>81</v>
      </c>
      <c r="I61" t="s" s="0">
        <v>82</v>
      </c>
      <c r="J61" t="s" s="0">
        <v>1686</v>
      </c>
      <c r="K61" t="s" s="0">
        <v>1687</v>
      </c>
      <c r="L61" t="s" s="0">
        <v>81</v>
      </c>
      <c r="M61" t="s" s="0">
        <v>81</v>
      </c>
      <c r="N61" t="s" s="0">
        <v>81</v>
      </c>
      <c r="O61" t="s" s="0">
        <v>1688</v>
      </c>
      <c r="P61" t="s" s="0">
        <v>1689</v>
      </c>
      <c r="Q61" t="s" s="0">
        <v>90</v>
      </c>
      <c r="R61" t="s" s="0">
        <v>81</v>
      </c>
      <c r="S61" t="s" s="0">
        <v>81</v>
      </c>
      <c r="T61" t="s" s="0">
        <v>81</v>
      </c>
      <c r="U61" t="s" s="0">
        <v>81</v>
      </c>
      <c r="V61" t="s" s="0">
        <v>1690</v>
      </c>
      <c r="W61" t="s" s="0">
        <v>1691</v>
      </c>
      <c r="X61" t="s" s="0">
        <v>81</v>
      </c>
      <c r="Y61" t="s" s="0">
        <v>81</v>
      </c>
      <c r="Z61" t="s" s="0">
        <v>93</v>
      </c>
      <c r="AA61" t="s" s="0">
        <v>94</v>
      </c>
      <c r="AB61" t="s" s="0">
        <v>81</v>
      </c>
      <c r="AC61" t="s" s="0">
        <v>81</v>
      </c>
      <c r="AD61" t="s" s="0">
        <v>81</v>
      </c>
      <c r="AE61" t="s" s="0">
        <v>81</v>
      </c>
      <c r="AF61" t="s" s="0">
        <v>81</v>
      </c>
      <c r="AG61" t="s" s="0">
        <v>1692</v>
      </c>
      <c r="AH61" t="s" s="0">
        <v>1693</v>
      </c>
      <c r="AI61" t="s" s="0">
        <v>1694</v>
      </c>
      <c r="AJ61" t="s" s="0">
        <v>1695</v>
      </c>
      <c r="AK61" t="s" s="0">
        <v>81</v>
      </c>
      <c r="AL61" t="s" s="0">
        <v>457</v>
      </c>
      <c r="AM61" t="s" s="0">
        <v>117</v>
      </c>
      <c r="AN61" t="s" s="0">
        <v>1110</v>
      </c>
      <c r="AO61" t="s" s="0">
        <v>101</v>
      </c>
      <c r="AP61" t="s" s="0">
        <v>182</v>
      </c>
      <c r="AQ61" t="s" s="0">
        <v>268</v>
      </c>
      <c r="AR61" t="s" s="0">
        <v>269</v>
      </c>
      <c r="AS61" t="s" s="0">
        <v>270</v>
      </c>
      <c r="AT61" t="s" s="0">
        <v>81</v>
      </c>
      <c r="AU61" t="s" s="0">
        <v>1696</v>
      </c>
      <c r="AV61" t="s" s="0">
        <v>81</v>
      </c>
      <c r="AW61" t="s" s="0">
        <v>1697</v>
      </c>
      <c r="AX61" t="s" s="0">
        <v>1698</v>
      </c>
      <c r="AY61" t="s" s="0">
        <v>1699</v>
      </c>
      <c r="AZ61" t="s" s="0">
        <v>309</v>
      </c>
      <c r="BA61" t="s" s="0">
        <v>275</v>
      </c>
      <c r="BB61" t="s" s="0">
        <v>137</v>
      </c>
      <c r="BC61" t="s" s="0">
        <v>81</v>
      </c>
      <c r="BD61" t="s" s="0">
        <v>81</v>
      </c>
      <c r="BE61" t="s" s="0">
        <v>81</v>
      </c>
      <c r="BF61" t="s" s="0">
        <v>81</v>
      </c>
      <c r="BG61" t="s" s="0">
        <v>81</v>
      </c>
      <c r="BH61" t="s" s="0">
        <v>81</v>
      </c>
      <c r="BI61" t="s" s="0">
        <v>1700</v>
      </c>
      <c r="BJ61" t="s" s="0">
        <v>1701</v>
      </c>
      <c r="BK61" t="s" s="119">
        <f>HYPERLINK("http://dx.doi.org/10.1186/s12911-024-02772-0","http://dx.doi.org/10.1186/s12911-024-02772-0")</f>
        <v>1702</v>
      </c>
      <c r="BL61" t="s" s="0">
        <v>81</v>
      </c>
      <c r="BM61" t="s" s="0">
        <v>81</v>
      </c>
      <c r="BN61" t="s" s="0">
        <v>217</v>
      </c>
      <c r="BO61" t="s" s="0">
        <v>1703</v>
      </c>
      <c r="BP61" t="s" s="0">
        <v>1703</v>
      </c>
      <c r="BQ61" t="s" s="0">
        <v>1704</v>
      </c>
      <c r="BR61" t="s" s="0">
        <v>1705</v>
      </c>
      <c r="BS61" t="s" s="0">
        <v>1706</v>
      </c>
      <c r="BT61" t="s" s="120">
        <f>HYPERLINK("https://www.webofscience.com/wos/woscc/full-record/WOS:001361222400001","View Record in Web of Science")</f>
        <v>123</v>
      </c>
      <c r="BU61" t="s" s="0">
        <v>191</v>
      </c>
      <c r="BV61" t="s" s="0">
        <v>81</v>
      </c>
      <c r="BW61" t="s" s="0">
        <v>81</v>
      </c>
      <c r="BX61" t="s" s="0">
        <v>124</v>
      </c>
    </row>
    <row r="62">
      <c r="A62" t="s" s="0">
        <v>77</v>
      </c>
      <c r="B62" t="s" s="0">
        <v>77</v>
      </c>
      <c r="C62" t="s" s="0">
        <v>77</v>
      </c>
      <c r="D62" t="s" s="0">
        <v>77</v>
      </c>
      <c r="E62" t="s" s="0">
        <v>1707</v>
      </c>
      <c r="F62" t="s" s="0">
        <v>1708</v>
      </c>
      <c r="G62" t="s" s="0">
        <v>1709</v>
      </c>
      <c r="H62" t="s" s="0">
        <v>81</v>
      </c>
      <c r="I62" t="s" s="0">
        <v>195</v>
      </c>
      <c r="J62" t="s" s="0">
        <v>1710</v>
      </c>
      <c r="K62" t="s" s="0">
        <v>1711</v>
      </c>
      <c r="L62" t="s" s="0">
        <v>1712</v>
      </c>
      <c r="M62" t="s" s="0">
        <v>1713</v>
      </c>
      <c r="N62" t="s" s="0">
        <v>1714</v>
      </c>
      <c r="O62" t="s" s="0">
        <v>1715</v>
      </c>
      <c r="P62" t="s" s="0">
        <v>1716</v>
      </c>
      <c r="Q62" t="s" s="0">
        <v>90</v>
      </c>
      <c r="R62" t="s" s="0">
        <v>81</v>
      </c>
      <c r="S62" t="s" s="0">
        <v>81</v>
      </c>
      <c r="T62" t="s" s="0">
        <v>81</v>
      </c>
      <c r="U62" t="s" s="0">
        <v>81</v>
      </c>
      <c r="V62" t="s" s="0">
        <v>1717</v>
      </c>
      <c r="W62" t="s" s="0">
        <v>1718</v>
      </c>
      <c r="X62" t="s" s="0">
        <v>81</v>
      </c>
      <c r="Y62" t="s" s="0">
        <v>81</v>
      </c>
      <c r="Z62" t="s" s="0">
        <v>93</v>
      </c>
      <c r="AA62" t="s" s="0">
        <v>94</v>
      </c>
      <c r="AB62" t="s" s="0">
        <v>81</v>
      </c>
      <c r="AC62" t="s" s="0">
        <v>81</v>
      </c>
      <c r="AD62" t="s" s="0">
        <v>81</v>
      </c>
      <c r="AE62" t="s" s="0">
        <v>81</v>
      </c>
      <c r="AF62" t="s" s="0">
        <v>81</v>
      </c>
      <c r="AG62" t="s" s="0">
        <v>1719</v>
      </c>
      <c r="AH62" t="s" s="0">
        <v>81</v>
      </c>
      <c r="AI62" t="s" s="0">
        <v>1720</v>
      </c>
      <c r="AJ62" t="s" s="0">
        <v>1721</v>
      </c>
      <c r="AK62" t="s" s="0">
        <v>81</v>
      </c>
      <c r="AL62" t="s" s="0">
        <v>207</v>
      </c>
      <c r="AM62" t="s" s="0">
        <v>100</v>
      </c>
      <c r="AN62" t="s" s="0">
        <v>100</v>
      </c>
      <c r="AO62" t="s" s="0">
        <v>301</v>
      </c>
      <c r="AP62" t="s" s="0">
        <v>158</v>
      </c>
      <c r="AQ62" t="s" s="0">
        <v>1722</v>
      </c>
      <c r="AR62" t="s" s="0">
        <v>1723</v>
      </c>
      <c r="AS62" t="s" s="0">
        <v>1724</v>
      </c>
      <c r="AT62" t="s" s="0">
        <v>81</v>
      </c>
      <c r="AU62" t="s" s="0">
        <v>1725</v>
      </c>
      <c r="AV62" t="s" s="0">
        <v>81</v>
      </c>
      <c r="AW62" t="s" s="0">
        <v>1718</v>
      </c>
      <c r="AX62" t="s" s="0">
        <v>1718</v>
      </c>
      <c r="AY62" t="s" s="0">
        <v>111</v>
      </c>
      <c r="AZ62" t="s" s="0">
        <v>111</v>
      </c>
      <c r="BA62" t="s" s="0">
        <v>301</v>
      </c>
      <c r="BB62" t="s" s="0">
        <v>81</v>
      </c>
      <c r="BC62" t="s" s="0">
        <v>81</v>
      </c>
      <c r="BD62" t="s" s="0">
        <v>81</v>
      </c>
      <c r="BE62" t="s" s="0">
        <v>81</v>
      </c>
      <c r="BF62" t="s" s="0">
        <v>81</v>
      </c>
      <c r="BG62" t="s" s="0">
        <v>81</v>
      </c>
      <c r="BH62" t="s" s="0">
        <v>81</v>
      </c>
      <c r="BI62" t="s" s="0">
        <v>1726</v>
      </c>
      <c r="BJ62" t="s" s="0">
        <v>1727</v>
      </c>
      <c r="BK62" t="s" s="121">
        <f>HYPERLINK("http://dx.doi.org/10.2196/67356","http://dx.doi.org/10.2196/67356")</f>
        <v>1728</v>
      </c>
      <c r="BL62" t="s" s="0">
        <v>81</v>
      </c>
      <c r="BM62" t="s" s="0">
        <v>81</v>
      </c>
      <c r="BN62" t="s" s="0">
        <v>117</v>
      </c>
      <c r="BO62" t="s" s="0">
        <v>1093</v>
      </c>
      <c r="BP62" t="s" s="0">
        <v>1093</v>
      </c>
      <c r="BQ62" t="s" s="0">
        <v>1729</v>
      </c>
      <c r="BR62" t="s" s="0">
        <v>1730</v>
      </c>
      <c r="BS62" t="s" s="0">
        <v>1731</v>
      </c>
      <c r="BT62" t="s" s="122">
        <f>HYPERLINK("https://www.webofscience.com/wos/woscc/full-record/WOS:001488674200001","View Record in Web of Science")</f>
        <v>123</v>
      </c>
      <c r="BU62" t="s" s="0">
        <v>191</v>
      </c>
      <c r="BV62" t="s" s="0">
        <v>81</v>
      </c>
      <c r="BW62" t="s" s="0">
        <v>81</v>
      </c>
      <c r="BX62" t="s" s="0">
        <v>124</v>
      </c>
    </row>
    <row r="63">
      <c r="A63" t="s" s="0">
        <v>77</v>
      </c>
      <c r="B63" t="s" s="0">
        <v>77</v>
      </c>
      <c r="C63" t="s" s="0">
        <v>77</v>
      </c>
      <c r="D63" t="s" s="0">
        <v>77</v>
      </c>
      <c r="E63" t="s" s="0">
        <v>1732</v>
      </c>
      <c r="F63" t="s" s="0">
        <v>1733</v>
      </c>
      <c r="G63" t="s" s="0">
        <v>1734</v>
      </c>
      <c r="H63" t="s" s="0">
        <v>81</v>
      </c>
      <c r="I63" t="s" s="0">
        <v>82</v>
      </c>
      <c r="J63" t="s" s="0">
        <v>1735</v>
      </c>
      <c r="K63" t="s" s="0">
        <v>1736</v>
      </c>
      <c r="L63" t="s" s="0">
        <v>1737</v>
      </c>
      <c r="M63" t="s" s="0">
        <v>1738</v>
      </c>
      <c r="N63" t="s" s="0">
        <v>1739</v>
      </c>
      <c r="O63" t="s" s="0">
        <v>1740</v>
      </c>
      <c r="P63" t="s" s="0">
        <v>1741</v>
      </c>
      <c r="Q63" t="s" s="0">
        <v>90</v>
      </c>
      <c r="R63" t="s" s="0">
        <v>81</v>
      </c>
      <c r="S63" t="s" s="0">
        <v>81</v>
      </c>
      <c r="T63" t="s" s="0">
        <v>81</v>
      </c>
      <c r="U63" t="s" s="0">
        <v>81</v>
      </c>
      <c r="V63" t="s" s="0">
        <v>1742</v>
      </c>
      <c r="W63" t="s" s="0">
        <v>1743</v>
      </c>
      <c r="X63" t="s" s="0">
        <v>81</v>
      </c>
      <c r="Y63" t="s" s="0">
        <v>81</v>
      </c>
      <c r="Z63" t="s" s="0">
        <v>93</v>
      </c>
      <c r="AA63" t="s" s="0">
        <v>94</v>
      </c>
      <c r="AB63" t="s" s="0">
        <v>81</v>
      </c>
      <c r="AC63" t="s" s="0">
        <v>81</v>
      </c>
      <c r="AD63" t="s" s="0">
        <v>81</v>
      </c>
      <c r="AE63" t="s" s="0">
        <v>81</v>
      </c>
      <c r="AF63" t="s" s="0">
        <v>81</v>
      </c>
      <c r="AG63" t="s" s="0">
        <v>81</v>
      </c>
      <c r="AH63" t="s" s="0">
        <v>1744</v>
      </c>
      <c r="AI63" t="s" s="0">
        <v>1745</v>
      </c>
      <c r="AJ63" t="s" s="0">
        <v>1746</v>
      </c>
      <c r="AK63" t="s" s="0">
        <v>81</v>
      </c>
      <c r="AL63" t="s" s="0">
        <v>1747</v>
      </c>
      <c r="AM63" t="s" s="0">
        <v>152</v>
      </c>
      <c r="AN63" t="s" s="0">
        <v>117</v>
      </c>
      <c r="AO63" t="s" s="0">
        <v>652</v>
      </c>
      <c r="AP63" t="s" s="0">
        <v>513</v>
      </c>
      <c r="AQ63" t="s" s="0">
        <v>302</v>
      </c>
      <c r="AR63" t="s" s="0">
        <v>303</v>
      </c>
      <c r="AS63" t="s" s="0">
        <v>304</v>
      </c>
      <c r="AT63" t="s" s="0">
        <v>81</v>
      </c>
      <c r="AU63" t="s" s="0">
        <v>1748</v>
      </c>
      <c r="AV63" t="s" s="0">
        <v>81</v>
      </c>
      <c r="AW63" t="s" s="0">
        <v>1749</v>
      </c>
      <c r="AX63" t="s" s="0">
        <v>1750</v>
      </c>
      <c r="AY63" t="s" s="0">
        <v>1751</v>
      </c>
      <c r="AZ63" t="s" s="0">
        <v>111</v>
      </c>
      <c r="BA63" t="s" s="0">
        <v>152</v>
      </c>
      <c r="BB63" t="s" s="0">
        <v>137</v>
      </c>
      <c r="BC63" t="s" s="0">
        <v>81</v>
      </c>
      <c r="BD63" t="s" s="0">
        <v>81</v>
      </c>
      <c r="BE63" t="s" s="0">
        <v>81</v>
      </c>
      <c r="BF63" t="s" s="0">
        <v>81</v>
      </c>
      <c r="BG63" t="s" s="0">
        <v>81</v>
      </c>
      <c r="BH63" t="s" s="0">
        <v>81</v>
      </c>
      <c r="BI63" t="s" s="0">
        <v>1752</v>
      </c>
      <c r="BJ63" t="s" s="0">
        <v>1753</v>
      </c>
      <c r="BK63" t="s" s="123">
        <f>HYPERLINK("http://dx.doi.org/10.1038/s41524-025-01767-3","http://dx.doi.org/10.1038/s41524-025-01767-3")</f>
        <v>1754</v>
      </c>
      <c r="BL63" t="s" s="0">
        <v>81</v>
      </c>
      <c r="BM63" t="s" s="0">
        <v>81</v>
      </c>
      <c r="BN63" t="s" s="0">
        <v>182</v>
      </c>
      <c r="BO63" t="s" s="0">
        <v>1755</v>
      </c>
      <c r="BP63" t="s" s="0">
        <v>1756</v>
      </c>
      <c r="BQ63" t="s" s="0">
        <v>1757</v>
      </c>
      <c r="BR63" t="s" s="0">
        <v>81</v>
      </c>
      <c r="BS63" t="s" s="0">
        <v>1758</v>
      </c>
      <c r="BT63" t="s" s="124">
        <f>HYPERLINK("https://www.webofscience.com/wos/woscc/full-record/WOS:001558608800001","View Record in Web of Science")</f>
        <v>123</v>
      </c>
      <c r="BU63" t="s" s="0">
        <v>191</v>
      </c>
      <c r="BV63" t="s" s="0">
        <v>81</v>
      </c>
      <c r="BW63" t="s" s="0">
        <v>81</v>
      </c>
      <c r="BX63" t="s" s="0">
        <v>124</v>
      </c>
    </row>
    <row r="64">
      <c r="A64" t="s" s="0">
        <v>77</v>
      </c>
      <c r="B64" t="s" s="0">
        <v>77</v>
      </c>
      <c r="C64" t="s" s="0">
        <v>77</v>
      </c>
      <c r="D64" t="s" s="0">
        <v>77</v>
      </c>
      <c r="E64" t="s" s="0">
        <v>1759</v>
      </c>
      <c r="F64" t="s" s="0">
        <v>1760</v>
      </c>
      <c r="G64" t="s" s="0">
        <v>1761</v>
      </c>
      <c r="H64" t="s" s="0">
        <v>81</v>
      </c>
      <c r="I64" t="s" s="0">
        <v>195</v>
      </c>
      <c r="J64" t="s" s="0">
        <v>1762</v>
      </c>
      <c r="K64" t="s" s="0">
        <v>1763</v>
      </c>
      <c r="L64" t="s" s="0">
        <v>1764</v>
      </c>
      <c r="M64" t="s" s="0">
        <v>1765</v>
      </c>
      <c r="N64" t="s" s="0">
        <v>1766</v>
      </c>
      <c r="O64" t="s" s="0">
        <v>1767</v>
      </c>
      <c r="P64" t="s" s="0">
        <v>1768</v>
      </c>
      <c r="Q64" t="s" s="0">
        <v>90</v>
      </c>
      <c r="R64" t="s" s="0">
        <v>81</v>
      </c>
      <c r="S64" t="s" s="0">
        <v>81</v>
      </c>
      <c r="T64" t="s" s="0">
        <v>81</v>
      </c>
      <c r="U64" t="s" s="0">
        <v>81</v>
      </c>
      <c r="V64" t="s" s="0">
        <v>1769</v>
      </c>
      <c r="W64" t="s" s="0">
        <v>1770</v>
      </c>
      <c r="X64" t="s" s="0">
        <v>81</v>
      </c>
      <c r="Y64" t="s" s="0">
        <v>81</v>
      </c>
      <c r="Z64" t="s" s="0">
        <v>93</v>
      </c>
      <c r="AA64" t="s" s="0">
        <v>94</v>
      </c>
      <c r="AB64" t="s" s="0">
        <v>81</v>
      </c>
      <c r="AC64" t="s" s="0">
        <v>81</v>
      </c>
      <c r="AD64" t="s" s="0">
        <v>81</v>
      </c>
      <c r="AE64" t="s" s="0">
        <v>81</v>
      </c>
      <c r="AF64" t="s" s="0">
        <v>81</v>
      </c>
      <c r="AG64" t="s" s="0">
        <v>81</v>
      </c>
      <c r="AH64" t="s" s="0">
        <v>81</v>
      </c>
      <c r="AI64" t="s" s="0">
        <v>1771</v>
      </c>
      <c r="AJ64" t="s" s="0">
        <v>81</v>
      </c>
      <c r="AK64" t="s" s="0">
        <v>81</v>
      </c>
      <c r="AL64" t="s" s="0">
        <v>587</v>
      </c>
      <c r="AM64" t="s" s="0">
        <v>77</v>
      </c>
      <c r="AN64" t="s" s="0">
        <v>77</v>
      </c>
      <c r="AO64" t="s" s="0">
        <v>77</v>
      </c>
      <c r="AP64" t="s" s="0">
        <v>77</v>
      </c>
      <c r="AQ64" t="s" s="0">
        <v>1772</v>
      </c>
      <c r="AR64" t="s" s="0">
        <v>1773</v>
      </c>
      <c r="AS64" t="s" s="0">
        <v>1774</v>
      </c>
      <c r="AT64" t="s" s="0">
        <v>81</v>
      </c>
      <c r="AU64" t="s" s="0">
        <v>1775</v>
      </c>
      <c r="AV64" t="s" s="0">
        <v>81</v>
      </c>
      <c r="AW64" t="s" s="0">
        <v>1776</v>
      </c>
      <c r="AX64" t="s" s="0">
        <v>1777</v>
      </c>
      <c r="AY64" t="s" s="0">
        <v>827</v>
      </c>
      <c r="AZ64" t="s" s="0">
        <v>212</v>
      </c>
      <c r="BA64" t="s" s="0">
        <v>158</v>
      </c>
      <c r="BB64" t="s" s="0">
        <v>183</v>
      </c>
      <c r="BC64" t="s" s="0">
        <v>81</v>
      </c>
      <c r="BD64" t="s" s="0">
        <v>81</v>
      </c>
      <c r="BE64" t="s" s="0">
        <v>81</v>
      </c>
      <c r="BF64" t="s" s="0">
        <v>81</v>
      </c>
      <c r="BG64" t="s" s="0">
        <v>81</v>
      </c>
      <c r="BH64" t="s" s="0">
        <v>81</v>
      </c>
      <c r="BI64" t="s" s="0">
        <v>1778</v>
      </c>
      <c r="BJ64" t="s" s="0">
        <v>1779</v>
      </c>
      <c r="BK64" t="s" s="125">
        <f>HYPERLINK("http://dx.doi.org/10.1371/journal.pdig.0001517","http://dx.doi.org/10.1371/journal.pdig.0001517")</f>
        <v>1780</v>
      </c>
      <c r="BL64" t="s" s="0">
        <v>81</v>
      </c>
      <c r="BM64" t="s" s="0">
        <v>81</v>
      </c>
      <c r="BN64" t="s" s="0">
        <v>676</v>
      </c>
      <c r="BO64" t="s" s="0">
        <v>1093</v>
      </c>
      <c r="BP64" t="s" s="0">
        <v>1093</v>
      </c>
      <c r="BQ64" t="s" s="0">
        <v>1781</v>
      </c>
      <c r="BR64" t="s" s="0">
        <v>1782</v>
      </c>
      <c r="BS64" t="s" s="0">
        <v>1783</v>
      </c>
      <c r="BT64" t="s" s="126">
        <f>HYPERLINK("https://www.webofscience.com/wos/woscc/full-record/WOS:001823121700001","View Record in Web of Science")</f>
        <v>123</v>
      </c>
      <c r="BU64" t="s" s="0">
        <v>191</v>
      </c>
      <c r="BV64" t="s" s="0">
        <v>81</v>
      </c>
      <c r="BW64" t="s" s="0">
        <v>81</v>
      </c>
      <c r="BX64" t="s" s="0">
        <v>124</v>
      </c>
    </row>
    <row r="65">
      <c r="A65" t="s" s="0">
        <v>77</v>
      </c>
      <c r="B65" t="s" s="0">
        <v>77</v>
      </c>
      <c r="C65" t="s" s="0">
        <v>77</v>
      </c>
      <c r="D65" t="s" s="0">
        <v>77</v>
      </c>
      <c r="E65" t="s" s="0">
        <v>1784</v>
      </c>
      <c r="F65" t="s" s="0">
        <v>1785</v>
      </c>
      <c r="G65" t="s" s="0">
        <v>1786</v>
      </c>
      <c r="H65" t="s" s="0">
        <v>81</v>
      </c>
      <c r="I65" t="s" s="0">
        <v>82</v>
      </c>
      <c r="J65" t="s" s="0">
        <v>1787</v>
      </c>
      <c r="K65" t="s" s="0">
        <v>1788</v>
      </c>
      <c r="L65" t="s" s="0">
        <v>81</v>
      </c>
      <c r="M65" t="s" s="0">
        <v>81</v>
      </c>
      <c r="N65" t="s" s="0">
        <v>81</v>
      </c>
      <c r="O65" t="s" s="0">
        <v>1789</v>
      </c>
      <c r="P65" t="s" s="0">
        <v>1790</v>
      </c>
      <c r="Q65" t="s" s="0">
        <v>90</v>
      </c>
      <c r="R65" t="s" s="0">
        <v>81</v>
      </c>
      <c r="S65" t="s" s="0">
        <v>81</v>
      </c>
      <c r="T65" t="s" s="0">
        <v>81</v>
      </c>
      <c r="U65" t="s" s="0">
        <v>81</v>
      </c>
      <c r="V65" t="s" s="0">
        <v>1791</v>
      </c>
      <c r="W65" t="s" s="0">
        <v>1792</v>
      </c>
      <c r="X65" t="s" s="0">
        <v>81</v>
      </c>
      <c r="Y65" t="s" s="0">
        <v>81</v>
      </c>
      <c r="Z65" t="s" s="0">
        <v>93</v>
      </c>
      <c r="AA65" t="s" s="0">
        <v>94</v>
      </c>
      <c r="AB65" t="s" s="0">
        <v>81</v>
      </c>
      <c r="AC65" t="s" s="0">
        <v>81</v>
      </c>
      <c r="AD65" t="s" s="0">
        <v>81</v>
      </c>
      <c r="AE65" t="s" s="0">
        <v>81</v>
      </c>
      <c r="AF65" t="s" s="0">
        <v>81</v>
      </c>
      <c r="AG65" t="s" s="0">
        <v>1793</v>
      </c>
      <c r="AH65" t="s" s="0">
        <v>81</v>
      </c>
      <c r="AI65" t="s" s="0">
        <v>1794</v>
      </c>
      <c r="AJ65" t="s" s="0">
        <v>1795</v>
      </c>
      <c r="AK65" t="s" s="0">
        <v>81</v>
      </c>
      <c r="AL65" t="s" s="0">
        <v>566</v>
      </c>
      <c r="AM65" t="s" s="0">
        <v>333</v>
      </c>
      <c r="AN65" t="s" s="0">
        <v>333</v>
      </c>
      <c r="AO65" t="s" s="0">
        <v>399</v>
      </c>
      <c r="AP65" t="s" s="0">
        <v>213</v>
      </c>
      <c r="AQ65" t="s" s="0">
        <v>786</v>
      </c>
      <c r="AR65" t="s" s="0">
        <v>787</v>
      </c>
      <c r="AS65" t="s" s="0">
        <v>788</v>
      </c>
      <c r="AT65" t="s" s="0">
        <v>1796</v>
      </c>
      <c r="AU65" t="s" s="0">
        <v>1797</v>
      </c>
      <c r="AV65" t="s" s="0">
        <v>81</v>
      </c>
      <c r="AW65" t="s" s="0">
        <v>1798</v>
      </c>
      <c r="AX65" t="s" s="0">
        <v>1799</v>
      </c>
      <c r="AY65" t="s" s="0">
        <v>1800</v>
      </c>
      <c r="AZ65" t="s" s="0">
        <v>212</v>
      </c>
      <c r="BA65" t="s" s="0">
        <v>1801</v>
      </c>
      <c r="BB65" t="s" s="0">
        <v>81</v>
      </c>
      <c r="BC65" t="s" s="0">
        <v>81</v>
      </c>
      <c r="BD65" t="s" s="0">
        <v>940</v>
      </c>
      <c r="BE65" t="s" s="0">
        <v>81</v>
      </c>
      <c r="BF65" t="s" s="0">
        <v>81</v>
      </c>
      <c r="BG65" t="s" s="0">
        <v>81</v>
      </c>
      <c r="BH65" t="s" s="0">
        <v>81</v>
      </c>
      <c r="BI65" t="s" s="0">
        <v>1802</v>
      </c>
      <c r="BJ65" t="s" s="0">
        <v>1803</v>
      </c>
      <c r="BK65" t="s" s="127">
        <f>HYPERLINK("http://dx.doi.org/10.1016/j.eswa.2025.130174","http://dx.doi.org/10.1016/j.eswa.2025.130174")</f>
        <v>1804</v>
      </c>
      <c r="BL65" t="s" s="0">
        <v>81</v>
      </c>
      <c r="BM65" t="s" s="0">
        <v>116</v>
      </c>
      <c r="BN65" t="s" s="0">
        <v>652</v>
      </c>
      <c r="BO65" t="s" s="0">
        <v>1805</v>
      </c>
      <c r="BP65" t="s" s="0">
        <v>1806</v>
      </c>
      <c r="BQ65" t="s" s="0">
        <v>1807</v>
      </c>
      <c r="BR65" t="s" s="0">
        <v>81</v>
      </c>
      <c r="BS65" t="s" s="0">
        <v>1808</v>
      </c>
      <c r="BT65" t="s" s="128">
        <f>HYPERLINK("https://www.webofscience.com/wos/woscc/full-record/WOS:001617982400017","View Record in Web of Science")</f>
        <v>123</v>
      </c>
      <c r="BU65" t="s" s="0">
        <v>81</v>
      </c>
      <c r="BV65" t="s" s="0">
        <v>81</v>
      </c>
      <c r="BW65" t="s" s="0">
        <v>81</v>
      </c>
      <c r="BX65" t="s" s="0">
        <v>124</v>
      </c>
    </row>
    <row r="66">
      <c r="A66" t="s" s="0">
        <v>77</v>
      </c>
      <c r="B66" t="s" s="0">
        <v>77</v>
      </c>
      <c r="C66" t="s" s="0">
        <v>77</v>
      </c>
      <c r="D66" t="s" s="0">
        <v>77</v>
      </c>
      <c r="E66" t="s" s="0">
        <v>1809</v>
      </c>
      <c r="F66" t="s" s="0">
        <v>1810</v>
      </c>
      <c r="G66" t="s" s="0">
        <v>1811</v>
      </c>
      <c r="H66" t="s" s="0">
        <v>81</v>
      </c>
      <c r="I66" t="s" s="0">
        <v>1812</v>
      </c>
      <c r="J66" t="s" s="0">
        <v>1813</v>
      </c>
      <c r="K66" t="s" s="0">
        <v>1814</v>
      </c>
      <c r="L66" t="s" s="0">
        <v>1815</v>
      </c>
      <c r="M66" t="s" s="0">
        <v>1816</v>
      </c>
      <c r="N66" t="s" s="0">
        <v>1817</v>
      </c>
      <c r="O66" t="s" s="0">
        <v>1818</v>
      </c>
      <c r="P66" t="s" s="0">
        <v>1819</v>
      </c>
      <c r="Q66" t="s" s="0">
        <v>90</v>
      </c>
      <c r="R66" t="s" s="0">
        <v>81</v>
      </c>
      <c r="S66" t="s" s="0">
        <v>81</v>
      </c>
      <c r="T66" t="s" s="0">
        <v>81</v>
      </c>
      <c r="U66" t="s" s="0">
        <v>81</v>
      </c>
      <c r="V66" t="s" s="0">
        <v>1820</v>
      </c>
      <c r="W66" t="s" s="0">
        <v>1821</v>
      </c>
      <c r="X66" t="s" s="0">
        <v>81</v>
      </c>
      <c r="Y66" t="s" s="0">
        <v>81</v>
      </c>
      <c r="Z66" t="s" s="0">
        <v>93</v>
      </c>
      <c r="AA66" t="s" s="0">
        <v>94</v>
      </c>
      <c r="AB66" t="s" s="0">
        <v>81</v>
      </c>
      <c r="AC66" t="s" s="0">
        <v>81</v>
      </c>
      <c r="AD66" t="s" s="0">
        <v>81</v>
      </c>
      <c r="AE66" t="s" s="0">
        <v>81</v>
      </c>
      <c r="AF66" t="s" s="0">
        <v>81</v>
      </c>
      <c r="AG66" t="s" s="0">
        <v>1822</v>
      </c>
      <c r="AH66" t="s" s="0">
        <v>81</v>
      </c>
      <c r="AI66" t="s" s="0">
        <v>1823</v>
      </c>
      <c r="AJ66" t="s" s="0">
        <v>1824</v>
      </c>
      <c r="AK66" t="s" s="0">
        <v>81</v>
      </c>
      <c r="AL66" t="s" s="0">
        <v>703</v>
      </c>
      <c r="AM66" t="s" s="0">
        <v>77</v>
      </c>
      <c r="AN66" t="s" s="0">
        <v>77</v>
      </c>
      <c r="AO66" t="s" s="0">
        <v>101</v>
      </c>
      <c r="AP66" t="s" s="0">
        <v>101</v>
      </c>
      <c r="AQ66" t="s" s="0">
        <v>174</v>
      </c>
      <c r="AR66" t="s" s="0">
        <v>175</v>
      </c>
      <c r="AS66" t="s" s="0">
        <v>208</v>
      </c>
      <c r="AT66" t="s" s="0">
        <v>1825</v>
      </c>
      <c r="AU66" t="s" s="0">
        <v>81</v>
      </c>
      <c r="AV66" t="s" s="0">
        <v>81</v>
      </c>
      <c r="AW66" t="s" s="0">
        <v>1826</v>
      </c>
      <c r="AX66" t="s" s="0">
        <v>1827</v>
      </c>
      <c r="AY66" t="s" s="0">
        <v>1828</v>
      </c>
      <c r="AZ66" t="s" s="0">
        <v>111</v>
      </c>
      <c r="BA66" t="s" s="0">
        <v>217</v>
      </c>
      <c r="BB66" t="s" s="0">
        <v>301</v>
      </c>
      <c r="BC66" t="s" s="0">
        <v>81</v>
      </c>
      <c r="BD66" t="s" s="0">
        <v>81</v>
      </c>
      <c r="BE66" t="s" s="0">
        <v>81</v>
      </c>
      <c r="BF66" t="s" s="0">
        <v>81</v>
      </c>
      <c r="BG66" t="s" s="0">
        <v>81</v>
      </c>
      <c r="BH66" t="s" s="0">
        <v>81</v>
      </c>
      <c r="BI66" t="s" s="0">
        <v>1829</v>
      </c>
      <c r="BJ66" t="s" s="0">
        <v>1830</v>
      </c>
      <c r="BK66" t="s" s="129">
        <f>HYPERLINK("http://dx.doi.org/10.3390/jtaer20040343","http://dx.doi.org/10.3390/jtaer20040343")</f>
        <v>1831</v>
      </c>
      <c r="BL66" t="s" s="0">
        <v>81</v>
      </c>
      <c r="BM66" t="s" s="0">
        <v>81</v>
      </c>
      <c r="BN66" t="s" s="0">
        <v>1832</v>
      </c>
      <c r="BO66" t="s" s="0">
        <v>1833</v>
      </c>
      <c r="BP66" t="s" s="0">
        <v>1834</v>
      </c>
      <c r="BQ66" t="s" s="0">
        <v>1835</v>
      </c>
      <c r="BR66" t="s" s="0">
        <v>81</v>
      </c>
      <c r="BS66" t="s" s="0">
        <v>1836</v>
      </c>
      <c r="BT66" t="s" s="130">
        <f>HYPERLINK("https://www.webofscience.com/wos/woscc/full-record/WOS:001646834100001","View Record in Web of Science")</f>
        <v>123</v>
      </c>
      <c r="BU66" t="s" s="0">
        <v>191</v>
      </c>
      <c r="BV66" t="s" s="0">
        <v>81</v>
      </c>
      <c r="BW66" t="s" s="0">
        <v>81</v>
      </c>
      <c r="BX66" t="s" s="0">
        <v>124</v>
      </c>
    </row>
    <row r="67">
      <c r="A67" t="s" s="0">
        <v>77</v>
      </c>
      <c r="B67" t="s" s="0">
        <v>77</v>
      </c>
      <c r="C67" t="s" s="0">
        <v>77</v>
      </c>
      <c r="D67" t="s" s="0">
        <v>77</v>
      </c>
      <c r="E67" t="s" s="0">
        <v>1837</v>
      </c>
      <c r="F67" t="s" s="0">
        <v>1838</v>
      </c>
      <c r="G67" t="s" s="0">
        <v>1839</v>
      </c>
      <c r="H67" t="s" s="0">
        <v>81</v>
      </c>
      <c r="I67" t="s" s="0">
        <v>82</v>
      </c>
      <c r="J67" t="s" s="0">
        <v>1840</v>
      </c>
      <c r="K67" t="s" s="0">
        <v>1841</v>
      </c>
      <c r="L67" t="s" s="0">
        <v>1842</v>
      </c>
      <c r="M67" t="s" s="0">
        <v>1843</v>
      </c>
      <c r="N67" t="s" s="0">
        <v>1844</v>
      </c>
      <c r="O67" t="s" s="0">
        <v>1845</v>
      </c>
      <c r="P67" t="s" s="0">
        <v>1846</v>
      </c>
      <c r="Q67" t="s" s="0">
        <v>90</v>
      </c>
      <c r="R67" t="s" s="0">
        <v>81</v>
      </c>
      <c r="S67" t="s" s="0">
        <v>81</v>
      </c>
      <c r="T67" t="s" s="0">
        <v>81</v>
      </c>
      <c r="U67" t="s" s="0">
        <v>81</v>
      </c>
      <c r="V67" t="s" s="0">
        <v>1847</v>
      </c>
      <c r="W67" t="s" s="0">
        <v>1848</v>
      </c>
      <c r="X67" t="s" s="0">
        <v>81</v>
      </c>
      <c r="Y67" t="s" s="0">
        <v>81</v>
      </c>
      <c r="Z67" t="s" s="0">
        <v>93</v>
      </c>
      <c r="AA67" t="s" s="0">
        <v>94</v>
      </c>
      <c r="AB67" t="s" s="0">
        <v>81</v>
      </c>
      <c r="AC67" t="s" s="0">
        <v>81</v>
      </c>
      <c r="AD67" t="s" s="0">
        <v>81</v>
      </c>
      <c r="AE67" t="s" s="0">
        <v>81</v>
      </c>
      <c r="AF67" t="s" s="0">
        <v>81</v>
      </c>
      <c r="AG67" t="s" s="0">
        <v>1849</v>
      </c>
      <c r="AH67" t="s" s="0">
        <v>1850</v>
      </c>
      <c r="AI67" t="s" s="0">
        <v>1851</v>
      </c>
      <c r="AJ67" t="s" s="0">
        <v>1852</v>
      </c>
      <c r="AK67" t="s" s="0">
        <v>81</v>
      </c>
      <c r="AL67" t="s" s="0">
        <v>1853</v>
      </c>
      <c r="AM67" t="s" s="0">
        <v>301</v>
      </c>
      <c r="AN67" t="s" s="0">
        <v>158</v>
      </c>
      <c r="AO67" t="s" s="0">
        <v>158</v>
      </c>
      <c r="AP67" t="s" s="0">
        <v>1443</v>
      </c>
      <c r="AQ67" t="s" s="0">
        <v>140</v>
      </c>
      <c r="AR67" t="s" s="0">
        <v>141</v>
      </c>
      <c r="AS67" t="s" s="0">
        <v>142</v>
      </c>
      <c r="AT67" t="s" s="0">
        <v>1854</v>
      </c>
      <c r="AU67" t="s" s="0">
        <v>1855</v>
      </c>
      <c r="AV67" t="s" s="0">
        <v>81</v>
      </c>
      <c r="AW67" t="s" s="0">
        <v>1856</v>
      </c>
      <c r="AX67" t="s" s="0">
        <v>1857</v>
      </c>
      <c r="AY67" t="s" s="0">
        <v>1470</v>
      </c>
      <c r="AZ67" t="s" s="0">
        <v>111</v>
      </c>
      <c r="BA67" t="s" s="0">
        <v>1448</v>
      </c>
      <c r="BB67" t="s" s="0">
        <v>81</v>
      </c>
      <c r="BC67" t="s" s="0">
        <v>81</v>
      </c>
      <c r="BD67" t="s" s="0">
        <v>81</v>
      </c>
      <c r="BE67" t="s" s="0">
        <v>81</v>
      </c>
      <c r="BF67" t="s" s="0">
        <v>81</v>
      </c>
      <c r="BG67" t="s" s="0">
        <v>81</v>
      </c>
      <c r="BH67" t="s" s="0">
        <v>81</v>
      </c>
      <c r="BI67" t="s" s="0">
        <v>1858</v>
      </c>
      <c r="BJ67" t="s" s="0">
        <v>1859</v>
      </c>
      <c r="BK67" t="s" s="131">
        <f>HYPERLINK("http://dx.doi.org/10.1016/j.imavis.2025.105509","http://dx.doi.org/10.1016/j.imavis.2025.105509")</f>
        <v>1860</v>
      </c>
      <c r="BL67" t="s" s="0">
        <v>81</v>
      </c>
      <c r="BM67" t="s" s="0">
        <v>1861</v>
      </c>
      <c r="BN67" t="s" s="0">
        <v>390</v>
      </c>
      <c r="BO67" t="s" s="0">
        <v>1862</v>
      </c>
      <c r="BP67" t="s" s="0">
        <v>1863</v>
      </c>
      <c r="BQ67" t="s" s="0">
        <v>1864</v>
      </c>
      <c r="BR67" t="s" s="0">
        <v>81</v>
      </c>
      <c r="BS67" t="s" s="0">
        <v>1865</v>
      </c>
      <c r="BT67" t="s" s="132">
        <f>HYPERLINK("https://www.webofscience.com/wos/woscc/full-record/WOS:001461385100001","View Record in Web of Science")</f>
        <v>123</v>
      </c>
      <c r="BU67" t="s" s="0">
        <v>870</v>
      </c>
      <c r="BV67" t="s" s="0">
        <v>81</v>
      </c>
      <c r="BW67" t="s" s="0">
        <v>81</v>
      </c>
      <c r="BX67" t="s" s="0">
        <v>124</v>
      </c>
    </row>
    <row r="68">
      <c r="A68" t="s" s="0">
        <v>77</v>
      </c>
      <c r="B68" t="s" s="0">
        <v>77</v>
      </c>
      <c r="C68" t="s" s="0">
        <v>100</v>
      </c>
      <c r="D68" t="s" s="0">
        <v>77</v>
      </c>
      <c r="E68" t="s" s="0">
        <v>1866</v>
      </c>
      <c r="F68" t="s" s="0">
        <v>1867</v>
      </c>
      <c r="G68" t="s" s="0">
        <v>1868</v>
      </c>
      <c r="H68" t="s" s="0">
        <v>81</v>
      </c>
      <c r="I68" t="s" s="0">
        <v>82</v>
      </c>
      <c r="J68" t="s" s="0">
        <v>1869</v>
      </c>
      <c r="K68" t="s" s="0">
        <v>1870</v>
      </c>
      <c r="L68" t="s" s="0">
        <v>1871</v>
      </c>
      <c r="M68" t="s" s="0">
        <v>1872</v>
      </c>
      <c r="N68" t="s" s="0">
        <v>1873</v>
      </c>
      <c r="O68" t="s" s="0">
        <v>1874</v>
      </c>
      <c r="P68" t="s" s="0">
        <v>1875</v>
      </c>
      <c r="Q68" t="s" s="0">
        <v>90</v>
      </c>
      <c r="R68" t="s" s="0">
        <v>81</v>
      </c>
      <c r="S68" t="s" s="0">
        <v>81</v>
      </c>
      <c r="T68" t="s" s="0">
        <v>81</v>
      </c>
      <c r="U68" t="s" s="0">
        <v>81</v>
      </c>
      <c r="V68" t="s" s="0">
        <v>1876</v>
      </c>
      <c r="W68" t="s" s="0">
        <v>234</v>
      </c>
      <c r="X68" t="s" s="0">
        <v>81</v>
      </c>
      <c r="Y68" t="s" s="0">
        <v>81</v>
      </c>
      <c r="Z68" t="s" s="0">
        <v>93</v>
      </c>
      <c r="AA68" t="s" s="0">
        <v>94</v>
      </c>
      <c r="AB68" t="s" s="0">
        <v>81</v>
      </c>
      <c r="AC68" t="s" s="0">
        <v>81</v>
      </c>
      <c r="AD68" t="s" s="0">
        <v>81</v>
      </c>
      <c r="AE68" t="s" s="0">
        <v>81</v>
      </c>
      <c r="AF68" t="s" s="0">
        <v>81</v>
      </c>
      <c r="AG68" t="s" s="0">
        <v>1877</v>
      </c>
      <c r="AH68" t="s" s="0">
        <v>1878</v>
      </c>
      <c r="AI68" t="s" s="0">
        <v>1879</v>
      </c>
      <c r="AJ68" t="s" s="0">
        <v>1880</v>
      </c>
      <c r="AK68" t="s" s="0">
        <v>81</v>
      </c>
      <c r="AL68" t="s" s="0">
        <v>1881</v>
      </c>
      <c r="AM68" t="s" s="0">
        <v>172</v>
      </c>
      <c r="AN68" t="s" s="0">
        <v>117</v>
      </c>
      <c r="AO68" t="s" s="0">
        <v>182</v>
      </c>
      <c r="AP68" t="s" s="0">
        <v>139</v>
      </c>
      <c r="AQ68" t="s" s="0">
        <v>140</v>
      </c>
      <c r="AR68" t="s" s="0">
        <v>141</v>
      </c>
      <c r="AS68" t="s" s="0">
        <v>142</v>
      </c>
      <c r="AT68" t="s" s="0">
        <v>240</v>
      </c>
      <c r="AU68" t="s" s="0">
        <v>241</v>
      </c>
      <c r="AV68" t="s" s="0">
        <v>81</v>
      </c>
      <c r="AW68" t="s" s="0">
        <v>242</v>
      </c>
      <c r="AX68" t="s" s="0">
        <v>243</v>
      </c>
      <c r="AY68" t="s" s="0">
        <v>741</v>
      </c>
      <c r="AZ68" t="s" s="0">
        <v>111</v>
      </c>
      <c r="BA68" t="s" s="0">
        <v>1882</v>
      </c>
      <c r="BB68" t="s" s="0">
        <v>81</v>
      </c>
      <c r="BC68" t="s" s="0">
        <v>81</v>
      </c>
      <c r="BD68" t="s" s="0">
        <v>81</v>
      </c>
      <c r="BE68" t="s" s="0">
        <v>81</v>
      </c>
      <c r="BF68" t="s" s="0">
        <v>81</v>
      </c>
      <c r="BG68" t="s" s="0">
        <v>81</v>
      </c>
      <c r="BH68" t="s" s="0">
        <v>81</v>
      </c>
      <c r="BI68" t="s" s="0">
        <v>1883</v>
      </c>
      <c r="BJ68" t="s" s="0">
        <v>1884</v>
      </c>
      <c r="BK68" t="s" s="133">
        <f>HYPERLINK("http://dx.doi.org/10.1016/j.inffus.2025.102981","http://dx.doi.org/10.1016/j.inffus.2025.102981")</f>
        <v>1885</v>
      </c>
      <c r="BL68" t="s" s="0">
        <v>81</v>
      </c>
      <c r="BM68" t="s" s="0">
        <v>404</v>
      </c>
      <c r="BN68" t="s" s="0">
        <v>275</v>
      </c>
      <c r="BO68" t="s" s="0">
        <v>249</v>
      </c>
      <c r="BP68" t="s" s="0">
        <v>250</v>
      </c>
      <c r="BQ68" t="s" s="0">
        <v>1886</v>
      </c>
      <c r="BR68" t="s" s="0">
        <v>81</v>
      </c>
      <c r="BS68" t="s" s="0">
        <v>1887</v>
      </c>
      <c r="BT68" t="s" s="134">
        <f>HYPERLINK("https://www.webofscience.com/wos/woscc/full-record/WOS:001424816800001","View Record in Web of Science")</f>
        <v>123</v>
      </c>
      <c r="BU68" t="s" s="0">
        <v>81</v>
      </c>
      <c r="BV68" t="s" s="0">
        <v>81</v>
      </c>
      <c r="BW68" t="s" s="0">
        <v>81</v>
      </c>
      <c r="BX68" t="s" s="0">
        <v>124</v>
      </c>
    </row>
    <row r="69">
      <c r="A69" t="s" s="0">
        <v>183</v>
      </c>
      <c r="B69" t="s" s="0">
        <v>77</v>
      </c>
      <c r="C69" t="s" s="0">
        <v>301</v>
      </c>
      <c r="D69" t="s" s="0">
        <v>77</v>
      </c>
      <c r="E69" t="s" s="0">
        <v>1888</v>
      </c>
      <c r="F69" t="s" s="0">
        <v>1889</v>
      </c>
      <c r="G69" t="s" s="0">
        <v>1890</v>
      </c>
      <c r="H69" t="s" s="0">
        <v>81</v>
      </c>
      <c r="I69" t="s" s="0">
        <v>82</v>
      </c>
      <c r="J69" t="s" s="0">
        <v>1891</v>
      </c>
      <c r="K69" t="s" s="0">
        <v>1892</v>
      </c>
      <c r="L69" t="s" s="0">
        <v>81</v>
      </c>
      <c r="M69" t="s" s="0">
        <v>81</v>
      </c>
      <c r="N69" t="s" s="0">
        <v>81</v>
      </c>
      <c r="O69" t="s" s="0">
        <v>1893</v>
      </c>
      <c r="P69" t="s" s="0">
        <v>1894</v>
      </c>
      <c r="Q69" t="s" s="0">
        <v>90</v>
      </c>
      <c r="R69" t="s" s="0">
        <v>81</v>
      </c>
      <c r="S69" t="s" s="0">
        <v>81</v>
      </c>
      <c r="T69" t="s" s="0">
        <v>81</v>
      </c>
      <c r="U69" t="s" s="0">
        <v>81</v>
      </c>
      <c r="V69" t="s" s="0">
        <v>1895</v>
      </c>
      <c r="W69" t="s" s="0">
        <v>1896</v>
      </c>
      <c r="X69" t="s" s="0">
        <v>81</v>
      </c>
      <c r="Y69" t="s" s="0">
        <v>81</v>
      </c>
      <c r="Z69" t="s" s="0">
        <v>93</v>
      </c>
      <c r="AA69" t="s" s="0">
        <v>94</v>
      </c>
      <c r="AB69" t="s" s="0">
        <v>81</v>
      </c>
      <c r="AC69" t="s" s="0">
        <v>81</v>
      </c>
      <c r="AD69" t="s" s="0">
        <v>81</v>
      </c>
      <c r="AE69" t="s" s="0">
        <v>81</v>
      </c>
      <c r="AF69" t="s" s="0">
        <v>81</v>
      </c>
      <c r="AG69" t="s" s="0">
        <v>1897</v>
      </c>
      <c r="AH69" t="s" s="0">
        <v>1898</v>
      </c>
      <c r="AI69" t="s" s="0">
        <v>1899</v>
      </c>
      <c r="AJ69" t="s" s="0">
        <v>81</v>
      </c>
      <c r="AK69" t="s" s="0">
        <v>81</v>
      </c>
      <c r="AL69" t="s" s="0">
        <v>676</v>
      </c>
      <c r="AM69" t="s" s="0">
        <v>182</v>
      </c>
      <c r="AN69" t="s" s="0">
        <v>652</v>
      </c>
      <c r="AO69" t="s" s="0">
        <v>182</v>
      </c>
      <c r="AP69" t="s" s="0">
        <v>651</v>
      </c>
      <c r="AQ69" t="s" s="0">
        <v>505</v>
      </c>
      <c r="AR69" t="s" s="0">
        <v>506</v>
      </c>
      <c r="AS69" t="s" s="0">
        <v>507</v>
      </c>
      <c r="AT69" t="s" s="0">
        <v>1900</v>
      </c>
      <c r="AU69" t="s" s="0">
        <v>1901</v>
      </c>
      <c r="AV69" t="s" s="0">
        <v>81</v>
      </c>
      <c r="AW69" t="s" s="0">
        <v>1902</v>
      </c>
      <c r="AX69" t="s" s="0">
        <v>1903</v>
      </c>
      <c r="AY69" t="s" s="0">
        <v>1904</v>
      </c>
      <c r="AZ69" t="s" s="0">
        <v>309</v>
      </c>
      <c r="BA69" t="s" s="0">
        <v>595</v>
      </c>
      <c r="BB69" t="s" s="0">
        <v>101</v>
      </c>
      <c r="BC69" t="s" s="0">
        <v>81</v>
      </c>
      <c r="BD69" t="s" s="0">
        <v>81</v>
      </c>
      <c r="BE69" t="s" s="0">
        <v>81</v>
      </c>
      <c r="BF69" t="s" s="0">
        <v>81</v>
      </c>
      <c r="BG69" t="s" s="0">
        <v>1905</v>
      </c>
      <c r="BH69" t="s" s="0">
        <v>1629</v>
      </c>
      <c r="BI69" t="s" s="0">
        <v>81</v>
      </c>
      <c r="BJ69" t="s" s="0">
        <v>1906</v>
      </c>
      <c r="BK69" t="s" s="135">
        <f>HYPERLINK("http://dx.doi.org/10.1007/s11655-022-3541-8","http://dx.doi.org/10.1007/s11655-022-3541-8")</f>
        <v>1907</v>
      </c>
      <c r="BL69" t="s" s="0">
        <v>81</v>
      </c>
      <c r="BM69" t="s" s="0">
        <v>677</v>
      </c>
      <c r="BN69" t="s" s="0">
        <v>138</v>
      </c>
      <c r="BO69" t="s" s="0">
        <v>1908</v>
      </c>
      <c r="BP69" t="s" s="0">
        <v>1908</v>
      </c>
      <c r="BQ69" t="s" s="0">
        <v>1909</v>
      </c>
      <c r="BR69" t="s" s="0">
        <v>1910</v>
      </c>
      <c r="BS69" t="s" s="0">
        <v>1911</v>
      </c>
      <c r="BT69" t="s" s="136">
        <f>HYPERLINK("https://www.webofscience.com/wos/woscc/full-record/WOS:000883206300002","View Record in Web of Science")</f>
        <v>123</v>
      </c>
      <c r="BU69" t="s" s="0">
        <v>81</v>
      </c>
      <c r="BV69" t="s" s="0">
        <v>81</v>
      </c>
      <c r="BW69" t="s" s="0">
        <v>81</v>
      </c>
      <c r="BX69" t="s" s="0">
        <v>124</v>
      </c>
    </row>
    <row r="70">
      <c r="A70" t="s" s="0">
        <v>77</v>
      </c>
      <c r="B70" t="s" s="0">
        <v>77</v>
      </c>
      <c r="C70" t="s" s="0">
        <v>77</v>
      </c>
      <c r="D70" t="s" s="0">
        <v>77</v>
      </c>
      <c r="E70" t="s" s="0">
        <v>1912</v>
      </c>
      <c r="F70" t="s" s="0">
        <v>1913</v>
      </c>
      <c r="G70" t="s" s="0">
        <v>1914</v>
      </c>
      <c r="H70" t="s" s="0">
        <v>81</v>
      </c>
      <c r="I70" t="s" s="0">
        <v>195</v>
      </c>
      <c r="J70" t="s" s="0">
        <v>1915</v>
      </c>
      <c r="K70" t="s" s="0">
        <v>1916</v>
      </c>
      <c r="L70" t="s" s="0">
        <v>1917</v>
      </c>
      <c r="M70" t="s" s="0">
        <v>1918</v>
      </c>
      <c r="N70" t="s" s="0">
        <v>1919</v>
      </c>
      <c r="O70" t="s" s="0">
        <v>1920</v>
      </c>
      <c r="P70" t="s" s="0">
        <v>1921</v>
      </c>
      <c r="Q70" t="s" s="0">
        <v>90</v>
      </c>
      <c r="R70" t="s" s="0">
        <v>81</v>
      </c>
      <c r="S70" t="s" s="0">
        <v>81</v>
      </c>
      <c r="T70" t="s" s="0">
        <v>81</v>
      </c>
      <c r="U70" t="s" s="0">
        <v>81</v>
      </c>
      <c r="V70" t="s" s="0">
        <v>1922</v>
      </c>
      <c r="W70" t="s" s="0">
        <v>1923</v>
      </c>
      <c r="X70" t="s" s="0">
        <v>81</v>
      </c>
      <c r="Y70" t="s" s="0">
        <v>81</v>
      </c>
      <c r="Z70" t="s" s="0">
        <v>93</v>
      </c>
      <c r="AA70" t="s" s="0">
        <v>94</v>
      </c>
      <c r="AB70" t="s" s="0">
        <v>81</v>
      </c>
      <c r="AC70" t="s" s="0">
        <v>81</v>
      </c>
      <c r="AD70" t="s" s="0">
        <v>81</v>
      </c>
      <c r="AE70" t="s" s="0">
        <v>81</v>
      </c>
      <c r="AF70" t="s" s="0">
        <v>81</v>
      </c>
      <c r="AG70" t="s" s="0">
        <v>1924</v>
      </c>
      <c r="AH70" t="s" s="0">
        <v>81</v>
      </c>
      <c r="AI70" t="s" s="0">
        <v>1925</v>
      </c>
      <c r="AJ70" t="s" s="0">
        <v>81</v>
      </c>
      <c r="AK70" t="s" s="0">
        <v>81</v>
      </c>
      <c r="AL70" t="s" s="0">
        <v>566</v>
      </c>
      <c r="AM70" t="s" s="0">
        <v>77</v>
      </c>
      <c r="AN70" t="s" s="0">
        <v>77</v>
      </c>
      <c r="AO70" t="s" s="0">
        <v>77</v>
      </c>
      <c r="AP70" t="s" s="0">
        <v>77</v>
      </c>
      <c r="AQ70" t="s" s="0">
        <v>449</v>
      </c>
      <c r="AR70" t="s" s="0">
        <v>450</v>
      </c>
      <c r="AS70" t="s" s="0">
        <v>451</v>
      </c>
      <c r="AT70" t="s" s="0">
        <v>81</v>
      </c>
      <c r="AU70" t="s" s="0">
        <v>1926</v>
      </c>
      <c r="AV70" t="s" s="0">
        <v>81</v>
      </c>
      <c r="AW70" t="s" s="0">
        <v>1927</v>
      </c>
      <c r="AX70" t="s" s="0">
        <v>1928</v>
      </c>
      <c r="AY70" t="s" s="0">
        <v>1929</v>
      </c>
      <c r="AZ70" t="s" s="0">
        <v>212</v>
      </c>
      <c r="BA70" t="s" s="0">
        <v>399</v>
      </c>
      <c r="BB70" t="s" s="0">
        <v>301</v>
      </c>
      <c r="BC70" t="s" s="0">
        <v>81</v>
      </c>
      <c r="BD70" t="s" s="0">
        <v>81</v>
      </c>
      <c r="BE70" t="s" s="0">
        <v>81</v>
      </c>
      <c r="BF70" t="s" s="0">
        <v>81</v>
      </c>
      <c r="BG70" t="s" s="0">
        <v>81</v>
      </c>
      <c r="BH70" t="s" s="0">
        <v>81</v>
      </c>
      <c r="BI70" t="s" s="0">
        <v>1930</v>
      </c>
      <c r="BJ70" t="s" s="0">
        <v>1931</v>
      </c>
      <c r="BK70" t="s" s="137">
        <f>HYPERLINK("http://dx.doi.org/10.1002/itl2.70324","http://dx.doi.org/10.1002/itl2.70324")</f>
        <v>1932</v>
      </c>
      <c r="BL70" t="s" s="0">
        <v>81</v>
      </c>
      <c r="BM70" t="s" s="0">
        <v>81</v>
      </c>
      <c r="BN70" t="s" s="0">
        <v>213</v>
      </c>
      <c r="BO70" t="s" s="0">
        <v>1933</v>
      </c>
      <c r="BP70" t="s" s="0">
        <v>1933</v>
      </c>
      <c r="BQ70" t="s" s="0">
        <v>1934</v>
      </c>
      <c r="BR70" t="s" s="0">
        <v>81</v>
      </c>
      <c r="BS70" t="s" s="0">
        <v>1935</v>
      </c>
      <c r="BT70" t="s" s="138">
        <f>HYPERLINK("https://www.webofscience.com/wos/woscc/full-record/WOS:001786616500001","View Record in Web of Science")</f>
        <v>123</v>
      </c>
      <c r="BU70" t="s" s="0">
        <v>81</v>
      </c>
      <c r="BV70" t="s" s="0">
        <v>81</v>
      </c>
      <c r="BW70" t="s" s="0">
        <v>81</v>
      </c>
      <c r="BX70" t="s" s="0">
        <v>124</v>
      </c>
    </row>
    <row r="71">
      <c r="A71" t="s" s="0">
        <v>77</v>
      </c>
      <c r="B71" t="s" s="0">
        <v>77</v>
      </c>
      <c r="C71" t="s" s="0">
        <v>77</v>
      </c>
      <c r="D71" t="s" s="0">
        <v>77</v>
      </c>
      <c r="E71" t="s" s="0">
        <v>1936</v>
      </c>
      <c r="F71" t="s" s="0">
        <v>1937</v>
      </c>
      <c r="G71" t="s" s="0">
        <v>1938</v>
      </c>
      <c r="H71" t="s" s="0">
        <v>81</v>
      </c>
      <c r="I71" t="s" s="0">
        <v>82</v>
      </c>
      <c r="J71" t="s" s="0">
        <v>1939</v>
      </c>
      <c r="K71" t="s" s="0">
        <v>1940</v>
      </c>
      <c r="L71" t="s" s="0">
        <v>1941</v>
      </c>
      <c r="M71" t="s" s="0">
        <v>1942</v>
      </c>
      <c r="N71" t="s" s="0">
        <v>1943</v>
      </c>
      <c r="O71" t="s" s="0">
        <v>1944</v>
      </c>
      <c r="P71" t="s" s="0">
        <v>1945</v>
      </c>
      <c r="Q71" t="s" s="0">
        <v>90</v>
      </c>
      <c r="R71" t="s" s="0">
        <v>81</v>
      </c>
      <c r="S71" t="s" s="0">
        <v>81</v>
      </c>
      <c r="T71" t="s" s="0">
        <v>81</v>
      </c>
      <c r="U71" t="s" s="0">
        <v>81</v>
      </c>
      <c r="V71" t="s" s="0">
        <v>1946</v>
      </c>
      <c r="W71" t="s" s="0">
        <v>1947</v>
      </c>
      <c r="X71" t="s" s="0">
        <v>81</v>
      </c>
      <c r="Y71" t="s" s="0">
        <v>81</v>
      </c>
      <c r="Z71" t="s" s="0">
        <v>93</v>
      </c>
      <c r="AA71" t="s" s="0">
        <v>94</v>
      </c>
      <c r="AB71" t="s" s="0">
        <v>81</v>
      </c>
      <c r="AC71" t="s" s="0">
        <v>81</v>
      </c>
      <c r="AD71" t="s" s="0">
        <v>81</v>
      </c>
      <c r="AE71" t="s" s="0">
        <v>81</v>
      </c>
      <c r="AF71" t="s" s="0">
        <v>81</v>
      </c>
      <c r="AG71" t="s" s="0">
        <v>1948</v>
      </c>
      <c r="AH71" t="s" s="0">
        <v>81</v>
      </c>
      <c r="AI71" t="s" s="0">
        <v>81</v>
      </c>
      <c r="AJ71" t="s" s="0">
        <v>81</v>
      </c>
      <c r="AK71" t="s" s="0">
        <v>81</v>
      </c>
      <c r="AL71" t="s" s="0">
        <v>937</v>
      </c>
      <c r="AM71" t="s" s="0">
        <v>77</v>
      </c>
      <c r="AN71" t="s" s="0">
        <v>77</v>
      </c>
      <c r="AO71" t="s" s="0">
        <v>77</v>
      </c>
      <c r="AP71" t="s" s="0">
        <v>77</v>
      </c>
      <c r="AQ71" t="s" s="0">
        <v>505</v>
      </c>
      <c r="AR71" t="s" s="0">
        <v>506</v>
      </c>
      <c r="AS71" t="s" s="0">
        <v>507</v>
      </c>
      <c r="AT71" t="s" s="0">
        <v>1949</v>
      </c>
      <c r="AU71" t="s" s="0">
        <v>1950</v>
      </c>
      <c r="AV71" t="s" s="0">
        <v>81</v>
      </c>
      <c r="AW71" t="s" s="0">
        <v>1951</v>
      </c>
      <c r="AX71" t="s" s="0">
        <v>1952</v>
      </c>
      <c r="AY71" t="s" s="0">
        <v>1953</v>
      </c>
      <c r="AZ71" t="s" s="0">
        <v>212</v>
      </c>
      <c r="BA71" t="s" s="0">
        <v>566</v>
      </c>
      <c r="BB71" t="s" s="0">
        <v>101</v>
      </c>
      <c r="BC71" t="s" s="0">
        <v>81</v>
      </c>
      <c r="BD71" t="s" s="0">
        <v>81</v>
      </c>
      <c r="BE71" t="s" s="0">
        <v>81</v>
      </c>
      <c r="BF71" t="s" s="0">
        <v>81</v>
      </c>
      <c r="BG71" t="s" s="0">
        <v>81</v>
      </c>
      <c r="BH71" t="s" s="0">
        <v>81</v>
      </c>
      <c r="BI71" t="s" s="0">
        <v>1012</v>
      </c>
      <c r="BJ71" t="s" s="0">
        <v>1954</v>
      </c>
      <c r="BK71" t="s" s="139">
        <f>HYPERLINK("http://dx.doi.org/10.1007/s10044-026-01644-9","http://dx.doi.org/10.1007/s10044-026-01644-9")</f>
        <v>1955</v>
      </c>
      <c r="BL71" t="s" s="0">
        <v>81</v>
      </c>
      <c r="BM71" t="s" s="0">
        <v>81</v>
      </c>
      <c r="BN71" t="s" s="0">
        <v>102</v>
      </c>
      <c r="BO71" t="s" s="0">
        <v>488</v>
      </c>
      <c r="BP71" t="s" s="0">
        <v>250</v>
      </c>
      <c r="BQ71" t="s" s="0">
        <v>1956</v>
      </c>
      <c r="BR71" t="s" s="0">
        <v>81</v>
      </c>
      <c r="BS71" t="s" s="0">
        <v>1957</v>
      </c>
      <c r="BT71" t="s" s="140">
        <f>HYPERLINK("https://www.webofscience.com/wos/woscc/full-record/WOS:001711759500001","View Record in Web of Science")</f>
        <v>123</v>
      </c>
      <c r="BU71" t="s" s="0">
        <v>81</v>
      </c>
      <c r="BV71" t="s" s="0">
        <v>81</v>
      </c>
      <c r="BW71" t="s" s="0">
        <v>81</v>
      </c>
      <c r="BX71" t="s" s="0">
        <v>124</v>
      </c>
    </row>
    <row r="72">
      <c r="A72" t="s" s="0">
        <v>77</v>
      </c>
      <c r="B72" t="s" s="0">
        <v>77</v>
      </c>
      <c r="C72" t="s" s="0">
        <v>77</v>
      </c>
      <c r="D72" t="s" s="0">
        <v>77</v>
      </c>
      <c r="E72" t="s" s="0">
        <v>1958</v>
      </c>
      <c r="F72" t="s" s="0">
        <v>1959</v>
      </c>
      <c r="G72" t="s" s="0">
        <v>1960</v>
      </c>
      <c r="H72" t="s" s="0">
        <v>81</v>
      </c>
      <c r="I72" t="s" s="0">
        <v>82</v>
      </c>
      <c r="J72" t="s" s="0">
        <v>1961</v>
      </c>
      <c r="K72" t="s" s="0">
        <v>1962</v>
      </c>
      <c r="L72" t="s" s="0">
        <v>81</v>
      </c>
      <c r="M72" t="s" s="0">
        <v>81</v>
      </c>
      <c r="N72" t="s" s="0">
        <v>81</v>
      </c>
      <c r="O72" t="s" s="0">
        <v>1963</v>
      </c>
      <c r="P72" t="s" s="0">
        <v>81</v>
      </c>
      <c r="Q72" t="s" s="0">
        <v>90</v>
      </c>
      <c r="R72" t="s" s="0">
        <v>81</v>
      </c>
      <c r="S72" t="s" s="0">
        <v>81</v>
      </c>
      <c r="T72" t="s" s="0">
        <v>81</v>
      </c>
      <c r="U72" t="s" s="0">
        <v>81</v>
      </c>
      <c r="V72" t="s" s="0">
        <v>1964</v>
      </c>
      <c r="W72" t="s" s="0">
        <v>780</v>
      </c>
      <c r="X72" t="s" s="0">
        <v>81</v>
      </c>
      <c r="Y72" t="s" s="0">
        <v>81</v>
      </c>
      <c r="Z72" t="s" s="0">
        <v>93</v>
      </c>
      <c r="AA72" t="s" s="0">
        <v>94</v>
      </c>
      <c r="AB72" t="s" s="0">
        <v>81</v>
      </c>
      <c r="AC72" t="s" s="0">
        <v>81</v>
      </c>
      <c r="AD72" t="s" s="0">
        <v>81</v>
      </c>
      <c r="AE72" t="s" s="0">
        <v>81</v>
      </c>
      <c r="AF72" t="s" s="0">
        <v>81</v>
      </c>
      <c r="AG72" t="s" s="0">
        <v>1965</v>
      </c>
      <c r="AH72" t="s" s="0">
        <v>81</v>
      </c>
      <c r="AI72" t="s" s="0">
        <v>1966</v>
      </c>
      <c r="AJ72" t="s" s="0">
        <v>81</v>
      </c>
      <c r="AK72" t="s" s="0">
        <v>81</v>
      </c>
      <c r="AL72" t="s" s="0">
        <v>275</v>
      </c>
      <c r="AM72" t="s" s="0">
        <v>77</v>
      </c>
      <c r="AN72" t="s" s="0">
        <v>77</v>
      </c>
      <c r="AO72" t="s" s="0">
        <v>137</v>
      </c>
      <c r="AP72" t="s" s="0">
        <v>137</v>
      </c>
      <c r="AQ72" t="s" s="0">
        <v>786</v>
      </c>
      <c r="AR72" t="s" s="0">
        <v>787</v>
      </c>
      <c r="AS72" t="s" s="0">
        <v>788</v>
      </c>
      <c r="AT72" t="s" s="0">
        <v>789</v>
      </c>
      <c r="AU72" t="s" s="0">
        <v>790</v>
      </c>
      <c r="AV72" t="s" s="0">
        <v>81</v>
      </c>
      <c r="AW72" t="s" s="0">
        <v>791</v>
      </c>
      <c r="AX72" t="s" s="0">
        <v>792</v>
      </c>
      <c r="AY72" t="s" s="0">
        <v>1967</v>
      </c>
      <c r="AZ72" t="s" s="0">
        <v>212</v>
      </c>
      <c r="BA72" t="s" s="0">
        <v>1968</v>
      </c>
      <c r="BB72" t="s" s="0">
        <v>81</v>
      </c>
      <c r="BC72" t="s" s="0">
        <v>81</v>
      </c>
      <c r="BD72" t="s" s="0">
        <v>81</v>
      </c>
      <c r="BE72" t="s" s="0">
        <v>81</v>
      </c>
      <c r="BF72" t="s" s="0">
        <v>81</v>
      </c>
      <c r="BG72" t="s" s="0">
        <v>81</v>
      </c>
      <c r="BH72" t="s" s="0">
        <v>81</v>
      </c>
      <c r="BI72" t="s" s="0">
        <v>1969</v>
      </c>
      <c r="BJ72" t="s" s="0">
        <v>1970</v>
      </c>
      <c r="BK72" t="s" s="141">
        <f>HYPERLINK("http://dx.doi.org/10.1016/j.compmedimag.2026.102795","http://dx.doi.org/10.1016/j.compmedimag.2026.102795")</f>
        <v>1971</v>
      </c>
      <c r="BL72" t="s" s="0">
        <v>81</v>
      </c>
      <c r="BM72" t="s" s="0">
        <v>827</v>
      </c>
      <c r="BN72" t="s" s="0">
        <v>213</v>
      </c>
      <c r="BO72" t="s" s="0">
        <v>799</v>
      </c>
      <c r="BP72" t="s" s="0">
        <v>800</v>
      </c>
      <c r="BQ72" t="s" s="0">
        <v>1972</v>
      </c>
      <c r="BR72" t="s" s="0">
        <v>1973</v>
      </c>
      <c r="BS72" t="s" s="0">
        <v>1974</v>
      </c>
      <c r="BT72" t="s" s="142">
        <f>HYPERLINK("https://www.webofscience.com/wos/woscc/full-record/WOS:001822179100001","View Record in Web of Science")</f>
        <v>123</v>
      </c>
      <c r="BU72" t="s" s="0">
        <v>81</v>
      </c>
      <c r="BV72" t="s" s="0">
        <v>81</v>
      </c>
      <c r="BW72" t="s" s="0">
        <v>81</v>
      </c>
      <c r="BX72" t="s" s="0">
        <v>124</v>
      </c>
    </row>
    <row r="73">
      <c r="A73" t="s" s="0">
        <v>100</v>
      </c>
      <c r="B73" t="s" s="0">
        <v>77</v>
      </c>
      <c r="C73" t="s" s="0">
        <v>138</v>
      </c>
      <c r="D73" t="s" s="0">
        <v>77</v>
      </c>
      <c r="E73" t="s" s="0">
        <v>1975</v>
      </c>
      <c r="F73" t="s" s="0">
        <v>1976</v>
      </c>
      <c r="G73" t="s" s="0">
        <v>1977</v>
      </c>
      <c r="H73" t="s" s="0">
        <v>81</v>
      </c>
      <c r="I73" t="s" s="0">
        <v>82</v>
      </c>
      <c r="J73" t="s" s="0">
        <v>1978</v>
      </c>
      <c r="K73" t="s" s="0">
        <v>1979</v>
      </c>
      <c r="L73" t="s" s="0">
        <v>1980</v>
      </c>
      <c r="M73" t="s" s="0">
        <v>1981</v>
      </c>
      <c r="N73" t="s" s="0">
        <v>1982</v>
      </c>
      <c r="O73" t="s" s="0">
        <v>1983</v>
      </c>
      <c r="P73" t="s" s="0">
        <v>1984</v>
      </c>
      <c r="Q73" t="s" s="0">
        <v>90</v>
      </c>
      <c r="R73" t="s" s="0">
        <v>81</v>
      </c>
      <c r="S73" t="s" s="0">
        <v>81</v>
      </c>
      <c r="T73" t="s" s="0">
        <v>81</v>
      </c>
      <c r="U73" t="s" s="0">
        <v>81</v>
      </c>
      <c r="V73" t="s" s="0">
        <v>1985</v>
      </c>
      <c r="W73" t="s" s="0">
        <v>585</v>
      </c>
      <c r="X73" t="s" s="0">
        <v>81</v>
      </c>
      <c r="Y73" t="s" s="0">
        <v>81</v>
      </c>
      <c r="Z73" t="s" s="0">
        <v>93</v>
      </c>
      <c r="AA73" t="s" s="0">
        <v>94</v>
      </c>
      <c r="AB73" t="s" s="0">
        <v>81</v>
      </c>
      <c r="AC73" t="s" s="0">
        <v>81</v>
      </c>
      <c r="AD73" t="s" s="0">
        <v>81</v>
      </c>
      <c r="AE73" t="s" s="0">
        <v>81</v>
      </c>
      <c r="AF73" t="s" s="0">
        <v>81</v>
      </c>
      <c r="AG73" t="s" s="0">
        <v>1986</v>
      </c>
      <c r="AH73" t="s" s="0">
        <v>1987</v>
      </c>
      <c r="AI73" t="s" s="0">
        <v>1988</v>
      </c>
      <c r="AJ73" t="s" s="0">
        <v>1989</v>
      </c>
      <c r="AK73" t="s" s="0">
        <v>81</v>
      </c>
      <c r="AL73" t="s" s="0">
        <v>1990</v>
      </c>
      <c r="AM73" t="s" s="0">
        <v>886</v>
      </c>
      <c r="AN73" t="s" s="0">
        <v>595</v>
      </c>
      <c r="AO73" t="s" s="0">
        <v>138</v>
      </c>
      <c r="AP73" t="s" s="0">
        <v>361</v>
      </c>
      <c r="AQ73" t="s" s="0">
        <v>588</v>
      </c>
      <c r="AR73" t="s" s="0">
        <v>589</v>
      </c>
      <c r="AS73" t="s" s="0">
        <v>590</v>
      </c>
      <c r="AT73" t="s" s="0">
        <v>591</v>
      </c>
      <c r="AU73" t="s" s="0">
        <v>592</v>
      </c>
      <c r="AV73" t="s" s="0">
        <v>81</v>
      </c>
      <c r="AW73" t="s" s="0">
        <v>593</v>
      </c>
      <c r="AX73" t="s" s="0">
        <v>594</v>
      </c>
      <c r="AY73" t="s" s="0">
        <v>1991</v>
      </c>
      <c r="AZ73" t="s" s="0">
        <v>309</v>
      </c>
      <c r="BA73" t="s" s="0">
        <v>1832</v>
      </c>
      <c r="BB73" t="s" s="0">
        <v>152</v>
      </c>
      <c r="BC73" t="s" s="0">
        <v>81</v>
      </c>
      <c r="BD73" t="s" s="0">
        <v>81</v>
      </c>
      <c r="BE73" t="s" s="0">
        <v>81</v>
      </c>
      <c r="BF73" t="s" s="0">
        <v>81</v>
      </c>
      <c r="BG73" t="s" s="0">
        <v>1992</v>
      </c>
      <c r="BH73" t="s" s="0">
        <v>1993</v>
      </c>
      <c r="BI73" t="s" s="0">
        <v>81</v>
      </c>
      <c r="BJ73" t="s" s="0">
        <v>1994</v>
      </c>
      <c r="BK73" t="s" s="143">
        <f>HYPERLINK("http://dx.doi.org/10.1109/JBHI.2024.3448238","http://dx.doi.org/10.1109/JBHI.2024.3448238")</f>
        <v>1995</v>
      </c>
      <c r="BL73" t="s" s="0">
        <v>81</v>
      </c>
      <c r="BM73" t="s" s="0">
        <v>81</v>
      </c>
      <c r="BN73" t="s" s="0">
        <v>1110</v>
      </c>
      <c r="BO73" t="s" s="0">
        <v>600</v>
      </c>
      <c r="BP73" t="s" s="0">
        <v>601</v>
      </c>
      <c r="BQ73" t="s" s="0">
        <v>1996</v>
      </c>
      <c r="BR73" t="s" s="0">
        <v>1997</v>
      </c>
      <c r="BS73" t="s" s="0">
        <v>1998</v>
      </c>
      <c r="BT73" t="s" s="144">
        <f>HYPERLINK("https://www.webofscience.com/wos/woscc/full-record/WOS:001359232100017","View Record in Web of Science")</f>
        <v>123</v>
      </c>
      <c r="BU73" t="s" s="0">
        <v>523</v>
      </c>
      <c r="BV73" t="s" s="0">
        <v>81</v>
      </c>
      <c r="BW73" t="s" s="0">
        <v>81</v>
      </c>
      <c r="BX73" t="s" s="0">
        <v>124</v>
      </c>
    </row>
    <row r="74">
      <c r="A74" t="s" s="0">
        <v>77</v>
      </c>
      <c r="B74" t="s" s="0">
        <v>77</v>
      </c>
      <c r="C74" t="s" s="0">
        <v>77</v>
      </c>
      <c r="D74" t="s" s="0">
        <v>77</v>
      </c>
      <c r="E74" t="s" s="0">
        <v>1999</v>
      </c>
      <c r="F74" t="s" s="0">
        <v>2000</v>
      </c>
      <c r="G74" t="s" s="0">
        <v>2001</v>
      </c>
      <c r="H74" t="s" s="0">
        <v>81</v>
      </c>
      <c r="I74" t="s" s="0">
        <v>82</v>
      </c>
      <c r="J74" t="s" s="0">
        <v>2002</v>
      </c>
      <c r="K74" t="s" s="0">
        <v>2003</v>
      </c>
      <c r="L74" t="s" s="0">
        <v>2004</v>
      </c>
      <c r="M74" t="s" s="0">
        <v>2005</v>
      </c>
      <c r="N74" t="s" s="0">
        <v>2006</v>
      </c>
      <c r="O74" t="s" s="0">
        <v>2007</v>
      </c>
      <c r="P74" t="s" s="0">
        <v>2008</v>
      </c>
      <c r="Q74" t="s" s="0">
        <v>90</v>
      </c>
      <c r="R74" t="s" s="0">
        <v>81</v>
      </c>
      <c r="S74" t="s" s="0">
        <v>81</v>
      </c>
      <c r="T74" t="s" s="0">
        <v>81</v>
      </c>
      <c r="U74" t="s" s="0">
        <v>81</v>
      </c>
      <c r="V74" t="s" s="0">
        <v>2009</v>
      </c>
      <c r="W74" t="s" s="0">
        <v>2010</v>
      </c>
      <c r="X74" t="s" s="0">
        <v>81</v>
      </c>
      <c r="Y74" t="s" s="0">
        <v>81</v>
      </c>
      <c r="Z74" t="s" s="0">
        <v>93</v>
      </c>
      <c r="AA74" t="s" s="0">
        <v>94</v>
      </c>
      <c r="AB74" t="s" s="0">
        <v>81</v>
      </c>
      <c r="AC74" t="s" s="0">
        <v>81</v>
      </c>
      <c r="AD74" t="s" s="0">
        <v>81</v>
      </c>
      <c r="AE74" t="s" s="0">
        <v>81</v>
      </c>
      <c r="AF74" t="s" s="0">
        <v>81</v>
      </c>
      <c r="AG74" t="s" s="0">
        <v>2011</v>
      </c>
      <c r="AH74" t="s" s="0">
        <v>2012</v>
      </c>
      <c r="AI74" t="s" s="0">
        <v>2013</v>
      </c>
      <c r="AJ74" t="s" s="0">
        <v>2014</v>
      </c>
      <c r="AK74" t="s" s="0">
        <v>81</v>
      </c>
      <c r="AL74" t="s" s="0">
        <v>960</v>
      </c>
      <c r="AM74" t="s" s="0">
        <v>158</v>
      </c>
      <c r="AN74" t="s" s="0">
        <v>333</v>
      </c>
      <c r="AO74" t="s" s="0">
        <v>101</v>
      </c>
      <c r="AP74" t="s" s="0">
        <v>399</v>
      </c>
      <c r="AQ74" t="s" s="0">
        <v>140</v>
      </c>
      <c r="AR74" t="s" s="0">
        <v>141</v>
      </c>
      <c r="AS74" t="s" s="0">
        <v>142</v>
      </c>
      <c r="AT74" t="s" s="0">
        <v>2015</v>
      </c>
      <c r="AU74" t="s" s="0">
        <v>2016</v>
      </c>
      <c r="AV74" t="s" s="0">
        <v>81</v>
      </c>
      <c r="AW74" t="s" s="0">
        <v>2017</v>
      </c>
      <c r="AX74" t="s" s="0">
        <v>2018</v>
      </c>
      <c r="AY74" t="s" s="0">
        <v>147</v>
      </c>
      <c r="AZ74" t="s" s="0">
        <v>111</v>
      </c>
      <c r="BA74" t="s" s="0">
        <v>2019</v>
      </c>
      <c r="BB74" t="s" s="0">
        <v>81</v>
      </c>
      <c r="BC74" t="s" s="0">
        <v>81</v>
      </c>
      <c r="BD74" t="s" s="0">
        <v>81</v>
      </c>
      <c r="BE74" t="s" s="0">
        <v>81</v>
      </c>
      <c r="BF74" t="s" s="0">
        <v>81</v>
      </c>
      <c r="BG74" t="s" s="0">
        <v>2020</v>
      </c>
      <c r="BH74" t="s" s="0">
        <v>2021</v>
      </c>
      <c r="BI74" t="s" s="0">
        <v>81</v>
      </c>
      <c r="BJ74" t="s" s="0">
        <v>2022</v>
      </c>
      <c r="BK74" t="s" s="145">
        <f>HYPERLINK("http://dx.doi.org/10.1016/j.patrec.2025.04.001","http://dx.doi.org/10.1016/j.patrec.2025.04.001")</f>
        <v>2023</v>
      </c>
      <c r="BL74" t="s" s="0">
        <v>81</v>
      </c>
      <c r="BM74" t="s" s="0">
        <v>116</v>
      </c>
      <c r="BN74" t="s" s="0">
        <v>138</v>
      </c>
      <c r="BO74" t="s" s="0">
        <v>488</v>
      </c>
      <c r="BP74" t="s" s="0">
        <v>250</v>
      </c>
      <c r="BQ74" t="s" s="0">
        <v>2024</v>
      </c>
      <c r="BR74" t="s" s="0">
        <v>81</v>
      </c>
      <c r="BS74" t="s" s="0">
        <v>2025</v>
      </c>
      <c r="BT74" t="s" s="146">
        <f>HYPERLINK("https://www.webofscience.com/wos/woscc/full-record/WOS:001482467000001","View Record in Web of Science")</f>
        <v>123</v>
      </c>
      <c r="BU74" t="s" s="0">
        <v>81</v>
      </c>
      <c r="BV74" t="s" s="0">
        <v>81</v>
      </c>
      <c r="BW74" t="s" s="0">
        <v>81</v>
      </c>
      <c r="BX74" t="s" s="0">
        <v>124</v>
      </c>
    </row>
    <row r="75">
      <c r="A75" t="s" s="0">
        <v>77</v>
      </c>
      <c r="B75" t="s" s="0">
        <v>77</v>
      </c>
      <c r="C75" t="s" s="0">
        <v>77</v>
      </c>
      <c r="D75" t="s" s="0">
        <v>77</v>
      </c>
      <c r="E75" t="s" s="0">
        <v>2026</v>
      </c>
      <c r="F75" t="s" s="0">
        <v>2027</v>
      </c>
      <c r="G75" t="s" s="0">
        <v>2028</v>
      </c>
      <c r="H75" t="s" s="0">
        <v>81</v>
      </c>
      <c r="I75" t="s" s="0">
        <v>1812</v>
      </c>
      <c r="J75" t="s" s="0">
        <v>2029</v>
      </c>
      <c r="K75" t="s" s="0">
        <v>2030</v>
      </c>
      <c r="L75" t="s" s="0">
        <v>2031</v>
      </c>
      <c r="M75" t="s" s="0">
        <v>2032</v>
      </c>
      <c r="N75" t="s" s="0">
        <v>2033</v>
      </c>
      <c r="O75" t="s" s="0">
        <v>2034</v>
      </c>
      <c r="P75" t="s" s="0">
        <v>2035</v>
      </c>
      <c r="Q75" t="s" s="0">
        <v>90</v>
      </c>
      <c r="R75" t="s" s="0">
        <v>81</v>
      </c>
      <c r="S75" t="s" s="0">
        <v>81</v>
      </c>
      <c r="T75" t="s" s="0">
        <v>81</v>
      </c>
      <c r="U75" t="s" s="0">
        <v>81</v>
      </c>
      <c r="V75" t="s" s="0">
        <v>2036</v>
      </c>
      <c r="W75" t="s" s="0">
        <v>2037</v>
      </c>
      <c r="X75" t="s" s="0">
        <v>81</v>
      </c>
      <c r="Y75" t="s" s="0">
        <v>81</v>
      </c>
      <c r="Z75" t="s" s="0">
        <v>93</v>
      </c>
      <c r="AA75" t="s" s="0">
        <v>94</v>
      </c>
      <c r="AB75" t="s" s="0">
        <v>81</v>
      </c>
      <c r="AC75" t="s" s="0">
        <v>81</v>
      </c>
      <c r="AD75" t="s" s="0">
        <v>81</v>
      </c>
      <c r="AE75" t="s" s="0">
        <v>81</v>
      </c>
      <c r="AF75" t="s" s="0">
        <v>81</v>
      </c>
      <c r="AG75" t="s" s="0">
        <v>2038</v>
      </c>
      <c r="AH75" t="s" s="0">
        <v>81</v>
      </c>
      <c r="AI75" t="s" s="0">
        <v>2039</v>
      </c>
      <c r="AJ75" t="s" s="0">
        <v>81</v>
      </c>
      <c r="AK75" t="s" s="0">
        <v>81</v>
      </c>
      <c r="AL75" t="s" s="0">
        <v>2040</v>
      </c>
      <c r="AM75" t="s" s="0">
        <v>137</v>
      </c>
      <c r="AN75" t="s" s="0">
        <v>137</v>
      </c>
      <c r="AO75" t="s" s="0">
        <v>275</v>
      </c>
      <c r="AP75" t="s" s="0">
        <v>275</v>
      </c>
      <c r="AQ75" t="s" s="0">
        <v>620</v>
      </c>
      <c r="AR75" t="s" s="0">
        <v>621</v>
      </c>
      <c r="AS75" t="s" s="0">
        <v>622</v>
      </c>
      <c r="AT75" t="s" s="0">
        <v>2041</v>
      </c>
      <c r="AU75" t="s" s="0">
        <v>2042</v>
      </c>
      <c r="AV75" t="s" s="0">
        <v>81</v>
      </c>
      <c r="AW75" t="s" s="0">
        <v>2043</v>
      </c>
      <c r="AX75" t="s" s="0">
        <v>2044</v>
      </c>
      <c r="AY75" t="s" s="0">
        <v>938</v>
      </c>
      <c r="AZ75" t="s" s="0">
        <v>212</v>
      </c>
      <c r="BA75" t="s" s="0">
        <v>1090</v>
      </c>
      <c r="BB75" t="s" s="0">
        <v>81</v>
      </c>
      <c r="BC75" t="s" s="0">
        <v>81</v>
      </c>
      <c r="BD75" t="s" s="0">
        <v>81</v>
      </c>
      <c r="BE75" t="s" s="0">
        <v>81</v>
      </c>
      <c r="BF75" t="s" s="0">
        <v>81</v>
      </c>
      <c r="BG75" t="s" s="0">
        <v>81</v>
      </c>
      <c r="BH75" t="s" s="0">
        <v>81</v>
      </c>
      <c r="BI75" t="s" s="0">
        <v>2045</v>
      </c>
      <c r="BJ75" t="s" s="0">
        <v>2046</v>
      </c>
      <c r="BK75" t="s" s="147">
        <f>HYPERLINK("http://dx.doi.org/10.1016/j.tourman.2026.105450","http://dx.doi.org/10.1016/j.tourman.2026.105450")</f>
        <v>2047</v>
      </c>
      <c r="BL75" t="s" s="0">
        <v>81</v>
      </c>
      <c r="BM75" t="s" s="0">
        <v>1174</v>
      </c>
      <c r="BN75" t="s" s="0">
        <v>1443</v>
      </c>
      <c r="BO75" t="s" s="0">
        <v>2048</v>
      </c>
      <c r="BP75" t="s" s="0">
        <v>2049</v>
      </c>
      <c r="BQ75" t="s" s="0">
        <v>2050</v>
      </c>
      <c r="BR75" t="s" s="0">
        <v>81</v>
      </c>
      <c r="BS75" t="s" s="0">
        <v>2051</v>
      </c>
      <c r="BT75" t="s" s="148">
        <f>HYPERLINK("https://www.webofscience.com/wos/woscc/full-record/WOS:001763135000001","View Record in Web of Science")</f>
        <v>123</v>
      </c>
      <c r="BU75" t="s" s="0">
        <v>81</v>
      </c>
      <c r="BV75" t="s" s="0">
        <v>81</v>
      </c>
      <c r="BW75" t="s" s="0">
        <v>81</v>
      </c>
      <c r="BX75" t="s" s="0">
        <v>124</v>
      </c>
    </row>
    <row r="76">
      <c r="A76" t="s" s="0">
        <v>77</v>
      </c>
      <c r="B76" t="s" s="0">
        <v>77</v>
      </c>
      <c r="C76" t="s" s="0">
        <v>77</v>
      </c>
      <c r="D76" t="s" s="0">
        <v>77</v>
      </c>
      <c r="E76" t="s" s="0">
        <v>2052</v>
      </c>
      <c r="F76" t="s" s="0">
        <v>2053</v>
      </c>
      <c r="G76" t="s" s="0">
        <v>2054</v>
      </c>
      <c r="H76" t="s" s="0">
        <v>81</v>
      </c>
      <c r="I76" t="s" s="0">
        <v>82</v>
      </c>
      <c r="J76" t="s" s="0">
        <v>2055</v>
      </c>
      <c r="K76" t="s" s="0">
        <v>2056</v>
      </c>
      <c r="L76" t="s" s="0">
        <v>2057</v>
      </c>
      <c r="M76" t="s" s="0">
        <v>2058</v>
      </c>
      <c r="N76" t="s" s="0">
        <v>2059</v>
      </c>
      <c r="O76" t="s" s="0">
        <v>2060</v>
      </c>
      <c r="P76" t="s" s="0">
        <v>2061</v>
      </c>
      <c r="Q76" t="s" s="0">
        <v>90</v>
      </c>
      <c r="R76" t="s" s="0">
        <v>81</v>
      </c>
      <c r="S76" t="s" s="0">
        <v>81</v>
      </c>
      <c r="T76" t="s" s="0">
        <v>81</v>
      </c>
      <c r="U76" t="s" s="0">
        <v>81</v>
      </c>
      <c r="V76" t="s" s="0">
        <v>2062</v>
      </c>
      <c r="W76" t="s" s="0">
        <v>167</v>
      </c>
      <c r="X76" t="s" s="0">
        <v>81</v>
      </c>
      <c r="Y76" t="s" s="0">
        <v>81</v>
      </c>
      <c r="Z76" t="s" s="0">
        <v>93</v>
      </c>
      <c r="AA76" t="s" s="0">
        <v>94</v>
      </c>
      <c r="AB76" t="s" s="0">
        <v>81</v>
      </c>
      <c r="AC76" t="s" s="0">
        <v>81</v>
      </c>
      <c r="AD76" t="s" s="0">
        <v>81</v>
      </c>
      <c r="AE76" t="s" s="0">
        <v>81</v>
      </c>
      <c r="AF76" t="s" s="0">
        <v>81</v>
      </c>
      <c r="AG76" t="s" s="0">
        <v>2063</v>
      </c>
      <c r="AH76" t="s" s="0">
        <v>81</v>
      </c>
      <c r="AI76" t="s" s="0">
        <v>2064</v>
      </c>
      <c r="AJ76" t="s" s="0">
        <v>2065</v>
      </c>
      <c r="AK76" t="s" s="0">
        <v>81</v>
      </c>
      <c r="AL76" t="s" s="0">
        <v>1832</v>
      </c>
      <c r="AM76" t="s" s="0">
        <v>301</v>
      </c>
      <c r="AN76" t="s" s="0">
        <v>333</v>
      </c>
      <c r="AO76" t="s" s="0">
        <v>77</v>
      </c>
      <c r="AP76" t="s" s="0">
        <v>399</v>
      </c>
      <c r="AQ76" t="s" s="0">
        <v>174</v>
      </c>
      <c r="AR76" t="s" s="0">
        <v>175</v>
      </c>
      <c r="AS76" t="s" s="0">
        <v>208</v>
      </c>
      <c r="AT76" t="s" s="0">
        <v>177</v>
      </c>
      <c r="AU76" t="s" s="0">
        <v>81</v>
      </c>
      <c r="AV76" t="s" s="0">
        <v>81</v>
      </c>
      <c r="AW76" t="s" s="0">
        <v>178</v>
      </c>
      <c r="AX76" t="s" s="0">
        <v>179</v>
      </c>
      <c r="AY76" t="s" s="0">
        <v>404</v>
      </c>
      <c r="AZ76" t="s" s="0">
        <v>111</v>
      </c>
      <c r="BA76" t="s" s="0">
        <v>213</v>
      </c>
      <c r="BB76" t="s" s="0">
        <v>301</v>
      </c>
      <c r="BC76" t="s" s="0">
        <v>81</v>
      </c>
      <c r="BD76" t="s" s="0">
        <v>81</v>
      </c>
      <c r="BE76" t="s" s="0">
        <v>81</v>
      </c>
      <c r="BF76" t="s" s="0">
        <v>81</v>
      </c>
      <c r="BG76" t="s" s="0">
        <v>81</v>
      </c>
      <c r="BH76" t="s" s="0">
        <v>81</v>
      </c>
      <c r="BI76" t="s" s="0">
        <v>2066</v>
      </c>
      <c r="BJ76" t="s" s="0">
        <v>2067</v>
      </c>
      <c r="BK76" t="s" s="149">
        <f>HYPERLINK("http://dx.doi.org/10.3390/electronics14040799","http://dx.doi.org/10.3390/electronics14040799")</f>
        <v>2068</v>
      </c>
      <c r="BL76" t="s" s="0">
        <v>81</v>
      </c>
      <c r="BM76" t="s" s="0">
        <v>81</v>
      </c>
      <c r="BN76" t="s" s="0">
        <v>139</v>
      </c>
      <c r="BO76" t="s" s="0">
        <v>187</v>
      </c>
      <c r="BP76" t="s" s="0">
        <v>188</v>
      </c>
      <c r="BQ76" t="s" s="0">
        <v>2069</v>
      </c>
      <c r="BR76" t="s" s="0">
        <v>81</v>
      </c>
      <c r="BS76" t="s" s="0">
        <v>2070</v>
      </c>
      <c r="BT76" t="s" s="150">
        <f>HYPERLINK("https://www.webofscience.com/wos/woscc/full-record/WOS:001431860200001","View Record in Web of Science")</f>
        <v>123</v>
      </c>
      <c r="BU76" t="s" s="0">
        <v>222</v>
      </c>
      <c r="BV76" t="s" s="0">
        <v>81</v>
      </c>
      <c r="BW76" t="s" s="0">
        <v>81</v>
      </c>
      <c r="BX76" t="s" s="0">
        <v>124</v>
      </c>
    </row>
    <row r="77">
      <c r="A77" t="s" s="0">
        <v>101</v>
      </c>
      <c r="B77" t="s" s="0">
        <v>77</v>
      </c>
      <c r="C77" t="s" s="0">
        <v>399</v>
      </c>
      <c r="D77" t="s" s="0">
        <v>77</v>
      </c>
      <c r="E77" t="s" s="0">
        <v>2071</v>
      </c>
      <c r="F77" t="s" s="0">
        <v>2072</v>
      </c>
      <c r="G77" t="s" s="0">
        <v>2073</v>
      </c>
      <c r="H77" t="s" s="0">
        <v>81</v>
      </c>
      <c r="I77" t="s" s="0">
        <v>82</v>
      </c>
      <c r="J77" t="s" s="0">
        <v>2074</v>
      </c>
      <c r="K77" t="s" s="0">
        <v>2075</v>
      </c>
      <c r="L77" t="s" s="0">
        <v>2076</v>
      </c>
      <c r="M77" t="s" s="0">
        <v>2077</v>
      </c>
      <c r="N77" t="s" s="0">
        <v>2078</v>
      </c>
      <c r="O77" t="s" s="0">
        <v>2079</v>
      </c>
      <c r="P77" t="s" s="0">
        <v>2080</v>
      </c>
      <c r="Q77" t="s" s="0">
        <v>90</v>
      </c>
      <c r="R77" t="s" s="0">
        <v>81</v>
      </c>
      <c r="S77" t="s" s="0">
        <v>81</v>
      </c>
      <c r="T77" t="s" s="0">
        <v>81</v>
      </c>
      <c r="U77" t="s" s="0">
        <v>81</v>
      </c>
      <c r="V77" t="s" s="0">
        <v>2081</v>
      </c>
      <c r="W77" t="s" s="0">
        <v>2082</v>
      </c>
      <c r="X77" t="s" s="0">
        <v>81</v>
      </c>
      <c r="Y77" t="s" s="0">
        <v>81</v>
      </c>
      <c r="Z77" t="s" s="0">
        <v>93</v>
      </c>
      <c r="AA77" t="s" s="0">
        <v>94</v>
      </c>
      <c r="AB77" t="s" s="0">
        <v>81</v>
      </c>
      <c r="AC77" t="s" s="0">
        <v>81</v>
      </c>
      <c r="AD77" t="s" s="0">
        <v>81</v>
      </c>
      <c r="AE77" t="s" s="0">
        <v>81</v>
      </c>
      <c r="AF77" t="s" s="0">
        <v>81</v>
      </c>
      <c r="AG77" t="s" s="0">
        <v>2083</v>
      </c>
      <c r="AH77" t="s" s="0">
        <v>2084</v>
      </c>
      <c r="AI77" t="s" s="0">
        <v>2085</v>
      </c>
      <c r="AJ77" t="s" s="0">
        <v>2086</v>
      </c>
      <c r="AK77" t="s" s="0">
        <v>81</v>
      </c>
      <c r="AL77" t="s" s="0">
        <v>99</v>
      </c>
      <c r="AM77" t="s" s="0">
        <v>139</v>
      </c>
      <c r="AN77" t="s" s="0">
        <v>171</v>
      </c>
      <c r="AO77" t="s" s="0">
        <v>100</v>
      </c>
      <c r="AP77" t="s" s="0">
        <v>619</v>
      </c>
      <c r="AQ77" t="s" s="0">
        <v>588</v>
      </c>
      <c r="AR77" t="s" s="0">
        <v>589</v>
      </c>
      <c r="AS77" t="s" s="0">
        <v>590</v>
      </c>
      <c r="AT77" t="s" s="0">
        <v>2087</v>
      </c>
      <c r="AU77" t="s" s="0">
        <v>81</v>
      </c>
      <c r="AV77" t="s" s="0">
        <v>81</v>
      </c>
      <c r="AW77" t="s" s="0">
        <v>2082</v>
      </c>
      <c r="AX77" t="s" s="0">
        <v>2088</v>
      </c>
      <c r="AY77" t="s" s="0">
        <v>181</v>
      </c>
      <c r="AZ77" t="s" s="0">
        <v>181</v>
      </c>
      <c r="BA77" t="s" s="0">
        <v>152</v>
      </c>
      <c r="BB77" t="s" s="0">
        <v>81</v>
      </c>
      <c r="BC77" t="s" s="0">
        <v>81</v>
      </c>
      <c r="BD77" t="s" s="0">
        <v>81</v>
      </c>
      <c r="BE77" t="s" s="0">
        <v>81</v>
      </c>
      <c r="BF77" t="s" s="0">
        <v>81</v>
      </c>
      <c r="BG77" t="s" s="0">
        <v>2089</v>
      </c>
      <c r="BH77" t="s" s="0">
        <v>2090</v>
      </c>
      <c r="BI77" t="s" s="0">
        <v>81</v>
      </c>
      <c r="BJ77" t="s" s="0">
        <v>2091</v>
      </c>
      <c r="BK77" t="s" s="151">
        <f>HYPERLINK("http://dx.doi.org/10.1109/ACCESS.2023.3275126","http://dx.doi.org/10.1109/ACCESS.2023.3275126")</f>
        <v>2092</v>
      </c>
      <c r="BL77" t="s" s="0">
        <v>81</v>
      </c>
      <c r="BM77" t="s" s="0">
        <v>81</v>
      </c>
      <c r="BN77" t="s" s="0">
        <v>1110</v>
      </c>
      <c r="BO77" t="s" s="0">
        <v>712</v>
      </c>
      <c r="BP77" t="s" s="0">
        <v>713</v>
      </c>
      <c r="BQ77" t="s" s="0">
        <v>2093</v>
      </c>
      <c r="BR77" t="s" s="0">
        <v>81</v>
      </c>
      <c r="BS77" t="s" s="0">
        <v>2094</v>
      </c>
      <c r="BT77" t="s" s="152">
        <f>HYPERLINK("https://www.webofscience.com/wos/woscc/full-record/WOS:001010128600001","View Record in Web of Science")</f>
        <v>123</v>
      </c>
      <c r="BU77" t="s" s="0">
        <v>191</v>
      </c>
      <c r="BV77" t="s" s="0">
        <v>81</v>
      </c>
      <c r="BW77" t="s" s="0">
        <v>81</v>
      </c>
      <c r="BX77" t="s" s="0">
        <v>124</v>
      </c>
    </row>
    <row r="78">
      <c r="A78" t="s" s="0">
        <v>77</v>
      </c>
      <c r="B78" t="s" s="0">
        <v>77</v>
      </c>
      <c r="C78" t="s" s="0">
        <v>101</v>
      </c>
      <c r="D78" t="s" s="0">
        <v>77</v>
      </c>
      <c r="E78" t="s" s="0">
        <v>2095</v>
      </c>
      <c r="F78" t="s" s="0">
        <v>2096</v>
      </c>
      <c r="G78" t="s" s="0">
        <v>2097</v>
      </c>
      <c r="H78" t="s" s="0">
        <v>81</v>
      </c>
      <c r="I78" t="s" s="0">
        <v>82</v>
      </c>
      <c r="J78" t="s" s="0">
        <v>2098</v>
      </c>
      <c r="K78" t="s" s="0">
        <v>2099</v>
      </c>
      <c r="L78" t="s" s="0">
        <v>2100</v>
      </c>
      <c r="M78" t="s" s="0">
        <v>2101</v>
      </c>
      <c r="N78" t="s" s="0">
        <v>2102</v>
      </c>
      <c r="O78" t="s" s="0">
        <v>2103</v>
      </c>
      <c r="P78" t="s" s="0">
        <v>2104</v>
      </c>
      <c r="Q78" t="s" s="0">
        <v>90</v>
      </c>
      <c r="R78" t="s" s="0">
        <v>81</v>
      </c>
      <c r="S78" t="s" s="0">
        <v>81</v>
      </c>
      <c r="T78" t="s" s="0">
        <v>81</v>
      </c>
      <c r="U78" t="s" s="0">
        <v>81</v>
      </c>
      <c r="V78" t="s" s="0">
        <v>2105</v>
      </c>
      <c r="W78" t="s" s="0">
        <v>2106</v>
      </c>
      <c r="X78" t="s" s="0">
        <v>81</v>
      </c>
      <c r="Y78" t="s" s="0">
        <v>81</v>
      </c>
      <c r="Z78" t="s" s="0">
        <v>93</v>
      </c>
      <c r="AA78" t="s" s="0">
        <v>94</v>
      </c>
      <c r="AB78" t="s" s="0">
        <v>81</v>
      </c>
      <c r="AC78" t="s" s="0">
        <v>81</v>
      </c>
      <c r="AD78" t="s" s="0">
        <v>81</v>
      </c>
      <c r="AE78" t="s" s="0">
        <v>81</v>
      </c>
      <c r="AF78" t="s" s="0">
        <v>81</v>
      </c>
      <c r="AG78" t="s" s="0">
        <v>2107</v>
      </c>
      <c r="AH78" t="s" s="0">
        <v>81</v>
      </c>
      <c r="AI78" t="s" s="0">
        <v>2108</v>
      </c>
      <c r="AJ78" t="s" s="0">
        <v>2109</v>
      </c>
      <c r="AK78" t="s" s="0">
        <v>81</v>
      </c>
      <c r="AL78" t="s" s="0">
        <v>390</v>
      </c>
      <c r="AM78" t="s" s="0">
        <v>138</v>
      </c>
      <c r="AN78" t="s" s="0">
        <v>152</v>
      </c>
      <c r="AO78" t="s" s="0">
        <v>183</v>
      </c>
      <c r="AP78" t="s" s="0">
        <v>152</v>
      </c>
      <c r="AQ78" t="s" s="0">
        <v>140</v>
      </c>
      <c r="AR78" t="s" s="0">
        <v>141</v>
      </c>
      <c r="AS78" t="s" s="0">
        <v>142</v>
      </c>
      <c r="AT78" t="s" s="0">
        <v>2110</v>
      </c>
      <c r="AU78" t="s" s="0">
        <v>81</v>
      </c>
      <c r="AV78" t="s" s="0">
        <v>81</v>
      </c>
      <c r="AW78" t="s" s="0">
        <v>2111</v>
      </c>
      <c r="AX78" t="s" s="0">
        <v>2112</v>
      </c>
      <c r="AY78" t="s" s="0">
        <v>111</v>
      </c>
      <c r="AZ78" t="s" s="0">
        <v>111</v>
      </c>
      <c r="BA78" t="s" s="0">
        <v>886</v>
      </c>
      <c r="BB78" t="s" s="0">
        <v>81</v>
      </c>
      <c r="BC78" t="s" s="0">
        <v>81</v>
      </c>
      <c r="BD78" t="s" s="0">
        <v>81</v>
      </c>
      <c r="BE78" t="s" s="0">
        <v>81</v>
      </c>
      <c r="BF78" t="s" s="0">
        <v>81</v>
      </c>
      <c r="BG78" t="s" s="0">
        <v>2113</v>
      </c>
      <c r="BH78" t="s" s="0">
        <v>2114</v>
      </c>
      <c r="BI78" t="s" s="0">
        <v>81</v>
      </c>
      <c r="BJ78" t="s" s="0">
        <v>2115</v>
      </c>
      <c r="BK78" t="s" s="153">
        <f>HYPERLINK("http://dx.doi.org/10.1016/j.csbj.2025.10.038","http://dx.doi.org/10.1016/j.csbj.2025.10.038")</f>
        <v>2116</v>
      </c>
      <c r="BL78" t="s" s="0">
        <v>81</v>
      </c>
      <c r="BM78" t="s" s="0">
        <v>920</v>
      </c>
      <c r="BN78" t="s" s="0">
        <v>182</v>
      </c>
      <c r="BO78" t="s" s="0">
        <v>2117</v>
      </c>
      <c r="BP78" t="s" s="0">
        <v>2117</v>
      </c>
      <c r="BQ78" t="s" s="0">
        <v>2118</v>
      </c>
      <c r="BR78" t="s" s="0">
        <v>2119</v>
      </c>
      <c r="BS78" t="s" s="0">
        <v>2120</v>
      </c>
      <c r="BT78" t="s" s="154">
        <f>HYPERLINK("https://www.webofscience.com/wos/woscc/full-record/WOS:001606234600001","View Record in Web of Science")</f>
        <v>123</v>
      </c>
      <c r="BU78" t="s" s="0">
        <v>191</v>
      </c>
      <c r="BV78" t="s" s="0">
        <v>81</v>
      </c>
      <c r="BW78" t="s" s="0">
        <v>81</v>
      </c>
      <c r="BX78" t="s" s="0">
        <v>124</v>
      </c>
    </row>
    <row r="79">
      <c r="A79" t="s" s="0">
        <v>77</v>
      </c>
      <c r="B79" t="s" s="0">
        <v>77</v>
      </c>
      <c r="C79" t="s" s="0">
        <v>77</v>
      </c>
      <c r="D79" t="s" s="0">
        <v>77</v>
      </c>
      <c r="E79" t="s" s="0">
        <v>2121</v>
      </c>
      <c r="F79" t="s" s="0">
        <v>2122</v>
      </c>
      <c r="G79" t="s" s="0">
        <v>2123</v>
      </c>
      <c r="H79" t="s" s="0">
        <v>81</v>
      </c>
      <c r="I79" t="s" s="0">
        <v>82</v>
      </c>
      <c r="J79" t="s" s="0">
        <v>2124</v>
      </c>
      <c r="K79" t="s" s="0">
        <v>2125</v>
      </c>
      <c r="L79" t="s" s="0">
        <v>496</v>
      </c>
      <c r="M79" t="s" s="0">
        <v>199</v>
      </c>
      <c r="N79" t="s" s="0">
        <v>2126</v>
      </c>
      <c r="O79" t="s" s="0">
        <v>2127</v>
      </c>
      <c r="P79" t="s" s="0">
        <v>2128</v>
      </c>
      <c r="Q79" t="s" s="0">
        <v>90</v>
      </c>
      <c r="R79" t="s" s="0">
        <v>81</v>
      </c>
      <c r="S79" t="s" s="0">
        <v>81</v>
      </c>
      <c r="T79" t="s" s="0">
        <v>81</v>
      </c>
      <c r="U79" t="s" s="0">
        <v>81</v>
      </c>
      <c r="V79" t="s" s="0">
        <v>2129</v>
      </c>
      <c r="W79" t="s" s="0">
        <v>2130</v>
      </c>
      <c r="X79" t="s" s="0">
        <v>81</v>
      </c>
      <c r="Y79" t="s" s="0">
        <v>81</v>
      </c>
      <c r="Z79" t="s" s="0">
        <v>93</v>
      </c>
      <c r="AA79" t="s" s="0">
        <v>94</v>
      </c>
      <c r="AB79" t="s" s="0">
        <v>81</v>
      </c>
      <c r="AC79" t="s" s="0">
        <v>81</v>
      </c>
      <c r="AD79" t="s" s="0">
        <v>81</v>
      </c>
      <c r="AE79" t="s" s="0">
        <v>81</v>
      </c>
      <c r="AF79" t="s" s="0">
        <v>81</v>
      </c>
      <c r="AG79" t="s" s="0">
        <v>2131</v>
      </c>
      <c r="AH79" t="s" s="0">
        <v>81</v>
      </c>
      <c r="AI79" t="s" s="0">
        <v>81</v>
      </c>
      <c r="AJ79" t="s" s="0">
        <v>2132</v>
      </c>
      <c r="AK79" t="s" s="0">
        <v>81</v>
      </c>
      <c r="AL79" t="s" s="0">
        <v>448</v>
      </c>
      <c r="AM79" t="s" s="0">
        <v>77</v>
      </c>
      <c r="AN79" t="s" s="0">
        <v>77</v>
      </c>
      <c r="AO79" t="s" s="0">
        <v>301</v>
      </c>
      <c r="AP79" t="s" s="0">
        <v>895</v>
      </c>
      <c r="AQ79" t="s" s="0">
        <v>174</v>
      </c>
      <c r="AR79" t="s" s="0">
        <v>175</v>
      </c>
      <c r="AS79" t="s" s="0">
        <v>208</v>
      </c>
      <c r="AT79" t="s" s="0">
        <v>81</v>
      </c>
      <c r="AU79" t="s" s="0">
        <v>2133</v>
      </c>
      <c r="AV79" t="s" s="0">
        <v>81</v>
      </c>
      <c r="AW79" t="s" s="0">
        <v>2134</v>
      </c>
      <c r="AX79" t="s" s="0">
        <v>2135</v>
      </c>
      <c r="AY79" t="s" s="0">
        <v>2136</v>
      </c>
      <c r="AZ79" t="s" s="0">
        <v>111</v>
      </c>
      <c r="BA79" t="s" s="0">
        <v>399</v>
      </c>
      <c r="BB79" t="s" s="0">
        <v>138</v>
      </c>
      <c r="BC79" t="s" s="0">
        <v>81</v>
      </c>
      <c r="BD79" t="s" s="0">
        <v>81</v>
      </c>
      <c r="BE79" t="s" s="0">
        <v>81</v>
      </c>
      <c r="BF79" t="s" s="0">
        <v>81</v>
      </c>
      <c r="BG79" t="s" s="0">
        <v>81</v>
      </c>
      <c r="BH79" t="s" s="0">
        <v>81</v>
      </c>
      <c r="BI79" t="s" s="0">
        <v>2137</v>
      </c>
      <c r="BJ79" t="s" s="0">
        <v>2138</v>
      </c>
      <c r="BK79" t="s" s="155">
        <f>HYPERLINK("http://dx.doi.org/10.3390/fractalfract9080545","http://dx.doi.org/10.3390/fractalfract9080545")</f>
        <v>2139</v>
      </c>
      <c r="BL79" t="s" s="0">
        <v>81</v>
      </c>
      <c r="BM79" t="s" s="0">
        <v>81</v>
      </c>
      <c r="BN79" t="s" s="0">
        <v>566</v>
      </c>
      <c r="BO79" t="s" s="0">
        <v>2140</v>
      </c>
      <c r="BP79" t="s" s="0">
        <v>1360</v>
      </c>
      <c r="BQ79" t="s" s="0">
        <v>2141</v>
      </c>
      <c r="BR79" t="s" s="0">
        <v>81</v>
      </c>
      <c r="BS79" t="s" s="0">
        <v>2142</v>
      </c>
      <c r="BT79" t="s" s="156">
        <f>HYPERLINK("https://www.webofscience.com/wos/woscc/full-record/WOS:001558281700001","View Record in Web of Science")</f>
        <v>123</v>
      </c>
      <c r="BU79" t="s" s="0">
        <v>191</v>
      </c>
      <c r="BV79" t="s" s="0">
        <v>81</v>
      </c>
      <c r="BW79" t="s" s="0">
        <v>81</v>
      </c>
      <c r="BX79" t="s" s="0">
        <v>124</v>
      </c>
    </row>
    <row r="80">
      <c r="A80" t="s" s="0">
        <v>77</v>
      </c>
      <c r="B80" t="s" s="0">
        <v>77</v>
      </c>
      <c r="C80" t="s" s="0">
        <v>77</v>
      </c>
      <c r="D80" t="s" s="0">
        <v>77</v>
      </c>
      <c r="E80" t="s" s="0">
        <v>2143</v>
      </c>
      <c r="F80" t="s" s="0">
        <v>2144</v>
      </c>
      <c r="G80" t="s" s="0">
        <v>2145</v>
      </c>
      <c r="H80" t="s" s="0">
        <v>81</v>
      </c>
      <c r="I80" t="s" s="0">
        <v>82</v>
      </c>
      <c r="J80" t="s" s="0">
        <v>2146</v>
      </c>
      <c r="K80" t="s" s="0">
        <v>2147</v>
      </c>
      <c r="L80" t="s" s="0">
        <v>81</v>
      </c>
      <c r="M80" t="s" s="0">
        <v>81</v>
      </c>
      <c r="N80" t="s" s="0">
        <v>81</v>
      </c>
      <c r="O80" t="s" s="0">
        <v>2148</v>
      </c>
      <c r="P80" t="s" s="0">
        <v>2149</v>
      </c>
      <c r="Q80" t="s" s="0">
        <v>90</v>
      </c>
      <c r="R80" t="s" s="0">
        <v>81</v>
      </c>
      <c r="S80" t="s" s="0">
        <v>81</v>
      </c>
      <c r="T80" t="s" s="0">
        <v>81</v>
      </c>
      <c r="U80" t="s" s="0">
        <v>81</v>
      </c>
      <c r="V80" t="s" s="0">
        <v>2150</v>
      </c>
      <c r="W80" t="s" s="0">
        <v>2151</v>
      </c>
      <c r="X80" t="s" s="0">
        <v>81</v>
      </c>
      <c r="Y80" t="s" s="0">
        <v>81</v>
      </c>
      <c r="Z80" t="s" s="0">
        <v>93</v>
      </c>
      <c r="AA80" t="s" s="0">
        <v>94</v>
      </c>
      <c r="AB80" t="s" s="0">
        <v>81</v>
      </c>
      <c r="AC80" t="s" s="0">
        <v>81</v>
      </c>
      <c r="AD80" t="s" s="0">
        <v>81</v>
      </c>
      <c r="AE80" t="s" s="0">
        <v>81</v>
      </c>
      <c r="AF80" t="s" s="0">
        <v>81</v>
      </c>
      <c r="AG80" t="s" s="0">
        <v>2152</v>
      </c>
      <c r="AH80" t="s" s="0">
        <v>2153</v>
      </c>
      <c r="AI80" t="s" s="0">
        <v>81</v>
      </c>
      <c r="AJ80" t="s" s="0">
        <v>81</v>
      </c>
      <c r="AK80" t="s" s="0">
        <v>81</v>
      </c>
      <c r="AL80" t="s" s="0">
        <v>1443</v>
      </c>
      <c r="AM80" t="s" s="0">
        <v>101</v>
      </c>
      <c r="AN80" t="s" s="0">
        <v>101</v>
      </c>
      <c r="AO80" t="s" s="0">
        <v>301</v>
      </c>
      <c r="AP80" t="s" s="0">
        <v>1217</v>
      </c>
      <c r="AQ80" t="s" s="0">
        <v>2154</v>
      </c>
      <c r="AR80" t="s" s="0">
        <v>2155</v>
      </c>
      <c r="AS80" t="s" s="0">
        <v>2156</v>
      </c>
      <c r="AT80" t="s" s="0">
        <v>2157</v>
      </c>
      <c r="AU80" t="s" s="0">
        <v>2158</v>
      </c>
      <c r="AV80" t="s" s="0">
        <v>81</v>
      </c>
      <c r="AW80" t="s" s="0">
        <v>2159</v>
      </c>
      <c r="AX80" t="s" s="0">
        <v>2160</v>
      </c>
      <c r="AY80" t="s" s="0">
        <v>683</v>
      </c>
      <c r="AZ80" t="s" s="0">
        <v>678</v>
      </c>
      <c r="BA80" t="s" s="0">
        <v>102</v>
      </c>
      <c r="BB80" t="s" s="0">
        <v>158</v>
      </c>
      <c r="BC80" t="s" s="0">
        <v>81</v>
      </c>
      <c r="BD80" t="s" s="0">
        <v>81</v>
      </c>
      <c r="BE80" t="s" s="0">
        <v>81</v>
      </c>
      <c r="BF80" t="s" s="0">
        <v>81</v>
      </c>
      <c r="BG80" t="s" s="0">
        <v>81</v>
      </c>
      <c r="BH80" t="s" s="0">
        <v>81</v>
      </c>
      <c r="BI80" t="s" s="0">
        <v>2161</v>
      </c>
      <c r="BJ80" t="s" s="0">
        <v>2162</v>
      </c>
      <c r="BK80" t="s" s="157">
        <f>HYPERLINK("http://dx.doi.org/10.15837/ijccc.2022.5.4696","http://dx.doi.org/10.15837/ijccc.2022.5.4696")</f>
        <v>2163</v>
      </c>
      <c r="BL80" t="s" s="0">
        <v>81</v>
      </c>
      <c r="BM80" t="s" s="0">
        <v>81</v>
      </c>
      <c r="BN80" t="s" s="0">
        <v>461</v>
      </c>
      <c r="BO80" t="s" s="0">
        <v>2164</v>
      </c>
      <c r="BP80" t="s" s="0">
        <v>2165</v>
      </c>
      <c r="BQ80" t="s" s="0">
        <v>2166</v>
      </c>
      <c r="BR80" t="s" s="0">
        <v>81</v>
      </c>
      <c r="BS80" t="s" s="0">
        <v>2167</v>
      </c>
      <c r="BT80" t="s" s="158">
        <f>HYPERLINK("https://www.webofscience.com/wos/woscc/full-record/WOS:000869482700006","View Record in Web of Science")</f>
        <v>123</v>
      </c>
      <c r="BU80" t="s" s="0">
        <v>222</v>
      </c>
      <c r="BV80" t="s" s="0">
        <v>81</v>
      </c>
      <c r="BW80" t="s" s="0">
        <v>81</v>
      </c>
      <c r="BX80" t="s" s="0">
        <v>124</v>
      </c>
    </row>
    <row r="81">
      <c r="A81" t="s" s="0">
        <v>77</v>
      </c>
      <c r="B81" t="s" s="0">
        <v>77</v>
      </c>
      <c r="C81" t="s" s="0">
        <v>77</v>
      </c>
      <c r="D81" t="s" s="0">
        <v>77</v>
      </c>
      <c r="E81" t="s" s="0">
        <v>2168</v>
      </c>
      <c r="F81" t="s" s="0">
        <v>2169</v>
      </c>
      <c r="G81" t="s" s="0">
        <v>2170</v>
      </c>
      <c r="H81" t="s" s="0">
        <v>81</v>
      </c>
      <c r="I81" t="s" s="0">
        <v>195</v>
      </c>
      <c r="J81" t="s" s="0">
        <v>2171</v>
      </c>
      <c r="K81" t="s" s="0">
        <v>2172</v>
      </c>
      <c r="L81" t="s" s="0">
        <v>2173</v>
      </c>
      <c r="M81" t="s" s="0">
        <v>2174</v>
      </c>
      <c r="N81" t="s" s="0">
        <v>2175</v>
      </c>
      <c r="O81" t="s" s="0">
        <v>2176</v>
      </c>
      <c r="P81" t="s" s="0">
        <v>2177</v>
      </c>
      <c r="Q81" t="s" s="0">
        <v>90</v>
      </c>
      <c r="R81" t="s" s="0">
        <v>81</v>
      </c>
      <c r="S81" t="s" s="0">
        <v>81</v>
      </c>
      <c r="T81" t="s" s="0">
        <v>81</v>
      </c>
      <c r="U81" t="s" s="0">
        <v>81</v>
      </c>
      <c r="V81" t="s" s="0">
        <v>2178</v>
      </c>
      <c r="W81" t="s" s="0">
        <v>2179</v>
      </c>
      <c r="X81" t="s" s="0">
        <v>81</v>
      </c>
      <c r="Y81" t="s" s="0">
        <v>81</v>
      </c>
      <c r="Z81" t="s" s="0">
        <v>93</v>
      </c>
      <c r="AA81" t="s" s="0">
        <v>94</v>
      </c>
      <c r="AB81" t="s" s="0">
        <v>81</v>
      </c>
      <c r="AC81" t="s" s="0">
        <v>81</v>
      </c>
      <c r="AD81" t="s" s="0">
        <v>81</v>
      </c>
      <c r="AE81" t="s" s="0">
        <v>81</v>
      </c>
      <c r="AF81" t="s" s="0">
        <v>81</v>
      </c>
      <c r="AG81" t="s" s="0">
        <v>81</v>
      </c>
      <c r="AH81" t="s" s="0">
        <v>2180</v>
      </c>
      <c r="AI81" t="s" s="0">
        <v>81</v>
      </c>
      <c r="AJ81" t="s" s="0">
        <v>81</v>
      </c>
      <c r="AK81" t="s" s="0">
        <v>81</v>
      </c>
      <c r="AL81" t="s" s="0">
        <v>850</v>
      </c>
      <c r="AM81" t="s" s="0">
        <v>77</v>
      </c>
      <c r="AN81" t="s" s="0">
        <v>77</v>
      </c>
      <c r="AO81" t="s" s="0">
        <v>77</v>
      </c>
      <c r="AP81" t="s" s="0">
        <v>77</v>
      </c>
      <c r="AQ81" t="s" s="0">
        <v>2181</v>
      </c>
      <c r="AR81" t="s" s="0">
        <v>2182</v>
      </c>
      <c r="AS81" t="s" s="0">
        <v>2183</v>
      </c>
      <c r="AT81" t="s" s="0">
        <v>2184</v>
      </c>
      <c r="AU81" t="s" s="0">
        <v>81</v>
      </c>
      <c r="AV81" t="s" s="0">
        <v>81</v>
      </c>
      <c r="AW81" t="s" s="0">
        <v>2185</v>
      </c>
      <c r="AX81" t="s" s="0">
        <v>2186</v>
      </c>
      <c r="AY81" t="s" s="0">
        <v>2187</v>
      </c>
      <c r="AZ81" t="s" s="0">
        <v>212</v>
      </c>
      <c r="BA81" t="s" s="0">
        <v>172</v>
      </c>
      <c r="BB81" t="s" s="0">
        <v>333</v>
      </c>
      <c r="BC81" t="s" s="0">
        <v>81</v>
      </c>
      <c r="BD81" t="s" s="0">
        <v>81</v>
      </c>
      <c r="BE81" t="s" s="0">
        <v>81</v>
      </c>
      <c r="BF81" t="s" s="0">
        <v>81</v>
      </c>
      <c r="BG81" t="s" s="0">
        <v>81</v>
      </c>
      <c r="BH81" t="s" s="0">
        <v>81</v>
      </c>
      <c r="BI81" t="s" s="0">
        <v>2188</v>
      </c>
      <c r="BJ81" t="s" s="0">
        <v>2189</v>
      </c>
      <c r="BK81" t="s" s="159">
        <f>HYPERLINK("http://dx.doi.org/10.1200/CCI-25-00141","http://dx.doi.org/10.1200/CCI-25-00141")</f>
        <v>2190</v>
      </c>
      <c r="BL81" t="s" s="0">
        <v>81</v>
      </c>
      <c r="BM81" t="s" s="0">
        <v>81</v>
      </c>
      <c r="BN81" t="s" s="0">
        <v>399</v>
      </c>
      <c r="BO81" t="s" s="0">
        <v>1047</v>
      </c>
      <c r="BP81" t="s" s="0">
        <v>1047</v>
      </c>
      <c r="BQ81" t="s" s="0">
        <v>2191</v>
      </c>
      <c r="BR81" t="s" s="0">
        <v>2192</v>
      </c>
      <c r="BS81" t="s" s="0">
        <v>2193</v>
      </c>
      <c r="BT81" t="s" s="160">
        <f>HYPERLINK("https://www.webofscience.com/wos/woscc/full-record/WOS:001800356100001","View Record in Web of Science")</f>
        <v>123</v>
      </c>
      <c r="BU81" t="s" s="0">
        <v>81</v>
      </c>
      <c r="BV81" t="s" s="0">
        <v>81</v>
      </c>
      <c r="BW81" t="s" s="0">
        <v>81</v>
      </c>
      <c r="BX81" t="s" s="0">
        <v>124</v>
      </c>
    </row>
    <row r="82">
      <c r="A82" t="s" s="0">
        <v>77</v>
      </c>
      <c r="B82" t="s" s="0">
        <v>77</v>
      </c>
      <c r="C82" t="s" s="0">
        <v>77</v>
      </c>
      <c r="D82" t="s" s="0">
        <v>77</v>
      </c>
      <c r="E82" t="s" s="0">
        <v>2194</v>
      </c>
      <c r="F82" t="s" s="0">
        <v>2195</v>
      </c>
      <c r="G82" t="s" s="0">
        <v>2196</v>
      </c>
      <c r="H82" t="s" s="0">
        <v>81</v>
      </c>
      <c r="I82" t="s" s="0">
        <v>195</v>
      </c>
      <c r="J82" t="s" s="0">
        <v>2197</v>
      </c>
      <c r="K82" t="s" s="0">
        <v>2198</v>
      </c>
      <c r="L82" t="s" s="0">
        <v>81</v>
      </c>
      <c r="M82" t="s" s="0">
        <v>81</v>
      </c>
      <c r="N82" t="s" s="0">
        <v>81</v>
      </c>
      <c r="O82" t="s" s="0">
        <v>2199</v>
      </c>
      <c r="P82" t="s" s="0">
        <v>2200</v>
      </c>
      <c r="Q82" t="s" s="0">
        <v>90</v>
      </c>
      <c r="R82" t="s" s="0">
        <v>81</v>
      </c>
      <c r="S82" t="s" s="0">
        <v>81</v>
      </c>
      <c r="T82" t="s" s="0">
        <v>81</v>
      </c>
      <c r="U82" t="s" s="0">
        <v>81</v>
      </c>
      <c r="V82" t="s" s="0">
        <v>2201</v>
      </c>
      <c r="W82" t="s" s="0">
        <v>2202</v>
      </c>
      <c r="X82" t="s" s="0">
        <v>81</v>
      </c>
      <c r="Y82" t="s" s="0">
        <v>81</v>
      </c>
      <c r="Z82" t="s" s="0">
        <v>93</v>
      </c>
      <c r="AA82" t="s" s="0">
        <v>94</v>
      </c>
      <c r="AB82" t="s" s="0">
        <v>81</v>
      </c>
      <c r="AC82" t="s" s="0">
        <v>81</v>
      </c>
      <c r="AD82" t="s" s="0">
        <v>81</v>
      </c>
      <c r="AE82" t="s" s="0">
        <v>81</v>
      </c>
      <c r="AF82" t="s" s="0">
        <v>81</v>
      </c>
      <c r="AG82" t="s" s="0">
        <v>2203</v>
      </c>
      <c r="AH82" t="s" s="0">
        <v>2204</v>
      </c>
      <c r="AI82" t="s" s="0">
        <v>81</v>
      </c>
      <c r="AJ82" t="s" s="0">
        <v>81</v>
      </c>
      <c r="AK82" t="s" s="0">
        <v>81</v>
      </c>
      <c r="AL82" t="s" s="0">
        <v>457</v>
      </c>
      <c r="AM82" t="s" s="0">
        <v>77</v>
      </c>
      <c r="AN82" t="s" s="0">
        <v>77</v>
      </c>
      <c r="AO82" t="s" s="0">
        <v>77</v>
      </c>
      <c r="AP82" t="s" s="0">
        <v>77</v>
      </c>
      <c r="AQ82" t="s" s="0">
        <v>140</v>
      </c>
      <c r="AR82" t="s" s="0">
        <v>141</v>
      </c>
      <c r="AS82" t="s" s="0">
        <v>142</v>
      </c>
      <c r="AT82" t="s" s="0">
        <v>81</v>
      </c>
      <c r="AU82" t="s" s="0">
        <v>2205</v>
      </c>
      <c r="AV82" t="s" s="0">
        <v>81</v>
      </c>
      <c r="AW82" t="s" s="0">
        <v>2206</v>
      </c>
      <c r="AX82" t="s" s="0">
        <v>2207</v>
      </c>
      <c r="AY82" t="s" s="0">
        <v>827</v>
      </c>
      <c r="AZ82" t="s" s="0">
        <v>212</v>
      </c>
      <c r="BA82" t="s" s="0">
        <v>1085</v>
      </c>
      <c r="BB82" t="s" s="0">
        <v>81</v>
      </c>
      <c r="BC82" t="s" s="0">
        <v>81</v>
      </c>
      <c r="BD82" t="s" s="0">
        <v>81</v>
      </c>
      <c r="BE82" t="s" s="0">
        <v>81</v>
      </c>
      <c r="BF82" t="s" s="0">
        <v>81</v>
      </c>
      <c r="BG82" t="s" s="0">
        <v>81</v>
      </c>
      <c r="BH82" t="s" s="0">
        <v>81</v>
      </c>
      <c r="BI82" t="s" s="0">
        <v>2208</v>
      </c>
      <c r="BJ82" t="s" s="0">
        <v>2209</v>
      </c>
      <c r="BK82" t="s" s="161">
        <f>HYPERLINK("http://dx.doi.org/10.1016/j.wnsx.2026.100616","http://dx.doi.org/10.1016/j.wnsx.2026.100616")</f>
        <v>2210</v>
      </c>
      <c r="BL82" t="s" s="0">
        <v>81</v>
      </c>
      <c r="BM82" t="s" s="0">
        <v>827</v>
      </c>
      <c r="BN82" t="s" s="0">
        <v>138</v>
      </c>
      <c r="BO82" t="s" s="0">
        <v>2211</v>
      </c>
      <c r="BP82" t="s" s="0">
        <v>2212</v>
      </c>
      <c r="BQ82" t="s" s="0">
        <v>2213</v>
      </c>
      <c r="BR82" t="s" s="0">
        <v>81</v>
      </c>
      <c r="BS82" t="s" s="0">
        <v>2214</v>
      </c>
      <c r="BT82" t="s" s="162">
        <f>HYPERLINK("https://www.webofscience.com/wos/woscc/full-record/WOS:001815604400001","View Record in Web of Science")</f>
        <v>123</v>
      </c>
      <c r="BU82" t="s" s="0">
        <v>222</v>
      </c>
      <c r="BV82" t="s" s="0">
        <v>81</v>
      </c>
      <c r="BW82" t="s" s="0">
        <v>81</v>
      </c>
      <c r="BX82" t="s" s="0">
        <v>124</v>
      </c>
    </row>
    <row r="83">
      <c r="A83" t="s" s="0">
        <v>101</v>
      </c>
      <c r="B83" t="s" s="0">
        <v>77</v>
      </c>
      <c r="C83" t="s" s="0">
        <v>172</v>
      </c>
      <c r="D83" t="s" s="0">
        <v>77</v>
      </c>
      <c r="E83" t="s" s="0">
        <v>2215</v>
      </c>
      <c r="F83" t="s" s="0">
        <v>2216</v>
      </c>
      <c r="G83" t="s" s="0">
        <v>2217</v>
      </c>
      <c r="H83" t="s" s="0">
        <v>81</v>
      </c>
      <c r="I83" t="s" s="0">
        <v>82</v>
      </c>
      <c r="J83" t="s" s="0">
        <v>2218</v>
      </c>
      <c r="K83" t="s" s="0">
        <v>2219</v>
      </c>
      <c r="L83" t="s" s="0">
        <v>2220</v>
      </c>
      <c r="M83" t="s" s="0">
        <v>199</v>
      </c>
      <c r="N83" t="s" s="0">
        <v>2221</v>
      </c>
      <c r="O83" t="s" s="0">
        <v>2222</v>
      </c>
      <c r="P83" t="s" s="0">
        <v>2223</v>
      </c>
      <c r="Q83" t="s" s="0">
        <v>90</v>
      </c>
      <c r="R83" t="s" s="0">
        <v>81</v>
      </c>
      <c r="S83" t="s" s="0">
        <v>81</v>
      </c>
      <c r="T83" t="s" s="0">
        <v>81</v>
      </c>
      <c r="U83" t="s" s="0">
        <v>81</v>
      </c>
      <c r="V83" t="s" s="0">
        <v>2224</v>
      </c>
      <c r="W83" t="s" s="0">
        <v>585</v>
      </c>
      <c r="X83" t="s" s="0">
        <v>81</v>
      </c>
      <c r="Y83" t="s" s="0">
        <v>81</v>
      </c>
      <c r="Z83" t="s" s="0">
        <v>93</v>
      </c>
      <c r="AA83" t="s" s="0">
        <v>94</v>
      </c>
      <c r="AB83" t="s" s="0">
        <v>81</v>
      </c>
      <c r="AC83" t="s" s="0">
        <v>81</v>
      </c>
      <c r="AD83" t="s" s="0">
        <v>81</v>
      </c>
      <c r="AE83" t="s" s="0">
        <v>81</v>
      </c>
      <c r="AF83" t="s" s="0">
        <v>81</v>
      </c>
      <c r="AG83" t="s" s="0">
        <v>2225</v>
      </c>
      <c r="AH83" t="s" s="0">
        <v>2226</v>
      </c>
      <c r="AI83" t="s" s="0">
        <v>2227</v>
      </c>
      <c r="AJ83" t="s" s="0">
        <v>2228</v>
      </c>
      <c r="AK83" t="s" s="0">
        <v>81</v>
      </c>
      <c r="AL83" t="s" s="0">
        <v>448</v>
      </c>
      <c r="AM83" t="s" s="0">
        <v>275</v>
      </c>
      <c r="AN83" t="s" s="0">
        <v>275</v>
      </c>
      <c r="AO83" t="s" s="0">
        <v>137</v>
      </c>
      <c r="AP83" t="s" s="0">
        <v>1652</v>
      </c>
      <c r="AQ83" t="s" s="0">
        <v>588</v>
      </c>
      <c r="AR83" t="s" s="0">
        <v>589</v>
      </c>
      <c r="AS83" t="s" s="0">
        <v>590</v>
      </c>
      <c r="AT83" t="s" s="0">
        <v>591</v>
      </c>
      <c r="AU83" t="s" s="0">
        <v>592</v>
      </c>
      <c r="AV83" t="s" s="0">
        <v>81</v>
      </c>
      <c r="AW83" t="s" s="0">
        <v>593</v>
      </c>
      <c r="AX83" t="s" s="0">
        <v>594</v>
      </c>
      <c r="AY83" t="s" s="0">
        <v>2229</v>
      </c>
      <c r="AZ83" t="s" s="0">
        <v>678</v>
      </c>
      <c r="BA83" t="s" s="0">
        <v>1443</v>
      </c>
      <c r="BB83" t="s" s="0">
        <v>138</v>
      </c>
      <c r="BC83" t="s" s="0">
        <v>81</v>
      </c>
      <c r="BD83" t="s" s="0">
        <v>81</v>
      </c>
      <c r="BE83" t="s" s="0">
        <v>81</v>
      </c>
      <c r="BF83" t="s" s="0">
        <v>81</v>
      </c>
      <c r="BG83" t="s" s="0">
        <v>2230</v>
      </c>
      <c r="BH83" t="s" s="0">
        <v>2231</v>
      </c>
      <c r="BI83" t="s" s="0">
        <v>81</v>
      </c>
      <c r="BJ83" t="s" s="0">
        <v>2232</v>
      </c>
      <c r="BK83" t="s" s="163">
        <f>HYPERLINK("http://dx.doi.org/10.1109/JBHI.2022.3161466","http://dx.doi.org/10.1109/JBHI.2022.3161466")</f>
        <v>2233</v>
      </c>
      <c r="BL83" t="s" s="0">
        <v>81</v>
      </c>
      <c r="BM83" t="s" s="0">
        <v>81</v>
      </c>
      <c r="BN83" t="s" s="0">
        <v>399</v>
      </c>
      <c r="BO83" t="s" s="0">
        <v>600</v>
      </c>
      <c r="BP83" t="s" s="0">
        <v>601</v>
      </c>
      <c r="BQ83" t="s" s="0">
        <v>2234</v>
      </c>
      <c r="BR83" t="s" s="0">
        <v>2235</v>
      </c>
      <c r="BS83" t="s" s="0">
        <v>2236</v>
      </c>
      <c r="BT83" t="s" s="164">
        <f>HYPERLINK("https://www.webofscience.com/wos/woscc/full-record/WOS:000841851000051","View Record in Web of Science")</f>
        <v>123</v>
      </c>
      <c r="BU83" t="s" s="0">
        <v>81</v>
      </c>
      <c r="BV83" t="s" s="0">
        <v>81</v>
      </c>
      <c r="BW83" t="s" s="0">
        <v>81</v>
      </c>
      <c r="BX83" t="s" s="0">
        <v>124</v>
      </c>
    </row>
    <row r="84">
      <c r="A84" t="s" s="0">
        <v>77</v>
      </c>
      <c r="B84" t="s" s="0">
        <v>77</v>
      </c>
      <c r="C84" t="s" s="0">
        <v>77</v>
      </c>
      <c r="D84" t="s" s="0">
        <v>77</v>
      </c>
      <c r="E84" t="s" s="0">
        <v>2237</v>
      </c>
      <c r="F84" t="s" s="0">
        <v>2238</v>
      </c>
      <c r="G84" t="s" s="0">
        <v>2239</v>
      </c>
      <c r="H84" t="s" s="0">
        <v>81</v>
      </c>
      <c r="I84" t="s" s="0">
        <v>195</v>
      </c>
      <c r="J84" t="s" s="0">
        <v>2240</v>
      </c>
      <c r="K84" t="s" s="0">
        <v>2241</v>
      </c>
      <c r="L84" t="s" s="0">
        <v>81</v>
      </c>
      <c r="M84" t="s" s="0">
        <v>81</v>
      </c>
      <c r="N84" t="s" s="0">
        <v>81</v>
      </c>
      <c r="O84" t="s" s="0">
        <v>2242</v>
      </c>
      <c r="P84" t="s" s="0">
        <v>2243</v>
      </c>
      <c r="Q84" t="s" s="0">
        <v>90</v>
      </c>
      <c r="R84" t="s" s="0">
        <v>81</v>
      </c>
      <c r="S84" t="s" s="0">
        <v>81</v>
      </c>
      <c r="T84" t="s" s="0">
        <v>81</v>
      </c>
      <c r="U84" t="s" s="0">
        <v>81</v>
      </c>
      <c r="V84" t="s" s="0">
        <v>2244</v>
      </c>
      <c r="W84" t="s" s="0">
        <v>2245</v>
      </c>
      <c r="X84" t="s" s="0">
        <v>81</v>
      </c>
      <c r="Y84" t="s" s="0">
        <v>81</v>
      </c>
      <c r="Z84" t="s" s="0">
        <v>93</v>
      </c>
      <c r="AA84" t="s" s="0">
        <v>94</v>
      </c>
      <c r="AB84" t="s" s="0">
        <v>81</v>
      </c>
      <c r="AC84" t="s" s="0">
        <v>81</v>
      </c>
      <c r="AD84" t="s" s="0">
        <v>81</v>
      </c>
      <c r="AE84" t="s" s="0">
        <v>81</v>
      </c>
      <c r="AF84" t="s" s="0">
        <v>81</v>
      </c>
      <c r="AG84" t="s" s="0">
        <v>2246</v>
      </c>
      <c r="AH84" t="s" s="0">
        <v>81</v>
      </c>
      <c r="AI84" t="s" s="0">
        <v>2247</v>
      </c>
      <c r="AJ84" t="s" s="0">
        <v>81</v>
      </c>
      <c r="AK84" t="s" s="0">
        <v>81</v>
      </c>
      <c r="AL84" t="s" s="0">
        <v>1400</v>
      </c>
      <c r="AM84" t="s" s="0">
        <v>77</v>
      </c>
      <c r="AN84" t="s" s="0">
        <v>77</v>
      </c>
      <c r="AO84" t="s" s="0">
        <v>77</v>
      </c>
      <c r="AP84" t="s" s="0">
        <v>77</v>
      </c>
      <c r="AQ84" t="s" s="0">
        <v>174</v>
      </c>
      <c r="AR84" t="s" s="0">
        <v>175</v>
      </c>
      <c r="AS84" t="s" s="0">
        <v>208</v>
      </c>
      <c r="AT84" t="s" s="0">
        <v>81</v>
      </c>
      <c r="AU84" t="s" s="0">
        <v>2248</v>
      </c>
      <c r="AV84" t="s" s="0">
        <v>81</v>
      </c>
      <c r="AW84" t="s" s="0">
        <v>2249</v>
      </c>
      <c r="AX84" t="s" s="0">
        <v>2245</v>
      </c>
      <c r="AY84" t="s" s="0">
        <v>2250</v>
      </c>
      <c r="AZ84" t="s" s="0">
        <v>212</v>
      </c>
      <c r="BA84" t="s" s="0">
        <v>183</v>
      </c>
      <c r="BB84" t="s" s="0">
        <v>301</v>
      </c>
      <c r="BC84" t="s" s="0">
        <v>81</v>
      </c>
      <c r="BD84" t="s" s="0">
        <v>81</v>
      </c>
      <c r="BE84" t="s" s="0">
        <v>81</v>
      </c>
      <c r="BF84" t="s" s="0">
        <v>81</v>
      </c>
      <c r="BG84" t="s" s="0">
        <v>81</v>
      </c>
      <c r="BH84" t="s" s="0">
        <v>81</v>
      </c>
      <c r="BI84" t="s" s="0">
        <v>2251</v>
      </c>
      <c r="BJ84" t="s" s="0">
        <v>2252</v>
      </c>
      <c r="BK84" t="s" s="165">
        <f>HYPERLINK("http://dx.doi.org/10.3390/ai7040126","http://dx.doi.org/10.3390/ai7040126")</f>
        <v>2253</v>
      </c>
      <c r="BL84" t="s" s="0">
        <v>81</v>
      </c>
      <c r="BM84" t="s" s="0">
        <v>279</v>
      </c>
      <c r="BN84" t="s" s="0">
        <v>173</v>
      </c>
      <c r="BO84" t="s" s="0">
        <v>2254</v>
      </c>
      <c r="BP84" t="s" s="0">
        <v>250</v>
      </c>
      <c r="BQ84" t="s" s="0">
        <v>2255</v>
      </c>
      <c r="BR84" t="s" s="0">
        <v>81</v>
      </c>
      <c r="BS84" t="s" s="0">
        <v>2256</v>
      </c>
      <c r="BT84" t="s" s="166">
        <f>HYPERLINK("https://www.webofscience.com/wos/woscc/full-record/WOS:001749221900001","View Record in Web of Science")</f>
        <v>123</v>
      </c>
      <c r="BU84" t="s" s="0">
        <v>191</v>
      </c>
      <c r="BV84" t="s" s="0">
        <v>81</v>
      </c>
      <c r="BW84" t="s" s="0">
        <v>81</v>
      </c>
      <c r="BX84" t="s" s="0">
        <v>124</v>
      </c>
    </row>
    <row r="85">
      <c r="A85" t="s" s="0">
        <v>77</v>
      </c>
      <c r="B85" t="s" s="0">
        <v>77</v>
      </c>
      <c r="C85" t="s" s="0">
        <v>461</v>
      </c>
      <c r="D85" t="s" s="0">
        <v>77</v>
      </c>
      <c r="E85" t="s" s="0">
        <v>2257</v>
      </c>
      <c r="F85" t="s" s="0">
        <v>2258</v>
      </c>
      <c r="G85" t="s" s="0">
        <v>2259</v>
      </c>
      <c r="H85" t="s" s="0">
        <v>81</v>
      </c>
      <c r="I85" t="s" s="0">
        <v>82</v>
      </c>
      <c r="J85" t="s" s="0">
        <v>2260</v>
      </c>
      <c r="K85" t="s" s="0">
        <v>2261</v>
      </c>
      <c r="L85" t="s" s="0">
        <v>2262</v>
      </c>
      <c r="M85" t="s" s="0">
        <v>2263</v>
      </c>
      <c r="N85" t="s" s="0">
        <v>2264</v>
      </c>
      <c r="O85" t="s" s="0">
        <v>2265</v>
      </c>
      <c r="P85" t="s" s="0">
        <v>2266</v>
      </c>
      <c r="Q85" t="s" s="0">
        <v>90</v>
      </c>
      <c r="R85" t="s" s="0">
        <v>81</v>
      </c>
      <c r="S85" t="s" s="0">
        <v>81</v>
      </c>
      <c r="T85" t="s" s="0">
        <v>81</v>
      </c>
      <c r="U85" t="s" s="0">
        <v>81</v>
      </c>
      <c r="V85" t="s" s="0">
        <v>2267</v>
      </c>
      <c r="W85" t="s" s="0">
        <v>296</v>
      </c>
      <c r="X85" t="s" s="0">
        <v>81</v>
      </c>
      <c r="Y85" t="s" s="0">
        <v>81</v>
      </c>
      <c r="Z85" t="s" s="0">
        <v>93</v>
      </c>
      <c r="AA85" t="s" s="0">
        <v>94</v>
      </c>
      <c r="AB85" t="s" s="0">
        <v>81</v>
      </c>
      <c r="AC85" t="s" s="0">
        <v>81</v>
      </c>
      <c r="AD85" t="s" s="0">
        <v>81</v>
      </c>
      <c r="AE85" t="s" s="0">
        <v>81</v>
      </c>
      <c r="AF85" t="s" s="0">
        <v>81</v>
      </c>
      <c r="AG85" t="s" s="0">
        <v>81</v>
      </c>
      <c r="AH85" t="s" s="0">
        <v>81</v>
      </c>
      <c r="AI85" t="s" s="0">
        <v>2268</v>
      </c>
      <c r="AJ85" t="s" s="0">
        <v>2269</v>
      </c>
      <c r="AK85" t="s" s="0">
        <v>81</v>
      </c>
      <c r="AL85" t="s" s="0">
        <v>2270</v>
      </c>
      <c r="AM85" t="s" s="0">
        <v>850</v>
      </c>
      <c r="AN85" t="s" s="0">
        <v>300</v>
      </c>
      <c r="AO85" t="s" s="0">
        <v>77</v>
      </c>
      <c r="AP85" t="s" s="0">
        <v>405</v>
      </c>
      <c r="AQ85" t="s" s="0">
        <v>302</v>
      </c>
      <c r="AR85" t="s" s="0">
        <v>303</v>
      </c>
      <c r="AS85" t="s" s="0">
        <v>304</v>
      </c>
      <c r="AT85" t="s" s="0">
        <v>305</v>
      </c>
      <c r="AU85" t="s" s="0">
        <v>81</v>
      </c>
      <c r="AV85" t="s" s="0">
        <v>81</v>
      </c>
      <c r="AW85" t="s" s="0">
        <v>306</v>
      </c>
      <c r="AX85" t="s" s="0">
        <v>307</v>
      </c>
      <c r="AY85" t="s" s="0">
        <v>2271</v>
      </c>
      <c r="AZ85" t="s" s="0">
        <v>181</v>
      </c>
      <c r="BA85" t="s" s="0">
        <v>117</v>
      </c>
      <c r="BB85" t="s" s="0">
        <v>137</v>
      </c>
      <c r="BC85" t="s" s="0">
        <v>81</v>
      </c>
      <c r="BD85" t="s" s="0">
        <v>81</v>
      </c>
      <c r="BE85" t="s" s="0">
        <v>81</v>
      </c>
      <c r="BF85" t="s" s="0">
        <v>81</v>
      </c>
      <c r="BG85" t="s" s="0">
        <v>81</v>
      </c>
      <c r="BH85" t="s" s="0">
        <v>81</v>
      </c>
      <c r="BI85" t="s" s="0">
        <v>2272</v>
      </c>
      <c r="BJ85" t="s" s="0">
        <v>2273</v>
      </c>
      <c r="BK85" t="s" s="167">
        <f>HYPERLINK("http://dx.doi.org/10.1038/s41598-023-34303-8","http://dx.doi.org/10.1038/s41598-023-34303-8")</f>
        <v>2274</v>
      </c>
      <c r="BL85" t="s" s="0">
        <v>81</v>
      </c>
      <c r="BM85" t="s" s="0">
        <v>81</v>
      </c>
      <c r="BN85" t="s" s="0">
        <v>405</v>
      </c>
      <c r="BO85" t="s" s="0">
        <v>313</v>
      </c>
      <c r="BP85" t="s" s="0">
        <v>314</v>
      </c>
      <c r="BQ85" t="s" s="0">
        <v>2275</v>
      </c>
      <c r="BR85" t="s" s="0">
        <v>2276</v>
      </c>
      <c r="BS85" t="s" s="0">
        <v>2277</v>
      </c>
      <c r="BT85" t="s" s="168">
        <f>HYPERLINK("https://www.webofscience.com/wos/woscc/full-record/WOS:001037834400051","View Record in Web of Science")</f>
        <v>123</v>
      </c>
      <c r="BU85" t="s" s="0">
        <v>191</v>
      </c>
      <c r="BV85" t="s" s="0">
        <v>81</v>
      </c>
      <c r="BW85" t="s" s="0">
        <v>81</v>
      </c>
      <c r="BX85" t="s" s="0">
        <v>124</v>
      </c>
    </row>
    <row r="86">
      <c r="A86" t="s" s="0">
        <v>77</v>
      </c>
      <c r="B86" t="s" s="0">
        <v>77</v>
      </c>
      <c r="C86" t="s" s="0">
        <v>77</v>
      </c>
      <c r="D86" t="s" s="0">
        <v>77</v>
      </c>
      <c r="E86" t="s" s="0">
        <v>2278</v>
      </c>
      <c r="F86" t="s" s="0">
        <v>2279</v>
      </c>
      <c r="G86" t="s" s="0">
        <v>2280</v>
      </c>
      <c r="H86" t="s" s="0">
        <v>81</v>
      </c>
      <c r="I86" t="s" s="0">
        <v>82</v>
      </c>
      <c r="J86" t="s" s="0">
        <v>2281</v>
      </c>
      <c r="K86" t="s" s="0">
        <v>2282</v>
      </c>
      <c r="L86" t="s" s="0">
        <v>2283</v>
      </c>
      <c r="M86" t="s" s="0">
        <v>2284</v>
      </c>
      <c r="N86" t="s" s="0">
        <v>2285</v>
      </c>
      <c r="O86" t="s" s="0">
        <v>2286</v>
      </c>
      <c r="P86" t="s" s="0">
        <v>2287</v>
      </c>
      <c r="Q86" t="s" s="0">
        <v>90</v>
      </c>
      <c r="R86" t="s" s="0">
        <v>81</v>
      </c>
      <c r="S86" t="s" s="0">
        <v>81</v>
      </c>
      <c r="T86" t="s" s="0">
        <v>81</v>
      </c>
      <c r="U86" t="s" s="0">
        <v>81</v>
      </c>
      <c r="V86" t="s" s="0">
        <v>2288</v>
      </c>
      <c r="W86" t="s" s="0">
        <v>234</v>
      </c>
      <c r="X86" t="s" s="0">
        <v>81</v>
      </c>
      <c r="Y86" t="s" s="0">
        <v>81</v>
      </c>
      <c r="Z86" t="s" s="0">
        <v>93</v>
      </c>
      <c r="AA86" t="s" s="0">
        <v>94</v>
      </c>
      <c r="AB86" t="s" s="0">
        <v>81</v>
      </c>
      <c r="AC86" t="s" s="0">
        <v>81</v>
      </c>
      <c r="AD86" t="s" s="0">
        <v>81</v>
      </c>
      <c r="AE86" t="s" s="0">
        <v>81</v>
      </c>
      <c r="AF86" t="s" s="0">
        <v>81</v>
      </c>
      <c r="AG86" t="s" s="0">
        <v>2289</v>
      </c>
      <c r="AH86" t="s" s="0">
        <v>2290</v>
      </c>
      <c r="AI86" t="s" s="0">
        <v>2291</v>
      </c>
      <c r="AJ86" t="s" s="0">
        <v>2292</v>
      </c>
      <c r="AK86" t="s" s="0">
        <v>81</v>
      </c>
      <c r="AL86" t="s" s="0">
        <v>300</v>
      </c>
      <c r="AM86" t="s" s="0">
        <v>301</v>
      </c>
      <c r="AN86" t="s" s="0">
        <v>301</v>
      </c>
      <c r="AO86" t="s" s="0">
        <v>138</v>
      </c>
      <c r="AP86" t="s" s="0">
        <v>405</v>
      </c>
      <c r="AQ86" t="s" s="0">
        <v>140</v>
      </c>
      <c r="AR86" t="s" s="0">
        <v>141</v>
      </c>
      <c r="AS86" t="s" s="0">
        <v>142</v>
      </c>
      <c r="AT86" t="s" s="0">
        <v>240</v>
      </c>
      <c r="AU86" t="s" s="0">
        <v>241</v>
      </c>
      <c r="AV86" t="s" s="0">
        <v>81</v>
      </c>
      <c r="AW86" t="s" s="0">
        <v>242</v>
      </c>
      <c r="AX86" t="s" s="0">
        <v>243</v>
      </c>
      <c r="AY86" t="s" s="0">
        <v>343</v>
      </c>
      <c r="AZ86" t="s" s="0">
        <v>212</v>
      </c>
      <c r="BA86" t="s" s="0">
        <v>2293</v>
      </c>
      <c r="BB86" t="s" s="0">
        <v>81</v>
      </c>
      <c r="BC86" t="s" s="0">
        <v>81</v>
      </c>
      <c r="BD86" t="s" s="0">
        <v>628</v>
      </c>
      <c r="BE86" t="s" s="0">
        <v>81</v>
      </c>
      <c r="BF86" t="s" s="0">
        <v>81</v>
      </c>
      <c r="BG86" t="s" s="0">
        <v>81</v>
      </c>
      <c r="BH86" t="s" s="0">
        <v>81</v>
      </c>
      <c r="BI86" t="s" s="0">
        <v>2294</v>
      </c>
      <c r="BJ86" t="s" s="0">
        <v>2295</v>
      </c>
      <c r="BK86" t="s" s="169">
        <f>HYPERLINK("http://dx.doi.org/10.1016/j.inffus.2025.103659","http://dx.doi.org/10.1016/j.inffus.2025.103659")</f>
        <v>2296</v>
      </c>
      <c r="BL86" t="s" s="0">
        <v>81</v>
      </c>
      <c r="BM86" t="s" s="0">
        <v>110</v>
      </c>
      <c r="BN86" t="s" s="0">
        <v>117</v>
      </c>
      <c r="BO86" t="s" s="0">
        <v>249</v>
      </c>
      <c r="BP86" t="s" s="0">
        <v>250</v>
      </c>
      <c r="BQ86" t="s" s="0">
        <v>2297</v>
      </c>
      <c r="BR86" t="s" s="0">
        <v>81</v>
      </c>
      <c r="BS86" t="s" s="0">
        <v>2298</v>
      </c>
      <c r="BT86" t="s" s="170">
        <f>HYPERLINK("https://www.webofscience.com/wos/woscc/full-record/WOS:001585511300001","View Record in Web of Science")</f>
        <v>123</v>
      </c>
      <c r="BU86" t="s" s="0">
        <v>81</v>
      </c>
      <c r="BV86" t="s" s="0">
        <v>81</v>
      </c>
      <c r="BW86" t="s" s="0">
        <v>81</v>
      </c>
      <c r="BX86" t="s" s="0">
        <v>124</v>
      </c>
    </row>
    <row r="87">
      <c r="A87" t="s" s="0">
        <v>77</v>
      </c>
      <c r="B87" t="s" s="0">
        <v>77</v>
      </c>
      <c r="C87" t="s" s="0">
        <v>77</v>
      </c>
      <c r="D87" t="s" s="0">
        <v>77</v>
      </c>
      <c r="E87" t="s" s="0">
        <v>2299</v>
      </c>
      <c r="F87" t="s" s="0">
        <v>2300</v>
      </c>
      <c r="G87" t="s" s="0">
        <v>2301</v>
      </c>
      <c r="H87" t="s" s="0">
        <v>81</v>
      </c>
      <c r="I87" t="s" s="0">
        <v>82</v>
      </c>
      <c r="J87" t="s" s="0">
        <v>2302</v>
      </c>
      <c r="K87" t="s" s="0">
        <v>2303</v>
      </c>
      <c r="L87" t="s" s="0">
        <v>2304</v>
      </c>
      <c r="M87" t="s" s="0">
        <v>2304</v>
      </c>
      <c r="N87" t="s" s="0">
        <v>2305</v>
      </c>
      <c r="O87" t="s" s="0">
        <v>2306</v>
      </c>
      <c r="P87" t="s" s="0">
        <v>2307</v>
      </c>
      <c r="Q87" t="s" s="0">
        <v>90</v>
      </c>
      <c r="R87" t="s" s="0">
        <v>81</v>
      </c>
      <c r="S87" t="s" s="0">
        <v>81</v>
      </c>
      <c r="T87" t="s" s="0">
        <v>81</v>
      </c>
      <c r="U87" t="s" s="0">
        <v>81</v>
      </c>
      <c r="V87" t="s" s="0">
        <v>2308</v>
      </c>
      <c r="W87" t="s" s="0">
        <v>2309</v>
      </c>
      <c r="X87" t="s" s="0">
        <v>81</v>
      </c>
      <c r="Y87" t="s" s="0">
        <v>81</v>
      </c>
      <c r="Z87" t="s" s="0">
        <v>93</v>
      </c>
      <c r="AA87" t="s" s="0">
        <v>94</v>
      </c>
      <c r="AB87" t="s" s="0">
        <v>81</v>
      </c>
      <c r="AC87" t="s" s="0">
        <v>81</v>
      </c>
      <c r="AD87" t="s" s="0">
        <v>81</v>
      </c>
      <c r="AE87" t="s" s="0">
        <v>81</v>
      </c>
      <c r="AF87" t="s" s="0">
        <v>81</v>
      </c>
      <c r="AG87" t="s" s="0">
        <v>2310</v>
      </c>
      <c r="AH87" t="s" s="0">
        <v>2311</v>
      </c>
      <c r="AI87" t="s" s="0">
        <v>81</v>
      </c>
      <c r="AJ87" t="s" s="0">
        <v>81</v>
      </c>
      <c r="AK87" t="s" s="0">
        <v>81</v>
      </c>
      <c r="AL87" t="s" s="0">
        <v>850</v>
      </c>
      <c r="AM87" t="s" s="0">
        <v>77</v>
      </c>
      <c r="AN87" t="s" s="0">
        <v>77</v>
      </c>
      <c r="AO87" t="s" s="0">
        <v>77</v>
      </c>
      <c r="AP87" t="s" s="0">
        <v>77</v>
      </c>
      <c r="AQ87" t="s" s="0">
        <v>421</v>
      </c>
      <c r="AR87" t="s" s="0">
        <v>422</v>
      </c>
      <c r="AS87" t="s" s="0">
        <v>423</v>
      </c>
      <c r="AT87" t="s" s="0">
        <v>2312</v>
      </c>
      <c r="AU87" t="s" s="0">
        <v>81</v>
      </c>
      <c r="AV87" t="s" s="0">
        <v>81</v>
      </c>
      <c r="AW87" t="s" s="0">
        <v>2313</v>
      </c>
      <c r="AX87" t="s" s="0">
        <v>2314</v>
      </c>
      <c r="AY87" t="s" s="0">
        <v>2315</v>
      </c>
      <c r="AZ87" t="s" s="0">
        <v>212</v>
      </c>
      <c r="BA87" t="s" s="0">
        <v>102</v>
      </c>
      <c r="BB87" t="s" s="0">
        <v>81</v>
      </c>
      <c r="BC87" t="s" s="0">
        <v>81</v>
      </c>
      <c r="BD87" t="s" s="0">
        <v>81</v>
      </c>
      <c r="BE87" t="s" s="0">
        <v>81</v>
      </c>
      <c r="BF87" t="s" s="0">
        <v>81</v>
      </c>
      <c r="BG87" t="s" s="0">
        <v>81</v>
      </c>
      <c r="BH87" t="s" s="0">
        <v>81</v>
      </c>
      <c r="BI87" t="s" s="0">
        <v>2316</v>
      </c>
      <c r="BJ87" t="s" s="0">
        <v>2317</v>
      </c>
      <c r="BK87" t="s" s="171">
        <f>HYPERLINK("http://dx.doi.org/10.3389/fneur.2026.1791696","http://dx.doi.org/10.3389/fneur.2026.1791696")</f>
        <v>2318</v>
      </c>
      <c r="BL87" t="s" s="0">
        <v>81</v>
      </c>
      <c r="BM87" t="s" s="0">
        <v>279</v>
      </c>
      <c r="BN87" t="s" s="0">
        <v>152</v>
      </c>
      <c r="BO87" t="s" s="0">
        <v>1339</v>
      </c>
      <c r="BP87" t="s" s="0">
        <v>370</v>
      </c>
      <c r="BQ87" t="s" s="0">
        <v>2319</v>
      </c>
      <c r="BR87" t="s" s="0">
        <v>2320</v>
      </c>
      <c r="BS87" t="s" s="0">
        <v>2321</v>
      </c>
      <c r="BT87" t="s" s="172">
        <f>HYPERLINK("https://www.webofscience.com/wos/woscc/full-record/WOS:001755531300001","View Record in Web of Science")</f>
        <v>123</v>
      </c>
      <c r="BU87" t="s" s="0">
        <v>191</v>
      </c>
      <c r="BV87" t="s" s="0">
        <v>81</v>
      </c>
      <c r="BW87" t="s" s="0">
        <v>81</v>
      </c>
      <c r="BX87" t="s" s="0">
        <v>124</v>
      </c>
    </row>
    <row r="88">
      <c r="A88" t="s" s="0">
        <v>137</v>
      </c>
      <c r="B88" t="s" s="0">
        <v>77</v>
      </c>
      <c r="C88" t="s" s="0">
        <v>101</v>
      </c>
      <c r="D88" t="s" s="0">
        <v>77</v>
      </c>
      <c r="E88" t="s" s="0">
        <v>2322</v>
      </c>
      <c r="F88" t="s" s="0">
        <v>2323</v>
      </c>
      <c r="G88" t="s" s="0">
        <v>2324</v>
      </c>
      <c r="H88" t="s" s="0">
        <v>81</v>
      </c>
      <c r="I88" t="s" s="0">
        <v>82</v>
      </c>
      <c r="J88" t="s" s="0">
        <v>2325</v>
      </c>
      <c r="K88" t="s" s="0">
        <v>2326</v>
      </c>
      <c r="L88" t="s" s="0">
        <v>2327</v>
      </c>
      <c r="M88" t="s" s="0">
        <v>2328</v>
      </c>
      <c r="N88" t="s" s="0">
        <v>2329</v>
      </c>
      <c r="O88" t="s" s="0">
        <v>2330</v>
      </c>
      <c r="P88" t="s" s="0">
        <v>2331</v>
      </c>
      <c r="Q88" t="s" s="0">
        <v>90</v>
      </c>
      <c r="R88" t="s" s="0">
        <v>81</v>
      </c>
      <c r="S88" t="s" s="0">
        <v>2332</v>
      </c>
      <c r="T88" t="s" s="0">
        <v>81</v>
      </c>
      <c r="U88" t="s" s="0">
        <v>81</v>
      </c>
      <c r="V88" t="s" s="0">
        <v>2333</v>
      </c>
      <c r="W88" t="s" s="0">
        <v>844</v>
      </c>
      <c r="X88" t="s" s="0">
        <v>81</v>
      </c>
      <c r="Y88" t="s" s="0">
        <v>81</v>
      </c>
      <c r="Z88" t="s" s="0">
        <v>93</v>
      </c>
      <c r="AA88" t="s" s="0">
        <v>94</v>
      </c>
      <c r="AB88" t="s" s="0">
        <v>81</v>
      </c>
      <c r="AC88" t="s" s="0">
        <v>81</v>
      </c>
      <c r="AD88" t="s" s="0">
        <v>81</v>
      </c>
      <c r="AE88" t="s" s="0">
        <v>81</v>
      </c>
      <c r="AF88" t="s" s="0">
        <v>81</v>
      </c>
      <c r="AG88" t="s" s="0">
        <v>2334</v>
      </c>
      <c r="AH88" t="s" s="0">
        <v>2335</v>
      </c>
      <c r="AI88" t="s" s="0">
        <v>2336</v>
      </c>
      <c r="AJ88" t="s" s="0">
        <v>2337</v>
      </c>
      <c r="AK88" t="s" s="0">
        <v>81</v>
      </c>
      <c r="AL88" t="s" s="0">
        <v>915</v>
      </c>
      <c r="AM88" t="s" s="0">
        <v>158</v>
      </c>
      <c r="AN88" t="s" s="0">
        <v>333</v>
      </c>
      <c r="AO88" t="s" s="0">
        <v>100</v>
      </c>
      <c r="AP88" t="s" s="0">
        <v>333</v>
      </c>
      <c r="AQ88" t="s" s="0">
        <v>852</v>
      </c>
      <c r="AR88" t="s" s="0">
        <v>853</v>
      </c>
      <c r="AS88" t="s" s="0">
        <v>854</v>
      </c>
      <c r="AT88" t="s" s="0">
        <v>855</v>
      </c>
      <c r="AU88" t="s" s="0">
        <v>856</v>
      </c>
      <c r="AV88" t="s" s="0">
        <v>81</v>
      </c>
      <c r="AW88" t="s" s="0">
        <v>857</v>
      </c>
      <c r="AX88" t="s" s="0">
        <v>858</v>
      </c>
      <c r="AY88" t="s" s="0">
        <v>741</v>
      </c>
      <c r="AZ88" t="s" s="0">
        <v>111</v>
      </c>
      <c r="BA88" t="s" s="0">
        <v>2338</v>
      </c>
      <c r="BB88" t="s" s="0">
        <v>81</v>
      </c>
      <c r="BC88" t="s" s="0">
        <v>81</v>
      </c>
      <c r="BD88" t="s" s="0">
        <v>81</v>
      </c>
      <c r="BE88" t="s" s="0">
        <v>81</v>
      </c>
      <c r="BF88" t="s" s="0">
        <v>81</v>
      </c>
      <c r="BG88" t="s" s="0">
        <v>81</v>
      </c>
      <c r="BH88" t="s" s="0">
        <v>81</v>
      </c>
      <c r="BI88" t="s" s="0">
        <v>2339</v>
      </c>
      <c r="BJ88" t="s" s="0">
        <v>2340</v>
      </c>
      <c r="BK88" t="s" s="173">
        <f>HYPERLINK("http://dx.doi.org/10.1016/j.jbi.2025.104834","http://dx.doi.org/10.1016/j.jbi.2025.104834")</f>
        <v>2341</v>
      </c>
      <c r="BL88" t="s" s="0">
        <v>81</v>
      </c>
      <c r="BM88" t="s" s="0">
        <v>1470</v>
      </c>
      <c r="BN88" t="s" s="0">
        <v>117</v>
      </c>
      <c r="BO88" t="s" s="0">
        <v>865</v>
      </c>
      <c r="BP88" t="s" s="0">
        <v>866</v>
      </c>
      <c r="BQ88" t="s" s="0">
        <v>2342</v>
      </c>
      <c r="BR88" t="s" s="0">
        <v>2343</v>
      </c>
      <c r="BS88" t="s" s="0">
        <v>2344</v>
      </c>
      <c r="BT88" t="s" s="174">
        <f>HYPERLINK("https://www.webofscience.com/wos/woscc/full-record/WOS:001509235100001","View Record in Web of Science")</f>
        <v>123</v>
      </c>
      <c r="BU88" t="s" s="0">
        <v>81</v>
      </c>
      <c r="BV88" t="s" s="0">
        <v>81</v>
      </c>
      <c r="BW88" t="s" s="0">
        <v>81</v>
      </c>
      <c r="BX88" t="s" s="0">
        <v>124</v>
      </c>
    </row>
    <row r="89">
      <c r="A89" t="s" s="0">
        <v>77</v>
      </c>
      <c r="B89" t="s" s="0">
        <v>77</v>
      </c>
      <c r="C89" t="s" s="0">
        <v>77</v>
      </c>
      <c r="D89" t="s" s="0">
        <v>77</v>
      </c>
      <c r="E89" t="s" s="0">
        <v>2345</v>
      </c>
      <c r="F89" t="s" s="0">
        <v>2346</v>
      </c>
      <c r="G89" t="s" s="0">
        <v>2347</v>
      </c>
      <c r="H89" t="s" s="0">
        <v>81</v>
      </c>
      <c r="I89" t="s" s="0">
        <v>82</v>
      </c>
      <c r="J89" t="s" s="0">
        <v>2348</v>
      </c>
      <c r="K89" t="s" s="0">
        <v>2349</v>
      </c>
      <c r="L89" t="s" s="0">
        <v>2350</v>
      </c>
      <c r="M89" t="s" s="0">
        <v>2351</v>
      </c>
      <c r="N89" t="s" s="0">
        <v>2352</v>
      </c>
      <c r="O89" t="s" s="0">
        <v>2353</v>
      </c>
      <c r="P89" t="s" s="0">
        <v>2354</v>
      </c>
      <c r="Q89" t="s" s="0">
        <v>90</v>
      </c>
      <c r="R89" t="s" s="0">
        <v>81</v>
      </c>
      <c r="S89" t="s" s="0">
        <v>81</v>
      </c>
      <c r="T89" t="s" s="0">
        <v>81</v>
      </c>
      <c r="U89" t="s" s="0">
        <v>81</v>
      </c>
      <c r="V89" t="s" s="0">
        <v>2355</v>
      </c>
      <c r="W89" t="s" s="0">
        <v>1325</v>
      </c>
      <c r="X89" t="s" s="0">
        <v>81</v>
      </c>
      <c r="Y89" t="s" s="0">
        <v>81</v>
      </c>
      <c r="Z89" t="s" s="0">
        <v>93</v>
      </c>
      <c r="AA89" t="s" s="0">
        <v>94</v>
      </c>
      <c r="AB89" t="s" s="0">
        <v>81</v>
      </c>
      <c r="AC89" t="s" s="0">
        <v>81</v>
      </c>
      <c r="AD89" t="s" s="0">
        <v>81</v>
      </c>
      <c r="AE89" t="s" s="0">
        <v>81</v>
      </c>
      <c r="AF89" t="s" s="0">
        <v>81</v>
      </c>
      <c r="AG89" t="s" s="0">
        <v>2356</v>
      </c>
      <c r="AH89" t="s" s="0">
        <v>2357</v>
      </c>
      <c r="AI89" t="s" s="0">
        <v>2358</v>
      </c>
      <c r="AJ89" t="s" s="0">
        <v>2359</v>
      </c>
      <c r="AK89" t="s" s="0">
        <v>81</v>
      </c>
      <c r="AL89" t="s" s="0">
        <v>513</v>
      </c>
      <c r="AM89" t="s" s="0">
        <v>101</v>
      </c>
      <c r="AN89" t="s" s="0">
        <v>101</v>
      </c>
      <c r="AO89" t="s" s="0">
        <v>137</v>
      </c>
      <c r="AP89" t="s" s="0">
        <v>138</v>
      </c>
      <c r="AQ89" t="s" s="0">
        <v>174</v>
      </c>
      <c r="AR89" t="s" s="0">
        <v>175</v>
      </c>
      <c r="AS89" t="s" s="0">
        <v>208</v>
      </c>
      <c r="AT89" t="s" s="0">
        <v>81</v>
      </c>
      <c r="AU89" t="s" s="0">
        <v>1332</v>
      </c>
      <c r="AV89" t="s" s="0">
        <v>81</v>
      </c>
      <c r="AW89" t="s" s="0">
        <v>1333</v>
      </c>
      <c r="AX89" t="s" s="0">
        <v>1334</v>
      </c>
      <c r="AY89" t="s" s="0">
        <v>2360</v>
      </c>
      <c r="AZ89" t="s" s="0">
        <v>111</v>
      </c>
      <c r="BA89" t="s" s="0">
        <v>405</v>
      </c>
      <c r="BB89" t="s" s="0">
        <v>399</v>
      </c>
      <c r="BC89" t="s" s="0">
        <v>81</v>
      </c>
      <c r="BD89" t="s" s="0">
        <v>81</v>
      </c>
      <c r="BE89" t="s" s="0">
        <v>81</v>
      </c>
      <c r="BF89" t="s" s="0">
        <v>81</v>
      </c>
      <c r="BG89" t="s" s="0">
        <v>81</v>
      </c>
      <c r="BH89" t="s" s="0">
        <v>81</v>
      </c>
      <c r="BI89" t="s" s="0">
        <v>2361</v>
      </c>
      <c r="BJ89" t="s" s="0">
        <v>2362</v>
      </c>
      <c r="BK89" t="s" s="175">
        <f>HYPERLINK("http://dx.doi.org/10.3390/brainsci15090990","http://dx.doi.org/10.3390/brainsci15090990")</f>
        <v>2363</v>
      </c>
      <c r="BL89" t="s" s="0">
        <v>81</v>
      </c>
      <c r="BM89" t="s" s="0">
        <v>81</v>
      </c>
      <c r="BN89" t="s" s="0">
        <v>275</v>
      </c>
      <c r="BO89" t="s" s="0">
        <v>1339</v>
      </c>
      <c r="BP89" t="s" s="0">
        <v>370</v>
      </c>
      <c r="BQ89" t="s" s="0">
        <v>2364</v>
      </c>
      <c r="BR89" t="s" s="0">
        <v>2365</v>
      </c>
      <c r="BS89" t="s" s="0">
        <v>2366</v>
      </c>
      <c r="BT89" t="s" s="176">
        <f>HYPERLINK("https://www.webofscience.com/wos/woscc/full-record/WOS:001581555900001","View Record in Web of Science")</f>
        <v>123</v>
      </c>
      <c r="BU89" t="s" s="0">
        <v>191</v>
      </c>
      <c r="BV89" t="s" s="0">
        <v>81</v>
      </c>
      <c r="BW89" t="s" s="0">
        <v>81</v>
      </c>
      <c r="BX89" t="s" s="0">
        <v>124</v>
      </c>
    </row>
    <row r="90">
      <c r="A90" t="s" s="0">
        <v>101</v>
      </c>
      <c r="B90" t="s" s="0">
        <v>77</v>
      </c>
      <c r="C90" t="s" s="0">
        <v>100</v>
      </c>
      <c r="D90" t="s" s="0">
        <v>77</v>
      </c>
      <c r="E90" t="s" s="0">
        <v>2367</v>
      </c>
      <c r="F90" t="s" s="0">
        <v>2368</v>
      </c>
      <c r="G90" t="s" s="0">
        <v>2369</v>
      </c>
      <c r="H90" t="s" s="0">
        <v>81</v>
      </c>
      <c r="I90" t="s" s="0">
        <v>82</v>
      </c>
      <c r="J90" t="s" s="0">
        <v>2370</v>
      </c>
      <c r="K90" t="s" s="0">
        <v>2371</v>
      </c>
      <c r="L90" t="s" s="0">
        <v>2372</v>
      </c>
      <c r="M90" t="s" s="0">
        <v>2372</v>
      </c>
      <c r="N90" t="s" s="0">
        <v>2373</v>
      </c>
      <c r="O90" t="s" s="0">
        <v>2374</v>
      </c>
      <c r="P90" t="s" s="0">
        <v>2375</v>
      </c>
      <c r="Q90" t="s" s="0">
        <v>90</v>
      </c>
      <c r="R90" t="s" s="0">
        <v>81</v>
      </c>
      <c r="S90" t="s" s="0">
        <v>81</v>
      </c>
      <c r="T90" t="s" s="0">
        <v>81</v>
      </c>
      <c r="U90" t="s" s="0">
        <v>81</v>
      </c>
      <c r="V90" t="s" s="0">
        <v>2376</v>
      </c>
      <c r="W90" t="s" s="0">
        <v>2377</v>
      </c>
      <c r="X90" t="s" s="0">
        <v>81</v>
      </c>
      <c r="Y90" t="s" s="0">
        <v>81</v>
      </c>
      <c r="Z90" t="s" s="0">
        <v>93</v>
      </c>
      <c r="AA90" t="s" s="0">
        <v>94</v>
      </c>
      <c r="AB90" t="s" s="0">
        <v>81</v>
      </c>
      <c r="AC90" t="s" s="0">
        <v>81</v>
      </c>
      <c r="AD90" t="s" s="0">
        <v>81</v>
      </c>
      <c r="AE90" t="s" s="0">
        <v>81</v>
      </c>
      <c r="AF90" t="s" s="0">
        <v>81</v>
      </c>
      <c r="AG90" t="s" s="0">
        <v>2378</v>
      </c>
      <c r="AH90" t="s" s="0">
        <v>2379</v>
      </c>
      <c r="AI90" t="s" s="0">
        <v>81</v>
      </c>
      <c r="AJ90" t="s" s="0">
        <v>81</v>
      </c>
      <c r="AK90" t="s" s="0">
        <v>81</v>
      </c>
      <c r="AL90" t="s" s="0">
        <v>619</v>
      </c>
      <c r="AM90" t="s" s="0">
        <v>333</v>
      </c>
      <c r="AN90" t="s" s="0">
        <v>399</v>
      </c>
      <c r="AO90" t="s" s="0">
        <v>158</v>
      </c>
      <c r="AP90" t="s" s="0">
        <v>182</v>
      </c>
      <c r="AQ90" t="s" s="0">
        <v>505</v>
      </c>
      <c r="AR90" t="s" s="0">
        <v>506</v>
      </c>
      <c r="AS90" t="s" s="0">
        <v>507</v>
      </c>
      <c r="AT90" t="s" s="0">
        <v>2380</v>
      </c>
      <c r="AU90" t="s" s="0">
        <v>2381</v>
      </c>
      <c r="AV90" t="s" s="0">
        <v>81</v>
      </c>
      <c r="AW90" t="s" s="0">
        <v>2382</v>
      </c>
      <c r="AX90" t="s" s="0">
        <v>2383</v>
      </c>
      <c r="AY90" t="s" s="0">
        <v>547</v>
      </c>
      <c r="AZ90" t="s" s="0">
        <v>111</v>
      </c>
      <c r="BA90" t="s" s="0">
        <v>171</v>
      </c>
      <c r="BB90" t="s" s="0">
        <v>138</v>
      </c>
      <c r="BC90" t="s" s="0">
        <v>81</v>
      </c>
      <c r="BD90" t="s" s="0">
        <v>81</v>
      </c>
      <c r="BE90" t="s" s="0">
        <v>81</v>
      </c>
      <c r="BF90" t="s" s="0">
        <v>81</v>
      </c>
      <c r="BG90" t="s" s="0">
        <v>2384</v>
      </c>
      <c r="BH90" t="s" s="0">
        <v>2385</v>
      </c>
      <c r="BI90" t="s" s="0">
        <v>81</v>
      </c>
      <c r="BJ90" t="s" s="0">
        <v>2386</v>
      </c>
      <c r="BK90" t="s" s="177">
        <f>HYPERLINK("http://dx.doi.org/10.1007/s00330-025-11450-2","http://dx.doi.org/10.1007/s00330-025-11450-2")</f>
        <v>2387</v>
      </c>
      <c r="BL90" t="s" s="0">
        <v>81</v>
      </c>
      <c r="BM90" t="s" s="0">
        <v>404</v>
      </c>
      <c r="BN90" t="s" s="0">
        <v>152</v>
      </c>
      <c r="BO90" t="s" s="0">
        <v>519</v>
      </c>
      <c r="BP90" t="s" s="0">
        <v>519</v>
      </c>
      <c r="BQ90" t="s" s="0">
        <v>2388</v>
      </c>
      <c r="BR90" t="s" s="0">
        <v>2389</v>
      </c>
      <c r="BS90" t="s" s="0">
        <v>2390</v>
      </c>
      <c r="BT90" t="s" s="178">
        <f>HYPERLINK("https://www.webofscience.com/wos/woscc/full-record/WOS:001423008600001","View Record in Web of Science")</f>
        <v>123</v>
      </c>
      <c r="BU90" t="s" s="0">
        <v>2391</v>
      </c>
      <c r="BV90" t="s" s="0">
        <v>81</v>
      </c>
      <c r="BW90" t="s" s="0">
        <v>81</v>
      </c>
      <c r="BX90" t="s" s="0">
        <v>124</v>
      </c>
    </row>
    <row r="91">
      <c r="A91" t="s" s="0">
        <v>77</v>
      </c>
      <c r="B91" t="s" s="0">
        <v>77</v>
      </c>
      <c r="C91" t="s" s="0">
        <v>158</v>
      </c>
      <c r="D91" t="s" s="0">
        <v>77</v>
      </c>
      <c r="E91" t="s" s="0">
        <v>2392</v>
      </c>
      <c r="F91" t="s" s="0">
        <v>2393</v>
      </c>
      <c r="G91" t="s" s="0">
        <v>2394</v>
      </c>
      <c r="H91" t="s" s="0">
        <v>81</v>
      </c>
      <c r="I91" t="s" s="0">
        <v>82</v>
      </c>
      <c r="J91" t="s" s="0">
        <v>2395</v>
      </c>
      <c r="K91" t="s" s="0">
        <v>2396</v>
      </c>
      <c r="L91" t="s" s="0">
        <v>2397</v>
      </c>
      <c r="M91" t="s" s="0">
        <v>2397</v>
      </c>
      <c r="N91" t="s" s="0">
        <v>2398</v>
      </c>
      <c r="O91" t="s" s="0">
        <v>2399</v>
      </c>
      <c r="P91" t="s" s="0">
        <v>2400</v>
      </c>
      <c r="Q91" t="s" s="0">
        <v>90</v>
      </c>
      <c r="R91" t="s" s="0">
        <v>81</v>
      </c>
      <c r="S91" t="s" s="0">
        <v>81</v>
      </c>
      <c r="T91" t="s" s="0">
        <v>81</v>
      </c>
      <c r="U91" t="s" s="0">
        <v>81</v>
      </c>
      <c r="V91" t="s" s="0">
        <v>2401</v>
      </c>
      <c r="W91" t="s" s="0">
        <v>1007</v>
      </c>
      <c r="X91" t="s" s="0">
        <v>81</v>
      </c>
      <c r="Y91" t="s" s="0">
        <v>81</v>
      </c>
      <c r="Z91" t="s" s="0">
        <v>93</v>
      </c>
      <c r="AA91" t="s" s="0">
        <v>94</v>
      </c>
      <c r="AB91" t="s" s="0">
        <v>81</v>
      </c>
      <c r="AC91" t="s" s="0">
        <v>81</v>
      </c>
      <c r="AD91" t="s" s="0">
        <v>81</v>
      </c>
      <c r="AE91" t="s" s="0">
        <v>81</v>
      </c>
      <c r="AF91" t="s" s="0">
        <v>81</v>
      </c>
      <c r="AG91" t="s" s="0">
        <v>2402</v>
      </c>
      <c r="AH91" t="s" s="0">
        <v>2403</v>
      </c>
      <c r="AI91" t="s" s="0">
        <v>2404</v>
      </c>
      <c r="AJ91" t="s" s="0">
        <v>2405</v>
      </c>
      <c r="AK91" t="s" s="0">
        <v>81</v>
      </c>
      <c r="AL91" t="s" s="0">
        <v>2406</v>
      </c>
      <c r="AM91" t="s" s="0">
        <v>1832</v>
      </c>
      <c r="AN91" t="s" s="0">
        <v>1832</v>
      </c>
      <c r="AO91" t="s" s="0">
        <v>137</v>
      </c>
      <c r="AP91" t="s" s="0">
        <v>1085</v>
      </c>
      <c r="AQ91" t="s" s="0">
        <v>588</v>
      </c>
      <c r="AR91" t="s" s="0">
        <v>589</v>
      </c>
      <c r="AS91" t="s" s="0">
        <v>590</v>
      </c>
      <c r="AT91" t="s" s="0">
        <v>1013</v>
      </c>
      <c r="AU91" t="s" s="0">
        <v>1014</v>
      </c>
      <c r="AV91" t="s" s="0">
        <v>81</v>
      </c>
      <c r="AW91" t="s" s="0">
        <v>1015</v>
      </c>
      <c r="AX91" t="s" s="0">
        <v>1016</v>
      </c>
      <c r="AY91" t="s" s="0">
        <v>181</v>
      </c>
      <c r="AZ91" t="s" s="0">
        <v>181</v>
      </c>
      <c r="BA91" t="s" s="0">
        <v>1085</v>
      </c>
      <c r="BB91" t="s" s="0">
        <v>81</v>
      </c>
      <c r="BC91" t="s" s="0">
        <v>81</v>
      </c>
      <c r="BD91" t="s" s="0">
        <v>81</v>
      </c>
      <c r="BE91" t="s" s="0">
        <v>81</v>
      </c>
      <c r="BF91" t="s" s="0">
        <v>81</v>
      </c>
      <c r="BG91" t="s" s="0">
        <v>2407</v>
      </c>
      <c r="BH91" t="s" s="0">
        <v>2408</v>
      </c>
      <c r="BI91" t="s" s="0">
        <v>81</v>
      </c>
      <c r="BJ91" t="s" s="0">
        <v>2409</v>
      </c>
      <c r="BK91" t="s" s="179">
        <f>HYPERLINK("http://dx.doi.org/10.1109/TNSRE.2023.3237375","http://dx.doi.org/10.1109/TNSRE.2023.3237375")</f>
        <v>2410</v>
      </c>
      <c r="BL91" t="s" s="0">
        <v>81</v>
      </c>
      <c r="BM91" t="s" s="0">
        <v>81</v>
      </c>
      <c r="BN91" t="s" s="0">
        <v>172</v>
      </c>
      <c r="BO91" t="s" s="0">
        <v>1021</v>
      </c>
      <c r="BP91" t="s" s="0">
        <v>1022</v>
      </c>
      <c r="BQ91" t="s" s="0">
        <v>2411</v>
      </c>
      <c r="BR91" t="s" s="0">
        <v>2412</v>
      </c>
      <c r="BS91" t="s" s="0">
        <v>2413</v>
      </c>
      <c r="BT91" t="s" s="180">
        <f>HYPERLINK("https://www.webofscience.com/wos/woscc/full-record/WOS:000966486200001","View Record in Web of Science")</f>
        <v>123</v>
      </c>
      <c r="BU91" t="s" s="0">
        <v>191</v>
      </c>
      <c r="BV91" t="s" s="0">
        <v>81</v>
      </c>
      <c r="BW91" t="s" s="0">
        <v>81</v>
      </c>
      <c r="BX91" t="s" s="0">
        <v>124</v>
      </c>
    </row>
    <row r="92">
      <c r="A92" t="s" s="0">
        <v>101</v>
      </c>
      <c r="B92" t="s" s="0">
        <v>77</v>
      </c>
      <c r="C92" t="s" s="0">
        <v>138</v>
      </c>
      <c r="D92" t="s" s="0">
        <v>77</v>
      </c>
      <c r="E92" t="s" s="0">
        <v>2414</v>
      </c>
      <c r="F92" t="s" s="0">
        <v>2415</v>
      </c>
      <c r="G92" t="s" s="0">
        <v>2416</v>
      </c>
      <c r="H92" t="s" s="0">
        <v>81</v>
      </c>
      <c r="I92" t="s" s="0">
        <v>82</v>
      </c>
      <c r="J92" t="s" s="0">
        <v>2417</v>
      </c>
      <c r="K92" t="s" s="0">
        <v>2418</v>
      </c>
      <c r="L92" t="s" s="0">
        <v>81</v>
      </c>
      <c r="M92" t="s" s="0">
        <v>81</v>
      </c>
      <c r="N92" t="s" s="0">
        <v>81</v>
      </c>
      <c r="O92" t="s" s="0">
        <v>2419</v>
      </c>
      <c r="P92" t="s" s="0">
        <v>2420</v>
      </c>
      <c r="Q92" t="s" s="0">
        <v>90</v>
      </c>
      <c r="R92" t="s" s="0">
        <v>81</v>
      </c>
      <c r="S92" t="s" s="0">
        <v>81</v>
      </c>
      <c r="T92" t="s" s="0">
        <v>81</v>
      </c>
      <c r="U92" t="s" s="0">
        <v>81</v>
      </c>
      <c r="V92" t="s" s="0">
        <v>2421</v>
      </c>
      <c r="W92" t="s" s="0">
        <v>2422</v>
      </c>
      <c r="X92" t="s" s="0">
        <v>81</v>
      </c>
      <c r="Y92" t="s" s="0">
        <v>81</v>
      </c>
      <c r="Z92" t="s" s="0">
        <v>93</v>
      </c>
      <c r="AA92" t="s" s="0">
        <v>94</v>
      </c>
      <c r="AB92" t="s" s="0">
        <v>81</v>
      </c>
      <c r="AC92" t="s" s="0">
        <v>81</v>
      </c>
      <c r="AD92" t="s" s="0">
        <v>81</v>
      </c>
      <c r="AE92" t="s" s="0">
        <v>81</v>
      </c>
      <c r="AF92" t="s" s="0">
        <v>81</v>
      </c>
      <c r="AG92" t="s" s="0">
        <v>2423</v>
      </c>
      <c r="AH92" t="s" s="0">
        <v>2424</v>
      </c>
      <c r="AI92" t="s" s="0">
        <v>2425</v>
      </c>
      <c r="AJ92" t="s" s="0">
        <v>2426</v>
      </c>
      <c r="AK92" t="s" s="0">
        <v>81</v>
      </c>
      <c r="AL92" t="s" s="0">
        <v>886</v>
      </c>
      <c r="AM92" t="s" s="0">
        <v>595</v>
      </c>
      <c r="AN92" t="s" s="0">
        <v>448</v>
      </c>
      <c r="AO92" t="s" s="0">
        <v>77</v>
      </c>
      <c r="AP92" t="s" s="0">
        <v>102</v>
      </c>
      <c r="AQ92" t="s" s="0">
        <v>2181</v>
      </c>
      <c r="AR92" t="s" s="0">
        <v>2182</v>
      </c>
      <c r="AS92" t="s" s="0">
        <v>2183</v>
      </c>
      <c r="AT92" t="s" s="0">
        <v>2427</v>
      </c>
      <c r="AU92" t="s" s="0">
        <v>2428</v>
      </c>
      <c r="AV92" t="s" s="0">
        <v>81</v>
      </c>
      <c r="AW92" t="s" s="0">
        <v>2429</v>
      </c>
      <c r="AX92" t="s" s="0">
        <v>2430</v>
      </c>
      <c r="AY92" t="s" s="0">
        <v>2431</v>
      </c>
      <c r="AZ92" t="s" s="0">
        <v>309</v>
      </c>
      <c r="BA92" t="s" s="0">
        <v>732</v>
      </c>
      <c r="BB92" t="s" s="0">
        <v>182</v>
      </c>
      <c r="BC92" t="s" s="0">
        <v>81</v>
      </c>
      <c r="BD92" t="s" s="0">
        <v>81</v>
      </c>
      <c r="BE92" t="s" s="0">
        <v>81</v>
      </c>
      <c r="BF92" t="s" s="0">
        <v>81</v>
      </c>
      <c r="BG92" t="s" s="0">
        <v>2432</v>
      </c>
      <c r="BH92" t="s" s="0">
        <v>2433</v>
      </c>
      <c r="BI92" t="s" s="0">
        <v>81</v>
      </c>
      <c r="BJ92" t="s" s="0">
        <v>2434</v>
      </c>
      <c r="BK92" t="s" s="181">
        <f>HYPERLINK("http://dx.doi.org/10.1097/RLI.0000000000001102","http://dx.doi.org/10.1097/RLI.0000000000001102")</f>
        <v>2435</v>
      </c>
      <c r="BL92" t="s" s="0">
        <v>81</v>
      </c>
      <c r="BM92" t="s" s="0">
        <v>81</v>
      </c>
      <c r="BN92" t="s" s="0">
        <v>183</v>
      </c>
      <c r="BO92" t="s" s="0">
        <v>519</v>
      </c>
      <c r="BP92" t="s" s="0">
        <v>519</v>
      </c>
      <c r="BQ92" t="s" s="0">
        <v>2436</v>
      </c>
      <c r="BR92" t="s" s="0">
        <v>2437</v>
      </c>
      <c r="BS92" t="s" s="0">
        <v>2438</v>
      </c>
      <c r="BT92" t="s" s="182">
        <f>HYPERLINK("https://www.webofscience.com/wos/woscc/full-record/WOS:001350965200001","View Record in Web of Science")</f>
        <v>123</v>
      </c>
      <c r="BU92" t="s" s="0">
        <v>870</v>
      </c>
      <c r="BV92" t="s" s="0">
        <v>81</v>
      </c>
      <c r="BW92" t="s" s="0">
        <v>81</v>
      </c>
      <c r="BX92" t="s" s="0">
        <v>124</v>
      </c>
    </row>
    <row r="93">
      <c r="A93" t="s" s="0">
        <v>77</v>
      </c>
      <c r="B93" t="s" s="0">
        <v>77</v>
      </c>
      <c r="C93" t="s" s="0">
        <v>77</v>
      </c>
      <c r="D93" t="s" s="0">
        <v>77</v>
      </c>
      <c r="E93" t="s" s="0">
        <v>2439</v>
      </c>
      <c r="F93" t="s" s="0">
        <v>2440</v>
      </c>
      <c r="G93" t="s" s="0">
        <v>2441</v>
      </c>
      <c r="H93" t="s" s="0">
        <v>81</v>
      </c>
      <c r="I93" t="s" s="0">
        <v>82</v>
      </c>
      <c r="J93" t="s" s="0">
        <v>2442</v>
      </c>
      <c r="K93" t="s" s="0">
        <v>2443</v>
      </c>
      <c r="L93" t="s" s="0">
        <v>81</v>
      </c>
      <c r="M93" t="s" s="0">
        <v>81</v>
      </c>
      <c r="N93" t="s" s="0">
        <v>81</v>
      </c>
      <c r="O93" t="s" s="0">
        <v>2444</v>
      </c>
      <c r="P93" t="s" s="0">
        <v>2445</v>
      </c>
      <c r="Q93" t="s" s="0">
        <v>90</v>
      </c>
      <c r="R93" t="s" s="0">
        <v>81</v>
      </c>
      <c r="S93" t="s" s="0">
        <v>81</v>
      </c>
      <c r="T93" t="s" s="0">
        <v>81</v>
      </c>
      <c r="U93" t="s" s="0">
        <v>81</v>
      </c>
      <c r="V93" t="s" s="0">
        <v>2446</v>
      </c>
      <c r="W93" t="s" s="0">
        <v>234</v>
      </c>
      <c r="X93" t="s" s="0">
        <v>81</v>
      </c>
      <c r="Y93" t="s" s="0">
        <v>81</v>
      </c>
      <c r="Z93" t="s" s="0">
        <v>93</v>
      </c>
      <c r="AA93" t="s" s="0">
        <v>94</v>
      </c>
      <c r="AB93" t="s" s="0">
        <v>81</v>
      </c>
      <c r="AC93" t="s" s="0">
        <v>81</v>
      </c>
      <c r="AD93" t="s" s="0">
        <v>81</v>
      </c>
      <c r="AE93" t="s" s="0">
        <v>81</v>
      </c>
      <c r="AF93" t="s" s="0">
        <v>81</v>
      </c>
      <c r="AG93" t="s" s="0">
        <v>2447</v>
      </c>
      <c r="AH93" t="s" s="0">
        <v>2448</v>
      </c>
      <c r="AI93" t="s" s="0">
        <v>81</v>
      </c>
      <c r="AJ93" t="s" s="0">
        <v>81</v>
      </c>
      <c r="AK93" t="s" s="0">
        <v>81</v>
      </c>
      <c r="AL93" t="s" s="0">
        <v>587</v>
      </c>
      <c r="AM93" t="s" s="0">
        <v>137</v>
      </c>
      <c r="AN93" t="s" s="0">
        <v>137</v>
      </c>
      <c r="AO93" t="s" s="0">
        <v>333</v>
      </c>
      <c r="AP93" t="s" s="0">
        <v>333</v>
      </c>
      <c r="AQ93" t="s" s="0">
        <v>140</v>
      </c>
      <c r="AR93" t="s" s="0">
        <v>141</v>
      </c>
      <c r="AS93" t="s" s="0">
        <v>142</v>
      </c>
      <c r="AT93" t="s" s="0">
        <v>240</v>
      </c>
      <c r="AU93" t="s" s="0">
        <v>241</v>
      </c>
      <c r="AV93" t="s" s="0">
        <v>81</v>
      </c>
      <c r="AW93" t="s" s="0">
        <v>242</v>
      </c>
      <c r="AX93" t="s" s="0">
        <v>243</v>
      </c>
      <c r="AY93" t="s" s="0">
        <v>1967</v>
      </c>
      <c r="AZ93" t="s" s="0">
        <v>212</v>
      </c>
      <c r="BA93" t="s" s="0">
        <v>2449</v>
      </c>
      <c r="BB93" t="s" s="0">
        <v>81</v>
      </c>
      <c r="BC93" t="s" s="0">
        <v>81</v>
      </c>
      <c r="BD93" t="s" s="0">
        <v>81</v>
      </c>
      <c r="BE93" t="s" s="0">
        <v>81</v>
      </c>
      <c r="BF93" t="s" s="0">
        <v>81</v>
      </c>
      <c r="BG93" t="s" s="0">
        <v>81</v>
      </c>
      <c r="BH93" t="s" s="0">
        <v>81</v>
      </c>
      <c r="BI93" t="s" s="0">
        <v>2450</v>
      </c>
      <c r="BJ93" t="s" s="0">
        <v>2451</v>
      </c>
      <c r="BK93" t="s" s="183">
        <f>HYPERLINK("http://dx.doi.org/10.1016/j.inffus.2026.104223","http://dx.doi.org/10.1016/j.inffus.2026.104223")</f>
        <v>2452</v>
      </c>
      <c r="BL93" t="s" s="0">
        <v>81</v>
      </c>
      <c r="BM93" t="s" s="0">
        <v>763</v>
      </c>
      <c r="BN93" t="s" s="0">
        <v>213</v>
      </c>
      <c r="BO93" t="s" s="0">
        <v>249</v>
      </c>
      <c r="BP93" t="s" s="0">
        <v>250</v>
      </c>
      <c r="BQ93" t="s" s="0">
        <v>2453</v>
      </c>
      <c r="BR93" t="s" s="0">
        <v>81</v>
      </c>
      <c r="BS93" t="s" s="0">
        <v>2454</v>
      </c>
      <c r="BT93" t="s" s="184">
        <f>HYPERLINK("https://www.webofscience.com/wos/woscc/full-record/WOS:001696371800001","View Record in Web of Science")</f>
        <v>123</v>
      </c>
      <c r="BU93" t="s" s="0">
        <v>81</v>
      </c>
      <c r="BV93" t="s" s="0">
        <v>81</v>
      </c>
      <c r="BW93" t="s" s="0">
        <v>81</v>
      </c>
      <c r="BX93" t="s" s="0">
        <v>124</v>
      </c>
    </row>
    <row r="94">
      <c r="A94" t="s" s="0">
        <v>77</v>
      </c>
      <c r="B94" t="s" s="0">
        <v>77</v>
      </c>
      <c r="C94" t="s" s="0">
        <v>77</v>
      </c>
      <c r="D94" t="s" s="0">
        <v>77</v>
      </c>
      <c r="E94" t="s" s="0">
        <v>2455</v>
      </c>
      <c r="F94" t="s" s="0">
        <v>2456</v>
      </c>
      <c r="G94" t="s" s="0">
        <v>2457</v>
      </c>
      <c r="H94" t="s" s="0">
        <v>81</v>
      </c>
      <c r="I94" t="s" s="0">
        <v>82</v>
      </c>
      <c r="J94" t="s" s="0">
        <v>2458</v>
      </c>
      <c r="K94" t="s" s="0">
        <v>2459</v>
      </c>
      <c r="L94" t="s" s="0">
        <v>2460</v>
      </c>
      <c r="M94" t="s" s="0">
        <v>2461</v>
      </c>
      <c r="N94" t="s" s="0">
        <v>2462</v>
      </c>
      <c r="O94" t="s" s="0">
        <v>2463</v>
      </c>
      <c r="P94" t="s" s="0">
        <v>2464</v>
      </c>
      <c r="Q94" t="s" s="0">
        <v>90</v>
      </c>
      <c r="R94" t="s" s="0">
        <v>81</v>
      </c>
      <c r="S94" t="s" s="0">
        <v>81</v>
      </c>
      <c r="T94" t="s" s="0">
        <v>81</v>
      </c>
      <c r="U94" t="s" s="0">
        <v>81</v>
      </c>
      <c r="V94" t="s" s="0">
        <v>2465</v>
      </c>
      <c r="W94" t="s" s="0">
        <v>2466</v>
      </c>
      <c r="X94" t="s" s="0">
        <v>81</v>
      </c>
      <c r="Y94" t="s" s="0">
        <v>81</v>
      </c>
      <c r="Z94" t="s" s="0">
        <v>93</v>
      </c>
      <c r="AA94" t="s" s="0">
        <v>94</v>
      </c>
      <c r="AB94" t="s" s="0">
        <v>81</v>
      </c>
      <c r="AC94" t="s" s="0">
        <v>81</v>
      </c>
      <c r="AD94" t="s" s="0">
        <v>81</v>
      </c>
      <c r="AE94" t="s" s="0">
        <v>81</v>
      </c>
      <c r="AF94" t="s" s="0">
        <v>81</v>
      </c>
      <c r="AG94" t="s" s="0">
        <v>2467</v>
      </c>
      <c r="AH94" t="s" s="0">
        <v>2468</v>
      </c>
      <c r="AI94" t="s" s="0">
        <v>2469</v>
      </c>
      <c r="AJ94" t="s" s="0">
        <v>81</v>
      </c>
      <c r="AK94" t="s" s="0">
        <v>81</v>
      </c>
      <c r="AL94" t="s" s="0">
        <v>960</v>
      </c>
      <c r="AM94" t="s" s="0">
        <v>77</v>
      </c>
      <c r="AN94" t="s" s="0">
        <v>77</v>
      </c>
      <c r="AO94" t="s" s="0">
        <v>101</v>
      </c>
      <c r="AP94" t="s" s="0">
        <v>101</v>
      </c>
      <c r="AQ94" t="s" s="0">
        <v>1569</v>
      </c>
      <c r="AR94" t="s" s="0">
        <v>1570</v>
      </c>
      <c r="AS94" t="s" s="0">
        <v>1571</v>
      </c>
      <c r="AT94" t="s" s="0">
        <v>2470</v>
      </c>
      <c r="AU94" t="s" s="0">
        <v>2471</v>
      </c>
      <c r="AV94" t="s" s="0">
        <v>81</v>
      </c>
      <c r="AW94" t="s" s="0">
        <v>2472</v>
      </c>
      <c r="AX94" t="s" s="0">
        <v>2473</v>
      </c>
      <c r="AY94" t="s" s="0">
        <v>2474</v>
      </c>
      <c r="AZ94" t="s" s="0">
        <v>212</v>
      </c>
      <c r="BA94" t="s" s="0">
        <v>2475</v>
      </c>
      <c r="BB94" t="s" s="0">
        <v>895</v>
      </c>
      <c r="BC94" t="s" s="0">
        <v>81</v>
      </c>
      <c r="BD94" t="s" s="0">
        <v>81</v>
      </c>
      <c r="BE94" t="s" s="0">
        <v>81</v>
      </c>
      <c r="BF94" t="s" s="0">
        <v>81</v>
      </c>
      <c r="BG94" t="s" s="0">
        <v>81</v>
      </c>
      <c r="BH94" t="s" s="0">
        <v>81</v>
      </c>
      <c r="BI94" t="s" s="0">
        <v>2476</v>
      </c>
      <c r="BJ94" t="s" s="0">
        <v>2477</v>
      </c>
      <c r="BK94" t="s" s="185">
        <f>HYPERLINK("http://dx.doi.org/10.1088/1402-4896/ae777a","http://dx.doi.org/10.1088/1402-4896/ae777a")</f>
        <v>2478</v>
      </c>
      <c r="BL94" t="s" s="0">
        <v>81</v>
      </c>
      <c r="BM94" t="s" s="0">
        <v>81</v>
      </c>
      <c r="BN94" t="s" s="0">
        <v>217</v>
      </c>
      <c r="BO94" t="s" s="0">
        <v>2479</v>
      </c>
      <c r="BP94" t="s" s="0">
        <v>2480</v>
      </c>
      <c r="BQ94" t="s" s="0">
        <v>2481</v>
      </c>
      <c r="BR94" t="s" s="0">
        <v>81</v>
      </c>
      <c r="BS94" t="s" s="0">
        <v>2482</v>
      </c>
      <c r="BT94" t="s" s="186">
        <f>HYPERLINK("https://www.webofscience.com/wos/woscc/full-record/WOS:001792361700001","View Record in Web of Science")</f>
        <v>123</v>
      </c>
      <c r="BU94" t="s" s="0">
        <v>157</v>
      </c>
      <c r="BV94" t="s" s="0">
        <v>81</v>
      </c>
      <c r="BW94" t="s" s="0">
        <v>81</v>
      </c>
      <c r="BX94" t="s" s="0">
        <v>124</v>
      </c>
    </row>
    <row r="95">
      <c r="A95" t="s" s="0">
        <v>77</v>
      </c>
      <c r="B95" t="s" s="0">
        <v>77</v>
      </c>
      <c r="C95" t="s" s="0">
        <v>77</v>
      </c>
      <c r="D95" t="s" s="0">
        <v>77</v>
      </c>
      <c r="E95" t="s" s="0">
        <v>2483</v>
      </c>
      <c r="F95" t="s" s="0">
        <v>2484</v>
      </c>
      <c r="G95" t="s" s="0">
        <v>2485</v>
      </c>
      <c r="H95" t="s" s="0">
        <v>81</v>
      </c>
      <c r="I95" t="s" s="0">
        <v>82</v>
      </c>
      <c r="J95" t="s" s="0">
        <v>2486</v>
      </c>
      <c r="K95" t="s" s="0">
        <v>2487</v>
      </c>
      <c r="L95" t="s" s="0">
        <v>81</v>
      </c>
      <c r="M95" t="s" s="0">
        <v>81</v>
      </c>
      <c r="N95" t="s" s="0">
        <v>81</v>
      </c>
      <c r="O95" t="s" s="0">
        <v>2488</v>
      </c>
      <c r="P95" t="s" s="0">
        <v>2489</v>
      </c>
      <c r="Q95" t="s" s="0">
        <v>90</v>
      </c>
      <c r="R95" t="s" s="0">
        <v>81</v>
      </c>
      <c r="S95" t="s" s="0">
        <v>81</v>
      </c>
      <c r="T95" t="s" s="0">
        <v>81</v>
      </c>
      <c r="U95" t="s" s="0">
        <v>81</v>
      </c>
      <c r="V95" t="s" s="0">
        <v>2490</v>
      </c>
      <c r="W95" t="s" s="0">
        <v>2491</v>
      </c>
      <c r="X95" t="s" s="0">
        <v>81</v>
      </c>
      <c r="Y95" t="s" s="0">
        <v>81</v>
      </c>
      <c r="Z95" t="s" s="0">
        <v>93</v>
      </c>
      <c r="AA95" t="s" s="0">
        <v>94</v>
      </c>
      <c r="AB95" t="s" s="0">
        <v>81</v>
      </c>
      <c r="AC95" t="s" s="0">
        <v>81</v>
      </c>
      <c r="AD95" t="s" s="0">
        <v>81</v>
      </c>
      <c r="AE95" t="s" s="0">
        <v>81</v>
      </c>
      <c r="AF95" t="s" s="0">
        <v>81</v>
      </c>
      <c r="AG95" t="s" s="0">
        <v>2492</v>
      </c>
      <c r="AH95" t="s" s="0">
        <v>81</v>
      </c>
      <c r="AI95" t="s" s="0">
        <v>81</v>
      </c>
      <c r="AJ95" t="s" s="0">
        <v>81</v>
      </c>
      <c r="AK95" t="s" s="0">
        <v>81</v>
      </c>
      <c r="AL95" t="s" s="0">
        <v>207</v>
      </c>
      <c r="AM95" t="s" s="0">
        <v>77</v>
      </c>
      <c r="AN95" t="s" s="0">
        <v>77</v>
      </c>
      <c r="AO95" t="s" s="0">
        <v>77</v>
      </c>
      <c r="AP95" t="s" s="0">
        <v>77</v>
      </c>
      <c r="AQ95" t="s" s="0">
        <v>537</v>
      </c>
      <c r="AR95" t="s" s="0">
        <v>506</v>
      </c>
      <c r="AS95" t="s" s="0">
        <v>2493</v>
      </c>
      <c r="AT95" t="s" s="0">
        <v>2494</v>
      </c>
      <c r="AU95" t="s" s="0">
        <v>2495</v>
      </c>
      <c r="AV95" t="s" s="0">
        <v>81</v>
      </c>
      <c r="AW95" t="s" s="0">
        <v>2496</v>
      </c>
      <c r="AX95" t="s" s="0">
        <v>2497</v>
      </c>
      <c r="AY95" t="s" s="0">
        <v>244</v>
      </c>
      <c r="AZ95" t="s" s="0">
        <v>212</v>
      </c>
      <c r="BA95" t="s" s="0">
        <v>2498</v>
      </c>
      <c r="BB95" t="s" s="0">
        <v>399</v>
      </c>
      <c r="BC95" t="s" s="0">
        <v>81</v>
      </c>
      <c r="BD95" t="s" s="0">
        <v>81</v>
      </c>
      <c r="BE95" t="s" s="0">
        <v>81</v>
      </c>
      <c r="BF95" t="s" s="0">
        <v>81</v>
      </c>
      <c r="BG95" t="s" s="0">
        <v>2499</v>
      </c>
      <c r="BH95" t="s" s="0">
        <v>2500</v>
      </c>
      <c r="BI95" t="s" s="0">
        <v>81</v>
      </c>
      <c r="BJ95" t="s" s="0">
        <v>2501</v>
      </c>
      <c r="BK95" t="s" s="187">
        <f>HYPERLINK("http://dx.doi.org/10.1016/j.dld.2026.07.005","http://dx.doi.org/10.1016/j.dld.2026.07.005")</f>
        <v>2502</v>
      </c>
      <c r="BL95" t="s" s="0">
        <v>81</v>
      </c>
      <c r="BM95" t="s" s="0">
        <v>81</v>
      </c>
      <c r="BN95" t="s" s="0">
        <v>399</v>
      </c>
      <c r="BO95" t="s" s="0">
        <v>2503</v>
      </c>
      <c r="BP95" t="s" s="0">
        <v>2503</v>
      </c>
      <c r="BQ95" t="s" s="0">
        <v>2504</v>
      </c>
      <c r="BR95" t="s" s="0">
        <v>2505</v>
      </c>
      <c r="BS95" t="s" s="0">
        <v>2506</v>
      </c>
      <c r="BT95" t="s" s="188">
        <f>HYPERLINK("https://www.webofscience.com/wos/woscc/full-record/WOS:001851497600001","View Record in Web of Science")</f>
        <v>123</v>
      </c>
      <c r="BU95" t="s" s="0">
        <v>157</v>
      </c>
      <c r="BV95" t="s" s="0">
        <v>81</v>
      </c>
      <c r="BW95" t="s" s="0">
        <v>81</v>
      </c>
      <c r="BX95" t="s" s="0">
        <v>124</v>
      </c>
    </row>
    <row r="96">
      <c r="A96" t="s" s="0">
        <v>77</v>
      </c>
      <c r="B96" t="s" s="0">
        <v>77</v>
      </c>
      <c r="C96" t="s" s="0">
        <v>77</v>
      </c>
      <c r="D96" t="s" s="0">
        <v>77</v>
      </c>
      <c r="E96" t="s" s="0">
        <v>2507</v>
      </c>
      <c r="F96" t="s" s="0">
        <v>2508</v>
      </c>
      <c r="G96" t="s" s="0">
        <v>2509</v>
      </c>
      <c r="H96" t="s" s="0">
        <v>81</v>
      </c>
      <c r="I96" t="s" s="0">
        <v>82</v>
      </c>
      <c r="J96" t="s" s="0">
        <v>2510</v>
      </c>
      <c r="K96" t="s" s="0">
        <v>2511</v>
      </c>
      <c r="L96" t="s" s="0">
        <v>2512</v>
      </c>
      <c r="M96" t="s" s="0">
        <v>2513</v>
      </c>
      <c r="N96" t="s" s="0">
        <v>2514</v>
      </c>
      <c r="O96" t="s" s="0">
        <v>2515</v>
      </c>
      <c r="P96" t="s" s="0">
        <v>2516</v>
      </c>
      <c r="Q96" t="s" s="0">
        <v>90</v>
      </c>
      <c r="R96" t="s" s="0">
        <v>81</v>
      </c>
      <c r="S96" t="s" s="0">
        <v>81</v>
      </c>
      <c r="T96" t="s" s="0">
        <v>81</v>
      </c>
      <c r="U96" t="s" s="0">
        <v>81</v>
      </c>
      <c r="V96" t="s" s="0">
        <v>2517</v>
      </c>
      <c r="W96" t="s" s="0">
        <v>2518</v>
      </c>
      <c r="X96" t="s" s="0">
        <v>81</v>
      </c>
      <c r="Y96" t="s" s="0">
        <v>81</v>
      </c>
      <c r="Z96" t="s" s="0">
        <v>93</v>
      </c>
      <c r="AA96" t="s" s="0">
        <v>94</v>
      </c>
      <c r="AB96" t="s" s="0">
        <v>81</v>
      </c>
      <c r="AC96" t="s" s="0">
        <v>81</v>
      </c>
      <c r="AD96" t="s" s="0">
        <v>81</v>
      </c>
      <c r="AE96" t="s" s="0">
        <v>81</v>
      </c>
      <c r="AF96" t="s" s="0">
        <v>81</v>
      </c>
      <c r="AG96" t="s" s="0">
        <v>2519</v>
      </c>
      <c r="AH96" t="s" s="0">
        <v>81</v>
      </c>
      <c r="AI96" t="s" s="0">
        <v>81</v>
      </c>
      <c r="AJ96" t="s" s="0">
        <v>81</v>
      </c>
      <c r="AK96" t="s" s="0">
        <v>81</v>
      </c>
      <c r="AL96" t="s" s="0">
        <v>2520</v>
      </c>
      <c r="AM96" t="s" s="0">
        <v>100</v>
      </c>
      <c r="AN96" t="s" s="0">
        <v>100</v>
      </c>
      <c r="AO96" t="s" s="0">
        <v>399</v>
      </c>
      <c r="AP96" t="s" s="0">
        <v>182</v>
      </c>
      <c r="AQ96" t="s" s="0">
        <v>588</v>
      </c>
      <c r="AR96" t="s" s="0">
        <v>589</v>
      </c>
      <c r="AS96" t="s" s="0">
        <v>590</v>
      </c>
      <c r="AT96" t="s" s="0">
        <v>2521</v>
      </c>
      <c r="AU96" t="s" s="0">
        <v>2522</v>
      </c>
      <c r="AV96" t="s" s="0">
        <v>81</v>
      </c>
      <c r="AW96" t="s" s="0">
        <v>2523</v>
      </c>
      <c r="AX96" t="s" s="0">
        <v>2524</v>
      </c>
      <c r="AY96" t="s" s="0">
        <v>212</v>
      </c>
      <c r="AZ96" t="s" s="0">
        <v>212</v>
      </c>
      <c r="BA96" t="s" s="0">
        <v>2525</v>
      </c>
      <c r="BB96" t="s" s="0">
        <v>81</v>
      </c>
      <c r="BC96" t="s" s="0">
        <v>81</v>
      </c>
      <c r="BD96" t="s" s="0">
        <v>81</v>
      </c>
      <c r="BE96" t="s" s="0">
        <v>81</v>
      </c>
      <c r="BF96" t="s" s="0">
        <v>81</v>
      </c>
      <c r="BG96" t="s" s="0">
        <v>81</v>
      </c>
      <c r="BH96" t="s" s="0">
        <v>81</v>
      </c>
      <c r="BI96" t="s" s="0">
        <v>2526</v>
      </c>
      <c r="BJ96" t="s" s="0">
        <v>2527</v>
      </c>
      <c r="BK96" t="s" s="189">
        <f>HYPERLINK("http://dx.doi.org/10.1109/TGRS.2025.3648127","http://dx.doi.org/10.1109/TGRS.2025.3648127")</f>
        <v>2528</v>
      </c>
      <c r="BL96" t="s" s="0">
        <v>81</v>
      </c>
      <c r="BM96" t="s" s="0">
        <v>81</v>
      </c>
      <c r="BN96" t="s" s="0">
        <v>182</v>
      </c>
      <c r="BO96" t="s" s="0">
        <v>2529</v>
      </c>
      <c r="BP96" t="s" s="0">
        <v>2530</v>
      </c>
      <c r="BQ96" t="s" s="0">
        <v>2531</v>
      </c>
      <c r="BR96" t="s" s="0">
        <v>81</v>
      </c>
      <c r="BS96" t="s" s="0">
        <v>2532</v>
      </c>
      <c r="BT96" t="s" s="190">
        <f>HYPERLINK("https://www.webofscience.com/wos/woscc/full-record/WOS:001655702700007","View Record in Web of Science")</f>
        <v>123</v>
      </c>
      <c r="BU96" t="s" s="0">
        <v>81</v>
      </c>
      <c r="BV96" t="s" s="0">
        <v>81</v>
      </c>
      <c r="BW96" t="s" s="0">
        <v>81</v>
      </c>
      <c r="BX96" t="s" s="0">
        <v>124</v>
      </c>
    </row>
    <row r="97">
      <c r="A97" t="s" s="0">
        <v>77</v>
      </c>
      <c r="B97" t="s" s="0">
        <v>77</v>
      </c>
      <c r="C97" t="s" s="0">
        <v>77</v>
      </c>
      <c r="D97" t="s" s="0">
        <v>77</v>
      </c>
      <c r="E97" t="s" s="0">
        <v>2533</v>
      </c>
      <c r="F97" t="s" s="0">
        <v>2534</v>
      </c>
      <c r="G97" t="s" s="0">
        <v>2535</v>
      </c>
      <c r="H97" t="s" s="0">
        <v>81</v>
      </c>
      <c r="I97" t="s" s="0">
        <v>82</v>
      </c>
      <c r="J97" t="s" s="0">
        <v>2536</v>
      </c>
      <c r="K97" t="s" s="0">
        <v>2537</v>
      </c>
      <c r="L97" t="s" s="0">
        <v>2538</v>
      </c>
      <c r="M97" t="s" s="0">
        <v>2539</v>
      </c>
      <c r="N97" t="s" s="0">
        <v>2540</v>
      </c>
      <c r="O97" t="s" s="0">
        <v>2541</v>
      </c>
      <c r="P97" t="s" s="0">
        <v>2542</v>
      </c>
      <c r="Q97" t="s" s="0">
        <v>90</v>
      </c>
      <c r="R97" t="s" s="0">
        <v>81</v>
      </c>
      <c r="S97" t="s" s="0">
        <v>81</v>
      </c>
      <c r="T97" t="s" s="0">
        <v>81</v>
      </c>
      <c r="U97" t="s" s="0">
        <v>81</v>
      </c>
      <c r="V97" t="s" s="0">
        <v>2543</v>
      </c>
      <c r="W97" t="s" s="0">
        <v>2544</v>
      </c>
      <c r="X97" t="s" s="0">
        <v>81</v>
      </c>
      <c r="Y97" t="s" s="0">
        <v>81</v>
      </c>
      <c r="Z97" t="s" s="0">
        <v>93</v>
      </c>
      <c r="AA97" t="s" s="0">
        <v>94</v>
      </c>
      <c r="AB97" t="s" s="0">
        <v>81</v>
      </c>
      <c r="AC97" t="s" s="0">
        <v>81</v>
      </c>
      <c r="AD97" t="s" s="0">
        <v>81</v>
      </c>
      <c r="AE97" t="s" s="0">
        <v>81</v>
      </c>
      <c r="AF97" t="s" s="0">
        <v>81</v>
      </c>
      <c r="AG97" t="s" s="0">
        <v>2545</v>
      </c>
      <c r="AH97" t="s" s="0">
        <v>81</v>
      </c>
      <c r="AI97" t="s" s="0">
        <v>2546</v>
      </c>
      <c r="AJ97" t="s" s="0">
        <v>81</v>
      </c>
      <c r="AK97" t="s" s="0">
        <v>81</v>
      </c>
      <c r="AL97" t="s" s="0">
        <v>207</v>
      </c>
      <c r="AM97" t="s" s="0">
        <v>77</v>
      </c>
      <c r="AN97" t="s" s="0">
        <v>77</v>
      </c>
      <c r="AO97" t="s" s="0">
        <v>100</v>
      </c>
      <c r="AP97" t="s" s="0">
        <v>158</v>
      </c>
      <c r="AQ97" t="s" s="0">
        <v>2547</v>
      </c>
      <c r="AR97" t="s" s="0">
        <v>2548</v>
      </c>
      <c r="AS97" t="s" s="0">
        <v>2549</v>
      </c>
      <c r="AT97" t="s" s="0">
        <v>2550</v>
      </c>
      <c r="AU97" t="s" s="0">
        <v>2551</v>
      </c>
      <c r="AV97" t="s" s="0">
        <v>81</v>
      </c>
      <c r="AW97" t="s" s="0">
        <v>2552</v>
      </c>
      <c r="AX97" t="s" s="0">
        <v>2553</v>
      </c>
      <c r="AY97" t="s" s="0">
        <v>111</v>
      </c>
      <c r="AZ97" t="s" s="0">
        <v>111</v>
      </c>
      <c r="BA97" t="s" s="0">
        <v>1443</v>
      </c>
      <c r="BB97" t="s" s="0">
        <v>100</v>
      </c>
      <c r="BC97" t="s" s="0">
        <v>81</v>
      </c>
      <c r="BD97" t="s" s="0">
        <v>81</v>
      </c>
      <c r="BE97" t="s" s="0">
        <v>81</v>
      </c>
      <c r="BF97" t="s" s="0">
        <v>81</v>
      </c>
      <c r="BG97" t="s" s="0">
        <v>2554</v>
      </c>
      <c r="BH97" t="s" s="0">
        <v>2555</v>
      </c>
      <c r="BI97" t="s" s="0">
        <v>81</v>
      </c>
      <c r="BJ97" t="s" s="0">
        <v>2556</v>
      </c>
      <c r="BK97" t="s" s="191">
        <f>HYPERLINK("http://dx.doi.org/10.1504/IJBIC.2025.149561","http://dx.doi.org/10.1504/IJBIC.2025.149561")</f>
        <v>2557</v>
      </c>
      <c r="BL97" t="s" s="0">
        <v>81</v>
      </c>
      <c r="BM97" t="s" s="0">
        <v>81</v>
      </c>
      <c r="BN97" t="s" s="0">
        <v>182</v>
      </c>
      <c r="BO97" t="s" s="0">
        <v>249</v>
      </c>
      <c r="BP97" t="s" s="0">
        <v>250</v>
      </c>
      <c r="BQ97" t="s" s="0">
        <v>2558</v>
      </c>
      <c r="BR97" t="s" s="0">
        <v>81</v>
      </c>
      <c r="BS97" t="s" s="0">
        <v>2559</v>
      </c>
      <c r="BT97" t="s" s="192">
        <f>HYPERLINK("https://www.webofscience.com/wos/woscc/full-record/WOS:001611250500001","View Record in Web of Science")</f>
        <v>123</v>
      </c>
      <c r="BU97" t="s" s="0">
        <v>81</v>
      </c>
      <c r="BV97" t="s" s="0">
        <v>81</v>
      </c>
      <c r="BW97" t="s" s="0">
        <v>81</v>
      </c>
      <c r="BX97" t="s" s="0">
        <v>124</v>
      </c>
    </row>
    <row r="98">
      <c r="A98" t="s" s="0">
        <v>77</v>
      </c>
      <c r="B98" t="s" s="0">
        <v>77</v>
      </c>
      <c r="C98" t="s" s="0">
        <v>137</v>
      </c>
      <c r="D98" t="s" s="0">
        <v>77</v>
      </c>
      <c r="E98" t="s" s="0">
        <v>2560</v>
      </c>
      <c r="F98" t="s" s="0">
        <v>2561</v>
      </c>
      <c r="G98" t="s" s="0">
        <v>2562</v>
      </c>
      <c r="H98" t="s" s="0">
        <v>81</v>
      </c>
      <c r="I98" t="s" s="0">
        <v>82</v>
      </c>
      <c r="J98" t="s" s="0">
        <v>2563</v>
      </c>
      <c r="K98" t="s" s="0">
        <v>2564</v>
      </c>
      <c r="L98" t="s" s="0">
        <v>81</v>
      </c>
      <c r="M98" t="s" s="0">
        <v>81</v>
      </c>
      <c r="N98" t="s" s="0">
        <v>2565</v>
      </c>
      <c r="O98" t="s" s="0">
        <v>2566</v>
      </c>
      <c r="P98" t="s" s="0">
        <v>2567</v>
      </c>
      <c r="Q98" t="s" s="0">
        <v>90</v>
      </c>
      <c r="R98" t="s" s="0">
        <v>81</v>
      </c>
      <c r="S98" t="s" s="0">
        <v>81</v>
      </c>
      <c r="T98" t="s" s="0">
        <v>81</v>
      </c>
      <c r="U98" t="s" s="0">
        <v>81</v>
      </c>
      <c r="V98" t="s" s="0">
        <v>2568</v>
      </c>
      <c r="W98" t="s" s="0">
        <v>2569</v>
      </c>
      <c r="X98" t="s" s="0">
        <v>81</v>
      </c>
      <c r="Y98" t="s" s="0">
        <v>81</v>
      </c>
      <c r="Z98" t="s" s="0">
        <v>93</v>
      </c>
      <c r="AA98" t="s" s="0">
        <v>94</v>
      </c>
      <c r="AB98" t="s" s="0">
        <v>81</v>
      </c>
      <c r="AC98" t="s" s="0">
        <v>81</v>
      </c>
      <c r="AD98" t="s" s="0">
        <v>81</v>
      </c>
      <c r="AE98" t="s" s="0">
        <v>81</v>
      </c>
      <c r="AF98" t="s" s="0">
        <v>81</v>
      </c>
      <c r="AG98" t="s" s="0">
        <v>2570</v>
      </c>
      <c r="AH98" t="s" s="0">
        <v>81</v>
      </c>
      <c r="AI98" t="s" s="0">
        <v>81</v>
      </c>
      <c r="AJ98" t="s" s="0">
        <v>81</v>
      </c>
      <c r="AK98" t="s" s="0">
        <v>81</v>
      </c>
      <c r="AL98" t="s" s="0">
        <v>850</v>
      </c>
      <c r="AM98" t="s" s="0">
        <v>137</v>
      </c>
      <c r="AN98" t="s" s="0">
        <v>100</v>
      </c>
      <c r="AO98" t="s" s="0">
        <v>77</v>
      </c>
      <c r="AP98" t="s" s="0">
        <v>100</v>
      </c>
      <c r="AQ98" t="s" s="0">
        <v>421</v>
      </c>
      <c r="AR98" t="s" s="0">
        <v>422</v>
      </c>
      <c r="AS98" t="s" s="0">
        <v>423</v>
      </c>
      <c r="AT98" t="s" s="0">
        <v>2571</v>
      </c>
      <c r="AU98" t="s" s="0">
        <v>81</v>
      </c>
      <c r="AV98" t="s" s="0">
        <v>81</v>
      </c>
      <c r="AW98" t="s" s="0">
        <v>2572</v>
      </c>
      <c r="AX98" t="s" s="0">
        <v>2573</v>
      </c>
      <c r="AY98" t="s" s="0">
        <v>2574</v>
      </c>
      <c r="AZ98" t="s" s="0">
        <v>111</v>
      </c>
      <c r="BA98" t="s" s="0">
        <v>182</v>
      </c>
      <c r="BB98" t="s" s="0">
        <v>81</v>
      </c>
      <c r="BC98" t="s" s="0">
        <v>81</v>
      </c>
      <c r="BD98" t="s" s="0">
        <v>81</v>
      </c>
      <c r="BE98" t="s" s="0">
        <v>81</v>
      </c>
      <c r="BF98" t="s" s="0">
        <v>81</v>
      </c>
      <c r="BG98" t="s" s="0">
        <v>81</v>
      </c>
      <c r="BH98" t="s" s="0">
        <v>81</v>
      </c>
      <c r="BI98" t="s" s="0">
        <v>2575</v>
      </c>
      <c r="BJ98" t="s" s="0">
        <v>2576</v>
      </c>
      <c r="BK98" t="s" s="193">
        <f>HYPERLINK("http://dx.doi.org/10.3389/fcvm.2025.1606159","http://dx.doi.org/10.3389/fcvm.2025.1606159")</f>
        <v>2577</v>
      </c>
      <c r="BL98" t="s" s="0">
        <v>81</v>
      </c>
      <c r="BM98" t="s" s="0">
        <v>81</v>
      </c>
      <c r="BN98" t="s" s="0">
        <v>461</v>
      </c>
      <c r="BO98" t="s" s="0">
        <v>2578</v>
      </c>
      <c r="BP98" t="s" s="0">
        <v>2579</v>
      </c>
      <c r="BQ98" t="s" s="0">
        <v>2580</v>
      </c>
      <c r="BR98" t="s" s="0">
        <v>2581</v>
      </c>
      <c r="BS98" t="s" s="0">
        <v>2582</v>
      </c>
      <c r="BT98" t="s" s="194">
        <f>HYPERLINK("https://www.webofscience.com/wos/woscc/full-record/WOS:001553133900001","View Record in Web of Science")</f>
        <v>123</v>
      </c>
      <c r="BU98" t="s" s="0">
        <v>191</v>
      </c>
      <c r="BV98" t="s" s="0">
        <v>81</v>
      </c>
      <c r="BW98" t="s" s="0">
        <v>81</v>
      </c>
      <c r="BX98" t="s" s="0">
        <v>124</v>
      </c>
    </row>
    <row r="99">
      <c r="A99" t="s" s="0">
        <v>77</v>
      </c>
      <c r="B99" t="s" s="0">
        <v>77</v>
      </c>
      <c r="C99" t="s" s="0">
        <v>77</v>
      </c>
      <c r="D99" t="s" s="0">
        <v>77</v>
      </c>
      <c r="E99" t="s" s="0">
        <v>2583</v>
      </c>
      <c r="F99" t="s" s="0">
        <v>2584</v>
      </c>
      <c r="G99" t="s" s="0">
        <v>2585</v>
      </c>
      <c r="H99" t="s" s="0">
        <v>81</v>
      </c>
      <c r="I99" t="s" s="0">
        <v>82</v>
      </c>
      <c r="J99" t="s" s="0">
        <v>2586</v>
      </c>
      <c r="K99" t="s" s="0">
        <v>2587</v>
      </c>
      <c r="L99" t="s" s="0">
        <v>2588</v>
      </c>
      <c r="M99" t="s" s="0">
        <v>2589</v>
      </c>
      <c r="N99" t="s" s="0">
        <v>2590</v>
      </c>
      <c r="O99" t="s" s="0">
        <v>2591</v>
      </c>
      <c r="P99" t="s" s="0">
        <v>2592</v>
      </c>
      <c r="Q99" t="s" s="0">
        <v>90</v>
      </c>
      <c r="R99" t="s" s="0">
        <v>81</v>
      </c>
      <c r="S99" t="s" s="0">
        <v>81</v>
      </c>
      <c r="T99" t="s" s="0">
        <v>81</v>
      </c>
      <c r="U99" t="s" s="0">
        <v>81</v>
      </c>
      <c r="V99" t="s" s="0">
        <v>2593</v>
      </c>
      <c r="W99" t="s" s="0">
        <v>2082</v>
      </c>
      <c r="X99" t="s" s="0">
        <v>81</v>
      </c>
      <c r="Y99" t="s" s="0">
        <v>81</v>
      </c>
      <c r="Z99" t="s" s="0">
        <v>93</v>
      </c>
      <c r="AA99" t="s" s="0">
        <v>94</v>
      </c>
      <c r="AB99" t="s" s="0">
        <v>81</v>
      </c>
      <c r="AC99" t="s" s="0">
        <v>81</v>
      </c>
      <c r="AD99" t="s" s="0">
        <v>81</v>
      </c>
      <c r="AE99" t="s" s="0">
        <v>81</v>
      </c>
      <c r="AF99" t="s" s="0">
        <v>81</v>
      </c>
      <c r="AG99" t="s" s="0">
        <v>2594</v>
      </c>
      <c r="AH99" t="s" s="0">
        <v>2595</v>
      </c>
      <c r="AI99" t="s" s="0">
        <v>81</v>
      </c>
      <c r="AJ99" t="s" s="0">
        <v>81</v>
      </c>
      <c r="AK99" t="s" s="0">
        <v>81</v>
      </c>
      <c r="AL99" t="s" s="0">
        <v>1218</v>
      </c>
      <c r="AM99" t="s" s="0">
        <v>172</v>
      </c>
      <c r="AN99" t="s" s="0">
        <v>117</v>
      </c>
      <c r="AO99" t="s" s="0">
        <v>77</v>
      </c>
      <c r="AP99" t="s" s="0">
        <v>2596</v>
      </c>
      <c r="AQ99" t="s" s="0">
        <v>588</v>
      </c>
      <c r="AR99" t="s" s="0">
        <v>589</v>
      </c>
      <c r="AS99" t="s" s="0">
        <v>590</v>
      </c>
      <c r="AT99" t="s" s="0">
        <v>2087</v>
      </c>
      <c r="AU99" t="s" s="0">
        <v>81</v>
      </c>
      <c r="AV99" t="s" s="0">
        <v>81</v>
      </c>
      <c r="AW99" t="s" s="0">
        <v>2082</v>
      </c>
      <c r="AX99" t="s" s="0">
        <v>2088</v>
      </c>
      <c r="AY99" t="s" s="0">
        <v>181</v>
      </c>
      <c r="AZ99" t="s" s="0">
        <v>181</v>
      </c>
      <c r="BA99" t="s" s="0">
        <v>152</v>
      </c>
      <c r="BB99" t="s" s="0">
        <v>81</v>
      </c>
      <c r="BC99" t="s" s="0">
        <v>81</v>
      </c>
      <c r="BD99" t="s" s="0">
        <v>81</v>
      </c>
      <c r="BE99" t="s" s="0">
        <v>81</v>
      </c>
      <c r="BF99" t="s" s="0">
        <v>81</v>
      </c>
      <c r="BG99" t="s" s="0">
        <v>2597</v>
      </c>
      <c r="BH99" t="s" s="0">
        <v>2598</v>
      </c>
      <c r="BI99" t="s" s="0">
        <v>81</v>
      </c>
      <c r="BJ99" t="s" s="0">
        <v>2599</v>
      </c>
      <c r="BK99" t="s" s="195">
        <f>HYPERLINK("http://dx.doi.org/10.1109/ACCESS.2023.3240422","http://dx.doi.org/10.1109/ACCESS.2023.3240422")</f>
        <v>2600</v>
      </c>
      <c r="BL99" t="s" s="0">
        <v>81</v>
      </c>
      <c r="BM99" t="s" s="0">
        <v>81</v>
      </c>
      <c r="BN99" t="s" s="0">
        <v>117</v>
      </c>
      <c r="BO99" t="s" s="0">
        <v>712</v>
      </c>
      <c r="BP99" t="s" s="0">
        <v>713</v>
      </c>
      <c r="BQ99" t="s" s="0">
        <v>2601</v>
      </c>
      <c r="BR99" t="s" s="0">
        <v>81</v>
      </c>
      <c r="BS99" t="s" s="0">
        <v>2602</v>
      </c>
      <c r="BT99" t="s" s="196">
        <f>HYPERLINK("https://www.webofscience.com/wos/woscc/full-record/WOS:000927891500001","View Record in Web of Science")</f>
        <v>123</v>
      </c>
      <c r="BU99" t="s" s="0">
        <v>191</v>
      </c>
      <c r="BV99" t="s" s="0">
        <v>81</v>
      </c>
      <c r="BW99" t="s" s="0">
        <v>81</v>
      </c>
      <c r="BX99" t="s" s="0">
        <v>124</v>
      </c>
    </row>
    <row r="100">
      <c r="A100" t="s" s="0">
        <v>77</v>
      </c>
      <c r="B100" t="s" s="0">
        <v>77</v>
      </c>
      <c r="C100" t="s" s="0">
        <v>77</v>
      </c>
      <c r="D100" t="s" s="0">
        <v>77</v>
      </c>
      <c r="E100" t="s" s="0">
        <v>2603</v>
      </c>
      <c r="F100" t="s" s="0">
        <v>2604</v>
      </c>
      <c r="G100" t="s" s="0">
        <v>2605</v>
      </c>
      <c r="H100" t="s" s="0">
        <v>81</v>
      </c>
      <c r="I100" t="s" s="0">
        <v>82</v>
      </c>
      <c r="J100" t="s" s="0">
        <v>2606</v>
      </c>
      <c r="K100" t="s" s="0">
        <v>2607</v>
      </c>
      <c r="L100" t="s" s="0">
        <v>2608</v>
      </c>
      <c r="M100" t="s" s="0">
        <v>2609</v>
      </c>
      <c r="N100" t="s" s="0">
        <v>2610</v>
      </c>
      <c r="O100" t="s" s="0">
        <v>2611</v>
      </c>
      <c r="P100" t="s" s="0">
        <v>2612</v>
      </c>
      <c r="Q100" t="s" s="0">
        <v>90</v>
      </c>
      <c r="R100" t="s" s="0">
        <v>81</v>
      </c>
      <c r="S100" t="s" s="0">
        <v>81</v>
      </c>
      <c r="T100" t="s" s="0">
        <v>81</v>
      </c>
      <c r="U100" t="s" s="0">
        <v>81</v>
      </c>
      <c r="V100" t="s" s="0">
        <v>2613</v>
      </c>
      <c r="W100" t="s" s="0">
        <v>2614</v>
      </c>
      <c r="X100" t="s" s="0">
        <v>81</v>
      </c>
      <c r="Y100" t="s" s="0">
        <v>81</v>
      </c>
      <c r="Z100" t="s" s="0">
        <v>93</v>
      </c>
      <c r="AA100" t="s" s="0">
        <v>94</v>
      </c>
      <c r="AB100" t="s" s="0">
        <v>81</v>
      </c>
      <c r="AC100" t="s" s="0">
        <v>81</v>
      </c>
      <c r="AD100" t="s" s="0">
        <v>81</v>
      </c>
      <c r="AE100" t="s" s="0">
        <v>81</v>
      </c>
      <c r="AF100" t="s" s="0">
        <v>81</v>
      </c>
      <c r="AG100" t="s" s="0">
        <v>2615</v>
      </c>
      <c r="AH100" t="s" s="0">
        <v>81</v>
      </c>
      <c r="AI100" t="s" s="0">
        <v>81</v>
      </c>
      <c r="AJ100" t="s" s="0">
        <v>81</v>
      </c>
      <c r="AK100" t="s" s="0">
        <v>81</v>
      </c>
      <c r="AL100" t="s" s="0">
        <v>1443</v>
      </c>
      <c r="AM100" t="s" s="0">
        <v>77</v>
      </c>
      <c r="AN100" t="s" s="0">
        <v>77</v>
      </c>
      <c r="AO100" t="s" s="0">
        <v>77</v>
      </c>
      <c r="AP100" t="s" s="0">
        <v>77</v>
      </c>
      <c r="AQ100" t="s" s="0">
        <v>140</v>
      </c>
      <c r="AR100" t="s" s="0">
        <v>141</v>
      </c>
      <c r="AS100" t="s" s="0">
        <v>142</v>
      </c>
      <c r="AT100" t="s" s="0">
        <v>2616</v>
      </c>
      <c r="AU100" t="s" s="0">
        <v>2617</v>
      </c>
      <c r="AV100" t="s" s="0">
        <v>81</v>
      </c>
      <c r="AW100" t="s" s="0">
        <v>2618</v>
      </c>
      <c r="AX100" t="s" s="0">
        <v>2619</v>
      </c>
      <c r="AY100" t="s" s="0">
        <v>244</v>
      </c>
      <c r="AZ100" t="s" s="0">
        <v>212</v>
      </c>
      <c r="BA100" t="s" s="0">
        <v>921</v>
      </c>
      <c r="BB100" t="s" s="0">
        <v>81</v>
      </c>
      <c r="BC100" t="s" s="0">
        <v>81</v>
      </c>
      <c r="BD100" t="s" s="0">
        <v>2620</v>
      </c>
      <c r="BE100" t="s" s="0">
        <v>81</v>
      </c>
      <c r="BF100" t="s" s="0">
        <v>81</v>
      </c>
      <c r="BG100" t="s" s="0">
        <v>81</v>
      </c>
      <c r="BH100" t="s" s="0">
        <v>81</v>
      </c>
      <c r="BI100" t="s" s="0">
        <v>2621</v>
      </c>
      <c r="BJ100" t="s" s="0">
        <v>2622</v>
      </c>
      <c r="BK100" t="s" s="197">
        <f>HYPERLINK("http://dx.doi.org/10.1016/j.asoc.2026.115731","http://dx.doi.org/10.1016/j.asoc.2026.115731")</f>
        <v>2623</v>
      </c>
      <c r="BL100" t="s" s="0">
        <v>81</v>
      </c>
      <c r="BM100" t="s" s="0">
        <v>81</v>
      </c>
      <c r="BN100" t="s" s="0">
        <v>405</v>
      </c>
      <c r="BO100" t="s" s="0">
        <v>2254</v>
      </c>
      <c r="BP100" t="s" s="0">
        <v>250</v>
      </c>
      <c r="BQ100" t="s" s="0">
        <v>2624</v>
      </c>
      <c r="BR100" t="s" s="0">
        <v>81</v>
      </c>
      <c r="BS100" t="s" s="0">
        <v>2625</v>
      </c>
      <c r="BT100" t="s" s="198">
        <f>HYPERLINK("https://www.webofscience.com/wos/woscc/full-record/WOS:001800550600001","View Record in Web of Science")</f>
        <v>123</v>
      </c>
      <c r="BU100" t="s" s="0">
        <v>81</v>
      </c>
      <c r="BV100" t="s" s="0">
        <v>81</v>
      </c>
      <c r="BW100" t="s" s="0">
        <v>81</v>
      </c>
      <c r="BX100" t="s" s="0">
        <v>124</v>
      </c>
    </row>
    <row r="101">
      <c r="A101" t="s" s="0">
        <v>77</v>
      </c>
      <c r="B101" t="s" s="0">
        <v>77</v>
      </c>
      <c r="C101" t="s" s="0">
        <v>77</v>
      </c>
      <c r="D101" t="s" s="0">
        <v>77</v>
      </c>
      <c r="E101" t="s" s="0">
        <v>2626</v>
      </c>
      <c r="F101" t="s" s="0">
        <v>2627</v>
      </c>
      <c r="G101" t="s" s="0">
        <v>2628</v>
      </c>
      <c r="H101" t="s" s="0">
        <v>81</v>
      </c>
      <c r="I101" t="s" s="0">
        <v>82</v>
      </c>
      <c r="J101" t="s" s="0">
        <v>2629</v>
      </c>
      <c r="K101" t="s" s="0">
        <v>2630</v>
      </c>
      <c r="L101" t="s" s="0">
        <v>2631</v>
      </c>
      <c r="M101" t="s" s="0">
        <v>2631</v>
      </c>
      <c r="N101" t="s" s="0">
        <v>2632</v>
      </c>
      <c r="O101" t="s" s="0">
        <v>2633</v>
      </c>
      <c r="P101" t="s" s="0">
        <v>2634</v>
      </c>
      <c r="Q101" t="s" s="0">
        <v>90</v>
      </c>
      <c r="R101" t="s" s="0">
        <v>81</v>
      </c>
      <c r="S101" t="s" s="0">
        <v>81</v>
      </c>
      <c r="T101" t="s" s="0">
        <v>81</v>
      </c>
      <c r="U101" t="s" s="0">
        <v>81</v>
      </c>
      <c r="V101" t="s" s="0">
        <v>2635</v>
      </c>
      <c r="W101" t="s" s="0">
        <v>2636</v>
      </c>
      <c r="X101" t="s" s="0">
        <v>81</v>
      </c>
      <c r="Y101" t="s" s="0">
        <v>81</v>
      </c>
      <c r="Z101" t="s" s="0">
        <v>93</v>
      </c>
      <c r="AA101" t="s" s="0">
        <v>94</v>
      </c>
      <c r="AB101" t="s" s="0">
        <v>81</v>
      </c>
      <c r="AC101" t="s" s="0">
        <v>81</v>
      </c>
      <c r="AD101" t="s" s="0">
        <v>81</v>
      </c>
      <c r="AE101" t="s" s="0">
        <v>81</v>
      </c>
      <c r="AF101" t="s" s="0">
        <v>81</v>
      </c>
      <c r="AG101" t="s" s="0">
        <v>2637</v>
      </c>
      <c r="AH101" t="s" s="0">
        <v>2638</v>
      </c>
      <c r="AI101" t="s" s="0">
        <v>2639</v>
      </c>
      <c r="AJ101" t="s" s="0">
        <v>2640</v>
      </c>
      <c r="AK101" t="s" s="0">
        <v>81</v>
      </c>
      <c r="AL101" t="s" s="0">
        <v>390</v>
      </c>
      <c r="AM101" t="s" s="0">
        <v>137</v>
      </c>
      <c r="AN101" t="s" s="0">
        <v>137</v>
      </c>
      <c r="AO101" t="s" s="0">
        <v>183</v>
      </c>
      <c r="AP101" t="s" s="0">
        <v>267</v>
      </c>
      <c r="AQ101" t="s" s="0">
        <v>2641</v>
      </c>
      <c r="AR101" t="s" s="0">
        <v>2642</v>
      </c>
      <c r="AS101" t="s" s="0">
        <v>2643</v>
      </c>
      <c r="AT101" t="s" s="0">
        <v>2644</v>
      </c>
      <c r="AU101" t="s" s="0">
        <v>2645</v>
      </c>
      <c r="AV101" t="s" s="0">
        <v>81</v>
      </c>
      <c r="AW101" t="s" s="0">
        <v>2646</v>
      </c>
      <c r="AX101" t="s" s="0">
        <v>2647</v>
      </c>
      <c r="AY101" t="s" s="0">
        <v>116</v>
      </c>
      <c r="AZ101" t="s" s="0">
        <v>111</v>
      </c>
      <c r="BA101" t="s" s="0">
        <v>676</v>
      </c>
      <c r="BB101" t="s" s="0">
        <v>137</v>
      </c>
      <c r="BC101" t="s" s="0">
        <v>81</v>
      </c>
      <c r="BD101" t="s" s="0">
        <v>81</v>
      </c>
      <c r="BE101" t="s" s="0">
        <v>81</v>
      </c>
      <c r="BF101" t="s" s="0">
        <v>81</v>
      </c>
      <c r="BG101" t="s" s="0">
        <v>2648</v>
      </c>
      <c r="BH101" t="s" s="0">
        <v>2649</v>
      </c>
      <c r="BI101" t="s" s="0">
        <v>81</v>
      </c>
      <c r="BJ101" t="s" s="0">
        <v>2650</v>
      </c>
      <c r="BK101" t="s" s="199">
        <f>HYPERLINK("http://dx.doi.org/10.2298/CSIS241110011Y","http://dx.doi.org/10.2298/CSIS241110011Y")</f>
        <v>2651</v>
      </c>
      <c r="BL101" t="s" s="0">
        <v>81</v>
      </c>
      <c r="BM101" t="s" s="0">
        <v>81</v>
      </c>
      <c r="BN101" t="s" s="0">
        <v>461</v>
      </c>
      <c r="BO101" t="s" s="0">
        <v>2652</v>
      </c>
      <c r="BP101" t="s" s="0">
        <v>250</v>
      </c>
      <c r="BQ101" t="s" s="0">
        <v>2653</v>
      </c>
      <c r="BR101" t="s" s="0">
        <v>81</v>
      </c>
      <c r="BS101" t="s" s="0">
        <v>2654</v>
      </c>
      <c r="BT101" t="s" s="200">
        <f>HYPERLINK("https://www.webofscience.com/wos/woscc/full-record/WOS:001429349700016","View Record in Web of Science")</f>
        <v>123</v>
      </c>
      <c r="BU101" t="s" s="0">
        <v>222</v>
      </c>
      <c r="BV101" t="s" s="0">
        <v>81</v>
      </c>
      <c r="BW101" t="s" s="0">
        <v>81</v>
      </c>
      <c r="BX101" t="s" s="0">
        <v>124</v>
      </c>
    </row>
    <row r="102">
      <c r="A102" t="s" s="0">
        <v>77</v>
      </c>
      <c r="B102" t="s" s="0">
        <v>77</v>
      </c>
      <c r="C102" t="s" s="0">
        <v>77</v>
      </c>
      <c r="D102" t="s" s="0">
        <v>77</v>
      </c>
      <c r="E102" t="s" s="0">
        <v>2655</v>
      </c>
      <c r="F102" t="s" s="0">
        <v>2656</v>
      </c>
      <c r="G102" t="s" s="0">
        <v>2657</v>
      </c>
      <c r="H102" t="s" s="0">
        <v>81</v>
      </c>
      <c r="I102" t="s" s="0">
        <v>82</v>
      </c>
      <c r="J102" t="s" s="0">
        <v>2658</v>
      </c>
      <c r="K102" t="s" s="0">
        <v>2659</v>
      </c>
      <c r="L102" t="s" s="0">
        <v>2660</v>
      </c>
      <c r="M102" t="s" s="0">
        <v>2661</v>
      </c>
      <c r="N102" t="s" s="0">
        <v>2662</v>
      </c>
      <c r="O102" t="s" s="0">
        <v>2663</v>
      </c>
      <c r="P102" t="s" s="0">
        <v>2664</v>
      </c>
      <c r="Q102" t="s" s="0">
        <v>90</v>
      </c>
      <c r="R102" t="s" s="0">
        <v>81</v>
      </c>
      <c r="S102" t="s" s="0">
        <v>81</v>
      </c>
      <c r="T102" t="s" s="0">
        <v>81</v>
      </c>
      <c r="U102" t="s" s="0">
        <v>81</v>
      </c>
      <c r="V102" t="s" s="0">
        <v>2665</v>
      </c>
      <c r="W102" t="s" s="0">
        <v>2666</v>
      </c>
      <c r="X102" t="s" s="0">
        <v>81</v>
      </c>
      <c r="Y102" t="s" s="0">
        <v>81</v>
      </c>
      <c r="Z102" t="s" s="0">
        <v>93</v>
      </c>
      <c r="AA102" t="s" s="0">
        <v>330</v>
      </c>
      <c r="AB102" t="s" s="0">
        <v>81</v>
      </c>
      <c r="AC102" t="s" s="0">
        <v>81</v>
      </c>
      <c r="AD102" t="s" s="0">
        <v>81</v>
      </c>
      <c r="AE102" t="s" s="0">
        <v>81</v>
      </c>
      <c r="AF102" t="s" s="0">
        <v>81</v>
      </c>
      <c r="AG102" t="s" s="0">
        <v>2667</v>
      </c>
      <c r="AH102" t="s" s="0">
        <v>2668</v>
      </c>
      <c r="AI102" t="s" s="0">
        <v>81</v>
      </c>
      <c r="AJ102" t="s" s="0">
        <v>81</v>
      </c>
      <c r="AK102" t="s" s="0">
        <v>81</v>
      </c>
      <c r="AL102" t="s" s="0">
        <v>207</v>
      </c>
      <c r="AM102" t="s" s="0">
        <v>77</v>
      </c>
      <c r="AN102" t="s" s="0">
        <v>77</v>
      </c>
      <c r="AO102" t="s" s="0">
        <v>77</v>
      </c>
      <c r="AP102" t="s" s="0">
        <v>77</v>
      </c>
      <c r="AQ102" t="s" s="0">
        <v>505</v>
      </c>
      <c r="AR102" t="s" s="0">
        <v>506</v>
      </c>
      <c r="AS102" t="s" s="0">
        <v>507</v>
      </c>
      <c r="AT102" t="s" s="0">
        <v>2669</v>
      </c>
      <c r="AU102" t="s" s="0">
        <v>2670</v>
      </c>
      <c r="AV102" t="s" s="0">
        <v>81</v>
      </c>
      <c r="AW102" t="s" s="0">
        <v>2671</v>
      </c>
      <c r="AX102" t="s" s="0">
        <v>2672</v>
      </c>
      <c r="AY102" t="s" s="0">
        <v>81</v>
      </c>
      <c r="AZ102" t="s" s="0">
        <v>212</v>
      </c>
      <c r="BA102" t="s" s="0">
        <v>81</v>
      </c>
      <c r="BB102" t="s" s="0">
        <v>81</v>
      </c>
      <c r="BC102" t="s" s="0">
        <v>81</v>
      </c>
      <c r="BD102" t="s" s="0">
        <v>81</v>
      </c>
      <c r="BE102" t="s" s="0">
        <v>81</v>
      </c>
      <c r="BF102" t="s" s="0">
        <v>81</v>
      </c>
      <c r="BG102" t="s" s="0">
        <v>81</v>
      </c>
      <c r="BH102" t="s" s="0">
        <v>81</v>
      </c>
      <c r="BI102" t="s" s="0">
        <v>81</v>
      </c>
      <c r="BJ102" t="s" s="0">
        <v>2673</v>
      </c>
      <c r="BK102" t="s" s="201">
        <f>HYPERLINK("http://dx.doi.org/10.1007/s11307-026-02114-8","http://dx.doi.org/10.1007/s11307-026-02114-8")</f>
        <v>2674</v>
      </c>
      <c r="BL102" t="s" s="0">
        <v>81</v>
      </c>
      <c r="BM102" t="s" s="0">
        <v>827</v>
      </c>
      <c r="BN102" t="s" s="0">
        <v>117</v>
      </c>
      <c r="BO102" t="s" s="0">
        <v>519</v>
      </c>
      <c r="BP102" t="s" s="0">
        <v>519</v>
      </c>
      <c r="BQ102" t="s" s="0">
        <v>2675</v>
      </c>
      <c r="BR102" t="s" s="0">
        <v>2676</v>
      </c>
      <c r="BS102" t="s" s="0">
        <v>2677</v>
      </c>
      <c r="BT102" t="s" s="202">
        <f>HYPERLINK("https://www.webofscience.com/wos/woscc/full-record/WOS:001815412200001","View Record in Web of Science")</f>
        <v>123</v>
      </c>
      <c r="BU102" t="s" s="0">
        <v>81</v>
      </c>
      <c r="BV102" t="s" s="0">
        <v>81</v>
      </c>
      <c r="BW102" t="s" s="0">
        <v>81</v>
      </c>
      <c r="BX102" t="s" s="0">
        <v>124</v>
      </c>
    </row>
    <row r="103">
      <c r="A103" t="s" s="0">
        <v>77</v>
      </c>
      <c r="B103" t="s" s="0">
        <v>77</v>
      </c>
      <c r="C103" t="s" s="0">
        <v>101</v>
      </c>
      <c r="D103" t="s" s="0">
        <v>77</v>
      </c>
      <c r="E103" t="s" s="0">
        <v>2678</v>
      </c>
      <c r="F103" t="s" s="0">
        <v>2679</v>
      </c>
      <c r="G103" t="s" s="0">
        <v>2680</v>
      </c>
      <c r="H103" t="s" s="0">
        <v>81</v>
      </c>
      <c r="I103" t="s" s="0">
        <v>82</v>
      </c>
      <c r="J103" t="s" s="0">
        <v>2681</v>
      </c>
      <c r="K103" t="s" s="0">
        <v>2682</v>
      </c>
      <c r="L103" t="s" s="0">
        <v>2683</v>
      </c>
      <c r="M103" t="s" s="0">
        <v>2683</v>
      </c>
      <c r="N103" t="s" s="0">
        <v>2684</v>
      </c>
      <c r="O103" t="s" s="0">
        <v>2685</v>
      </c>
      <c r="P103" t="s" s="0">
        <v>2686</v>
      </c>
      <c r="Q103" t="s" s="0">
        <v>90</v>
      </c>
      <c r="R103" t="s" s="0">
        <v>81</v>
      </c>
      <c r="S103" t="s" s="0">
        <v>81</v>
      </c>
      <c r="T103" t="s" s="0">
        <v>81</v>
      </c>
      <c r="U103" t="s" s="0">
        <v>81</v>
      </c>
      <c r="V103" t="s" s="0">
        <v>2687</v>
      </c>
      <c r="W103" t="s" s="0">
        <v>167</v>
      </c>
      <c r="X103" t="s" s="0">
        <v>81</v>
      </c>
      <c r="Y103" t="s" s="0">
        <v>81</v>
      </c>
      <c r="Z103" t="s" s="0">
        <v>93</v>
      </c>
      <c r="AA103" t="s" s="0">
        <v>94</v>
      </c>
      <c r="AB103" t="s" s="0">
        <v>81</v>
      </c>
      <c r="AC103" t="s" s="0">
        <v>81</v>
      </c>
      <c r="AD103" t="s" s="0">
        <v>81</v>
      </c>
      <c r="AE103" t="s" s="0">
        <v>81</v>
      </c>
      <c r="AF103" t="s" s="0">
        <v>81</v>
      </c>
      <c r="AG103" t="s" s="0">
        <v>2688</v>
      </c>
      <c r="AH103" t="s" s="0">
        <v>1063</v>
      </c>
      <c r="AI103" t="s" s="0">
        <v>81</v>
      </c>
      <c r="AJ103" t="s" s="0">
        <v>2689</v>
      </c>
      <c r="AK103" t="s" s="0">
        <v>81</v>
      </c>
      <c r="AL103" t="s" s="0">
        <v>619</v>
      </c>
      <c r="AM103" t="s" s="0">
        <v>117</v>
      </c>
      <c r="AN103" t="s" s="0">
        <v>117</v>
      </c>
      <c r="AO103" t="s" s="0">
        <v>652</v>
      </c>
      <c r="AP103" t="s" s="0">
        <v>2520</v>
      </c>
      <c r="AQ103" t="s" s="0">
        <v>174</v>
      </c>
      <c r="AR103" t="s" s="0">
        <v>175</v>
      </c>
      <c r="AS103" t="s" s="0">
        <v>208</v>
      </c>
      <c r="AT103" t="s" s="0">
        <v>177</v>
      </c>
      <c r="AU103" t="s" s="0">
        <v>81</v>
      </c>
      <c r="AV103" t="s" s="0">
        <v>81</v>
      </c>
      <c r="AW103" t="s" s="0">
        <v>178</v>
      </c>
      <c r="AX103" t="s" s="0">
        <v>179</v>
      </c>
      <c r="AY103" t="s" s="0">
        <v>2690</v>
      </c>
      <c r="AZ103" t="s" s="0">
        <v>111</v>
      </c>
      <c r="BA103" t="s" s="0">
        <v>213</v>
      </c>
      <c r="BB103" t="s" s="0">
        <v>183</v>
      </c>
      <c r="BC103" t="s" s="0">
        <v>81</v>
      </c>
      <c r="BD103" t="s" s="0">
        <v>81</v>
      </c>
      <c r="BE103" t="s" s="0">
        <v>81</v>
      </c>
      <c r="BF103" t="s" s="0">
        <v>81</v>
      </c>
      <c r="BG103" t="s" s="0">
        <v>81</v>
      </c>
      <c r="BH103" t="s" s="0">
        <v>81</v>
      </c>
      <c r="BI103" t="s" s="0">
        <v>2691</v>
      </c>
      <c r="BJ103" t="s" s="0">
        <v>2692</v>
      </c>
      <c r="BK103" t="s" s="203">
        <f>HYPERLINK("http://dx.doi.org/10.3390/electronics14071464","http://dx.doi.org/10.3390/electronics14071464")</f>
        <v>2693</v>
      </c>
      <c r="BL103" t="s" s="0">
        <v>81</v>
      </c>
      <c r="BM103" t="s" s="0">
        <v>81</v>
      </c>
      <c r="BN103" t="s" s="0">
        <v>173</v>
      </c>
      <c r="BO103" t="s" s="0">
        <v>187</v>
      </c>
      <c r="BP103" t="s" s="0">
        <v>188</v>
      </c>
      <c r="BQ103" t="s" s="0">
        <v>2694</v>
      </c>
      <c r="BR103" t="s" s="0">
        <v>81</v>
      </c>
      <c r="BS103" t="s" s="0">
        <v>2695</v>
      </c>
      <c r="BT103" t="s" s="204">
        <f>HYPERLINK("https://www.webofscience.com/wos/woscc/full-record/WOS:001465765400001","View Record in Web of Science")</f>
        <v>123</v>
      </c>
      <c r="BU103" t="s" s="0">
        <v>222</v>
      </c>
      <c r="BV103" t="s" s="0">
        <v>81</v>
      </c>
      <c r="BW103" t="s" s="0">
        <v>81</v>
      </c>
      <c r="BX103" t="s" s="0">
        <v>124</v>
      </c>
    </row>
    <row r="104">
      <c r="A104" t="s" s="0">
        <v>77</v>
      </c>
      <c r="B104" t="s" s="0">
        <v>77</v>
      </c>
      <c r="C104" t="s" s="0">
        <v>77</v>
      </c>
      <c r="D104" t="s" s="0">
        <v>77</v>
      </c>
      <c r="E104" t="s" s="0">
        <v>2696</v>
      </c>
      <c r="F104" t="s" s="0">
        <v>2697</v>
      </c>
      <c r="G104" t="s" s="0">
        <v>2698</v>
      </c>
      <c r="H104" t="s" s="0">
        <v>81</v>
      </c>
      <c r="I104" t="s" s="0">
        <v>82</v>
      </c>
      <c r="J104" t="s" s="0">
        <v>2699</v>
      </c>
      <c r="K104" t="s" s="0">
        <v>2700</v>
      </c>
      <c r="L104" t="s" s="0">
        <v>2701</v>
      </c>
      <c r="M104" t="s" s="0">
        <v>2702</v>
      </c>
      <c r="N104" t="s" s="0">
        <v>2703</v>
      </c>
      <c r="O104" t="s" s="0">
        <v>2704</v>
      </c>
      <c r="P104" t="s" s="0">
        <v>2705</v>
      </c>
      <c r="Q104" t="s" s="0">
        <v>90</v>
      </c>
      <c r="R104" t="s" s="0">
        <v>81</v>
      </c>
      <c r="S104" t="s" s="0">
        <v>81</v>
      </c>
      <c r="T104" t="s" s="0">
        <v>81</v>
      </c>
      <c r="U104" t="s" s="0">
        <v>81</v>
      </c>
      <c r="V104" t="s" s="0">
        <v>2706</v>
      </c>
      <c r="W104" t="s" s="0">
        <v>2707</v>
      </c>
      <c r="X104" t="s" s="0">
        <v>81</v>
      </c>
      <c r="Y104" t="s" s="0">
        <v>81</v>
      </c>
      <c r="Z104" t="s" s="0">
        <v>93</v>
      </c>
      <c r="AA104" t="s" s="0">
        <v>94</v>
      </c>
      <c r="AB104" t="s" s="0">
        <v>81</v>
      </c>
      <c r="AC104" t="s" s="0">
        <v>81</v>
      </c>
      <c r="AD104" t="s" s="0">
        <v>81</v>
      </c>
      <c r="AE104" t="s" s="0">
        <v>81</v>
      </c>
      <c r="AF104" t="s" s="0">
        <v>81</v>
      </c>
      <c r="AG104" t="s" s="0">
        <v>2708</v>
      </c>
      <c r="AH104" t="s" s="0">
        <v>81</v>
      </c>
      <c r="AI104" t="s" s="0">
        <v>81</v>
      </c>
      <c r="AJ104" t="s" s="0">
        <v>2709</v>
      </c>
      <c r="AK104" t="s" s="0">
        <v>81</v>
      </c>
      <c r="AL104" t="s" s="0">
        <v>99</v>
      </c>
      <c r="AM104" t="s" s="0">
        <v>100</v>
      </c>
      <c r="AN104" t="s" s="0">
        <v>100</v>
      </c>
      <c r="AO104" t="s" s="0">
        <v>301</v>
      </c>
      <c r="AP104" t="s" s="0">
        <v>158</v>
      </c>
      <c r="AQ104" t="s" s="0">
        <v>140</v>
      </c>
      <c r="AR104" t="s" s="0">
        <v>141</v>
      </c>
      <c r="AS104" t="s" s="0">
        <v>142</v>
      </c>
      <c r="AT104" t="s" s="0">
        <v>2710</v>
      </c>
      <c r="AU104" t="s" s="0">
        <v>2711</v>
      </c>
      <c r="AV104" t="s" s="0">
        <v>81</v>
      </c>
      <c r="AW104" t="s" s="0">
        <v>2712</v>
      </c>
      <c r="AX104" t="s" s="0">
        <v>2713</v>
      </c>
      <c r="AY104" t="s" s="0">
        <v>1283</v>
      </c>
      <c r="AZ104" t="s" s="0">
        <v>111</v>
      </c>
      <c r="BA104" t="s" s="0">
        <v>1165</v>
      </c>
      <c r="BB104" t="s" s="0">
        <v>81</v>
      </c>
      <c r="BC104" t="s" s="0">
        <v>81</v>
      </c>
      <c r="BD104" t="s" s="0">
        <v>81</v>
      </c>
      <c r="BE104" t="s" s="0">
        <v>81</v>
      </c>
      <c r="BF104" t="s" s="0">
        <v>81</v>
      </c>
      <c r="BG104" t="s" s="0">
        <v>81</v>
      </c>
      <c r="BH104" t="s" s="0">
        <v>81</v>
      </c>
      <c r="BI104" t="s" s="0">
        <v>2714</v>
      </c>
      <c r="BJ104" t="s" s="0">
        <v>2715</v>
      </c>
      <c r="BK104" t="s" s="205">
        <f>HYPERLINK("http://dx.doi.org/10.1016/j.ecoinf.2025.103531","http://dx.doi.org/10.1016/j.ecoinf.2025.103531")</f>
        <v>2716</v>
      </c>
      <c r="BL104" t="s" s="0">
        <v>81</v>
      </c>
      <c r="BM104" t="s" s="0">
        <v>1526</v>
      </c>
      <c r="BN104" t="s" s="0">
        <v>117</v>
      </c>
      <c r="BO104" t="s" s="0">
        <v>2717</v>
      </c>
      <c r="BP104" t="s" s="0">
        <v>2718</v>
      </c>
      <c r="BQ104" t="s" s="0">
        <v>2719</v>
      </c>
      <c r="BR104" t="s" s="0">
        <v>81</v>
      </c>
      <c r="BS104" t="s" s="0">
        <v>2720</v>
      </c>
      <c r="BT104" t="s" s="206">
        <f>HYPERLINK("https://www.webofscience.com/wos/woscc/full-record/WOS:001629479300001","View Record in Web of Science")</f>
        <v>123</v>
      </c>
      <c r="BU104" t="s" s="0">
        <v>191</v>
      </c>
      <c r="BV104" t="s" s="0">
        <v>81</v>
      </c>
      <c r="BW104" t="s" s="0">
        <v>81</v>
      </c>
      <c r="BX104" t="s" s="0">
        <v>124</v>
      </c>
    </row>
    <row r="105">
      <c r="A105" t="s" s="0">
        <v>77</v>
      </c>
      <c r="B105" t="s" s="0">
        <v>77</v>
      </c>
      <c r="C105" t="s" s="0">
        <v>137</v>
      </c>
      <c r="D105" t="s" s="0">
        <v>77</v>
      </c>
      <c r="E105" t="s" s="0">
        <v>2721</v>
      </c>
      <c r="F105" t="s" s="0">
        <v>2722</v>
      </c>
      <c r="G105" t="s" s="0">
        <v>2723</v>
      </c>
      <c r="H105" t="s" s="0">
        <v>81</v>
      </c>
      <c r="I105" t="s" s="0">
        <v>2724</v>
      </c>
      <c r="J105" t="s" s="0">
        <v>2725</v>
      </c>
      <c r="K105" t="s" s="0">
        <v>2726</v>
      </c>
      <c r="L105" t="s" s="0">
        <v>2727</v>
      </c>
      <c r="M105" t="s" s="0">
        <v>2728</v>
      </c>
      <c r="N105" t="s" s="0">
        <v>2729</v>
      </c>
      <c r="O105" t="s" s="0">
        <v>2730</v>
      </c>
      <c r="P105" t="s" s="0">
        <v>2731</v>
      </c>
      <c r="Q105" t="s" s="0">
        <v>90</v>
      </c>
      <c r="R105" t="s" s="0">
        <v>81</v>
      </c>
      <c r="S105" t="s" s="0">
        <v>81</v>
      </c>
      <c r="T105" t="s" s="0">
        <v>81</v>
      </c>
      <c r="U105" t="s" s="0">
        <v>81</v>
      </c>
      <c r="V105" t="s" s="0">
        <v>2732</v>
      </c>
      <c r="W105" t="s" s="0">
        <v>2733</v>
      </c>
      <c r="X105" t="s" s="0">
        <v>81</v>
      </c>
      <c r="Y105" t="s" s="0">
        <v>81</v>
      </c>
      <c r="Z105" t="s" s="0">
        <v>93</v>
      </c>
      <c r="AA105" t="s" s="0">
        <v>94</v>
      </c>
      <c r="AB105" t="s" s="0">
        <v>81</v>
      </c>
      <c r="AC105" t="s" s="0">
        <v>81</v>
      </c>
      <c r="AD105" t="s" s="0">
        <v>81</v>
      </c>
      <c r="AE105" t="s" s="0">
        <v>81</v>
      </c>
      <c r="AF105" t="s" s="0">
        <v>81</v>
      </c>
      <c r="AG105" t="s" s="0">
        <v>2734</v>
      </c>
      <c r="AH105" t="s" s="0">
        <v>2735</v>
      </c>
      <c r="AI105" t="s" s="0">
        <v>81</v>
      </c>
      <c r="AJ105" t="s" s="0">
        <v>2736</v>
      </c>
      <c r="AK105" t="s" s="0">
        <v>81</v>
      </c>
      <c r="AL105" t="s" s="0">
        <v>595</v>
      </c>
      <c r="AM105" t="s" s="0">
        <v>101</v>
      </c>
      <c r="AN105" t="s" s="0">
        <v>101</v>
      </c>
      <c r="AO105" t="s" s="0">
        <v>77</v>
      </c>
      <c r="AP105" t="s" s="0">
        <v>1110</v>
      </c>
      <c r="AQ105" t="s" s="0">
        <v>421</v>
      </c>
      <c r="AR105" t="s" s="0">
        <v>422</v>
      </c>
      <c r="AS105" t="s" s="0">
        <v>423</v>
      </c>
      <c r="AT105" t="s" s="0">
        <v>81</v>
      </c>
      <c r="AU105" t="s" s="0">
        <v>2737</v>
      </c>
      <c r="AV105" t="s" s="0">
        <v>81</v>
      </c>
      <c r="AW105" t="s" s="0">
        <v>2738</v>
      </c>
      <c r="AX105" t="s" s="0">
        <v>2739</v>
      </c>
      <c r="AY105" t="s" s="0">
        <v>2740</v>
      </c>
      <c r="AZ105" t="s" s="0">
        <v>678</v>
      </c>
      <c r="BA105" t="s" s="0">
        <v>172</v>
      </c>
      <c r="BB105" t="s" s="0">
        <v>81</v>
      </c>
      <c r="BC105" t="s" s="0">
        <v>81</v>
      </c>
      <c r="BD105" t="s" s="0">
        <v>81</v>
      </c>
      <c r="BE105" t="s" s="0">
        <v>81</v>
      </c>
      <c r="BF105" t="s" s="0">
        <v>81</v>
      </c>
      <c r="BG105" t="s" s="0">
        <v>81</v>
      </c>
      <c r="BH105" t="s" s="0">
        <v>81</v>
      </c>
      <c r="BI105" t="s" s="0">
        <v>2741</v>
      </c>
      <c r="BJ105" t="s" s="0">
        <v>2742</v>
      </c>
      <c r="BK105" t="s" s="207">
        <f>HYPERLINK("http://dx.doi.org/10.3389/fpubh.2022.982289","http://dx.doi.org/10.3389/fpubh.2022.982289")</f>
        <v>2743</v>
      </c>
      <c r="BL105" t="s" s="0">
        <v>81</v>
      </c>
      <c r="BM105" t="s" s="0">
        <v>81</v>
      </c>
      <c r="BN105" t="s" s="0">
        <v>405</v>
      </c>
      <c r="BO105" t="s" s="0">
        <v>2744</v>
      </c>
      <c r="BP105" t="s" s="0">
        <v>2744</v>
      </c>
      <c r="BQ105" t="s" s="0">
        <v>2745</v>
      </c>
      <c r="BR105" t="s" s="0">
        <v>2746</v>
      </c>
      <c r="BS105" t="s" s="0">
        <v>2747</v>
      </c>
      <c r="BT105" t="s" s="208">
        <f>HYPERLINK("https://www.webofscience.com/wos/woscc/full-record/WOS:000893969800001","View Record in Web of Science")</f>
        <v>123</v>
      </c>
      <c r="BU105" t="s" s="0">
        <v>191</v>
      </c>
      <c r="BV105" t="s" s="0">
        <v>81</v>
      </c>
      <c r="BW105" t="s" s="0">
        <v>81</v>
      </c>
      <c r="BX105" t="s" s="0">
        <v>124</v>
      </c>
    </row>
    <row r="106">
      <c r="A106" t="s" s="0">
        <v>101</v>
      </c>
      <c r="B106" t="s" s="0">
        <v>77</v>
      </c>
      <c r="C106" t="s" s="0">
        <v>405</v>
      </c>
      <c r="D106" t="s" s="0">
        <v>77</v>
      </c>
      <c r="E106" t="s" s="0">
        <v>2748</v>
      </c>
      <c r="F106" t="s" s="0">
        <v>2749</v>
      </c>
      <c r="G106" t="s" s="0">
        <v>2750</v>
      </c>
      <c r="H106" t="s" s="0">
        <v>81</v>
      </c>
      <c r="I106" t="s" s="0">
        <v>82</v>
      </c>
      <c r="J106" t="s" s="0">
        <v>2751</v>
      </c>
      <c r="K106" t="s" s="0">
        <v>2752</v>
      </c>
      <c r="L106" t="s" s="0">
        <v>2753</v>
      </c>
      <c r="M106" t="s" s="0">
        <v>2754</v>
      </c>
      <c r="N106" t="s" s="0">
        <v>2755</v>
      </c>
      <c r="O106" t="s" s="0">
        <v>2756</v>
      </c>
      <c r="P106" t="s" s="0">
        <v>2757</v>
      </c>
      <c r="Q106" t="s" s="0">
        <v>90</v>
      </c>
      <c r="R106" t="s" s="0">
        <v>81</v>
      </c>
      <c r="S106" t="s" s="0">
        <v>81</v>
      </c>
      <c r="T106" t="s" s="0">
        <v>81</v>
      </c>
      <c r="U106" t="s" s="0">
        <v>81</v>
      </c>
      <c r="V106" t="s" s="0">
        <v>2758</v>
      </c>
      <c r="W106" t="s" s="0">
        <v>2759</v>
      </c>
      <c r="X106" t="s" s="0">
        <v>81</v>
      </c>
      <c r="Y106" t="s" s="0">
        <v>81</v>
      </c>
      <c r="Z106" t="s" s="0">
        <v>93</v>
      </c>
      <c r="AA106" t="s" s="0">
        <v>94</v>
      </c>
      <c r="AB106" t="s" s="0">
        <v>81</v>
      </c>
      <c r="AC106" t="s" s="0">
        <v>81</v>
      </c>
      <c r="AD106" t="s" s="0">
        <v>81</v>
      </c>
      <c r="AE106" t="s" s="0">
        <v>81</v>
      </c>
      <c r="AF106" t="s" s="0">
        <v>81</v>
      </c>
      <c r="AG106" t="s" s="0">
        <v>2760</v>
      </c>
      <c r="AH106" t="s" s="0">
        <v>81</v>
      </c>
      <c r="AI106" t="s" s="0">
        <v>81</v>
      </c>
      <c r="AJ106" t="s" s="0">
        <v>81</v>
      </c>
      <c r="AK106" t="s" s="0">
        <v>81</v>
      </c>
      <c r="AL106" t="s" s="0">
        <v>1217</v>
      </c>
      <c r="AM106" t="s" s="0">
        <v>851</v>
      </c>
      <c r="AN106" t="s" s="0">
        <v>1217</v>
      </c>
      <c r="AO106" t="s" s="0">
        <v>101</v>
      </c>
      <c r="AP106" t="s" s="0">
        <v>2520</v>
      </c>
      <c r="AQ106" t="s" s="0">
        <v>2761</v>
      </c>
      <c r="AR106" t="s" s="0">
        <v>787</v>
      </c>
      <c r="AS106" t="s" s="0">
        <v>2762</v>
      </c>
      <c r="AT106" t="s" s="0">
        <v>2763</v>
      </c>
      <c r="AU106" t="s" s="0">
        <v>2764</v>
      </c>
      <c r="AV106" t="s" s="0">
        <v>81</v>
      </c>
      <c r="AW106" t="s" s="0">
        <v>2765</v>
      </c>
      <c r="AX106" t="s" s="0">
        <v>2766</v>
      </c>
      <c r="AY106" t="s" s="0">
        <v>2767</v>
      </c>
      <c r="AZ106" t="s" s="0">
        <v>181</v>
      </c>
      <c r="BA106" t="s" s="0">
        <v>275</v>
      </c>
      <c r="BB106" t="s" s="0">
        <v>333</v>
      </c>
      <c r="BC106" t="s" s="0">
        <v>81</v>
      </c>
      <c r="BD106" t="s" s="0">
        <v>81</v>
      </c>
      <c r="BE106" t="s" s="0">
        <v>81</v>
      </c>
      <c r="BF106" t="s" s="0">
        <v>81</v>
      </c>
      <c r="BG106" t="s" s="0">
        <v>81</v>
      </c>
      <c r="BH106" t="s" s="0">
        <v>81</v>
      </c>
      <c r="BI106" t="s" s="0">
        <v>2768</v>
      </c>
      <c r="BJ106" t="s" s="0">
        <v>2769</v>
      </c>
      <c r="BK106" t="s" s="209">
        <f>HYPERLINK("http://dx.doi.org/10.1093/bib/bbad397","http://dx.doi.org/10.1093/bib/bbad397")</f>
        <v>2770</v>
      </c>
      <c r="BL106" t="s" s="0">
        <v>81</v>
      </c>
      <c r="BM106" t="s" s="0">
        <v>81</v>
      </c>
      <c r="BN106" t="s" s="0">
        <v>152</v>
      </c>
      <c r="BO106" t="s" s="0">
        <v>2771</v>
      </c>
      <c r="BP106" t="s" s="0">
        <v>2772</v>
      </c>
      <c r="BQ106" t="s" s="0">
        <v>2773</v>
      </c>
      <c r="BR106" t="s" s="0">
        <v>2774</v>
      </c>
      <c r="BS106" t="s" s="0">
        <v>2775</v>
      </c>
      <c r="BT106" t="s" s="210">
        <f>HYPERLINK("https://www.webofscience.com/wos/woscc/full-record/WOS:001136371500063","View Record in Web of Science")</f>
        <v>123</v>
      </c>
      <c r="BU106" t="s" s="0">
        <v>81</v>
      </c>
      <c r="BV106" t="s" s="0">
        <v>81</v>
      </c>
      <c r="BW106" t="s" s="0">
        <v>81</v>
      </c>
      <c r="BX106" t="s" s="0">
        <v>124</v>
      </c>
    </row>
    <row r="107">
      <c r="A107" t="s" s="0">
        <v>77</v>
      </c>
      <c r="B107" t="s" s="0">
        <v>77</v>
      </c>
      <c r="C107" t="s" s="0">
        <v>77</v>
      </c>
      <c r="D107" t="s" s="0">
        <v>77</v>
      </c>
      <c r="E107" t="s" s="0">
        <v>2776</v>
      </c>
      <c r="F107" t="s" s="0">
        <v>2777</v>
      </c>
      <c r="G107" t="s" s="0">
        <v>2778</v>
      </c>
      <c r="H107" t="s" s="0">
        <v>81</v>
      </c>
      <c r="I107" t="s" s="0">
        <v>82</v>
      </c>
      <c r="J107" t="s" s="0">
        <v>2779</v>
      </c>
      <c r="K107" t="s" s="0">
        <v>2780</v>
      </c>
      <c r="L107" t="s" s="0">
        <v>2781</v>
      </c>
      <c r="M107" t="s" s="0">
        <v>199</v>
      </c>
      <c r="N107" t="s" s="0">
        <v>2782</v>
      </c>
      <c r="O107" t="s" s="0">
        <v>2783</v>
      </c>
      <c r="P107" t="s" s="0">
        <v>2784</v>
      </c>
      <c r="Q107" t="s" s="0">
        <v>90</v>
      </c>
      <c r="R107" t="s" s="0">
        <v>81</v>
      </c>
      <c r="S107" t="s" s="0">
        <v>81</v>
      </c>
      <c r="T107" t="s" s="0">
        <v>81</v>
      </c>
      <c r="U107" t="s" s="0">
        <v>81</v>
      </c>
      <c r="V107" t="s" s="0">
        <v>2785</v>
      </c>
      <c r="W107" t="s" s="0">
        <v>2786</v>
      </c>
      <c r="X107" t="s" s="0">
        <v>81</v>
      </c>
      <c r="Y107" t="s" s="0">
        <v>81</v>
      </c>
      <c r="Z107" t="s" s="0">
        <v>93</v>
      </c>
      <c r="AA107" t="s" s="0">
        <v>94</v>
      </c>
      <c r="AB107" t="s" s="0">
        <v>81</v>
      </c>
      <c r="AC107" t="s" s="0">
        <v>81</v>
      </c>
      <c r="AD107" t="s" s="0">
        <v>81</v>
      </c>
      <c r="AE107" t="s" s="0">
        <v>81</v>
      </c>
      <c r="AF107" t="s" s="0">
        <v>81</v>
      </c>
      <c r="AG107" t="s" s="0">
        <v>2787</v>
      </c>
      <c r="AH107" t="s" s="0">
        <v>81</v>
      </c>
      <c r="AI107" t="s" s="0">
        <v>81</v>
      </c>
      <c r="AJ107" t="s" s="0">
        <v>81</v>
      </c>
      <c r="AK107" t="s" s="0">
        <v>81</v>
      </c>
      <c r="AL107" t="s" s="0">
        <v>785</v>
      </c>
      <c r="AM107" t="s" s="0">
        <v>77</v>
      </c>
      <c r="AN107" t="s" s="0">
        <v>77</v>
      </c>
      <c r="AO107" t="s" s="0">
        <v>101</v>
      </c>
      <c r="AP107" t="s" s="0">
        <v>101</v>
      </c>
      <c r="AQ107" t="s" s="0">
        <v>588</v>
      </c>
      <c r="AR107" t="s" s="0">
        <v>589</v>
      </c>
      <c r="AS107" t="s" s="0">
        <v>590</v>
      </c>
      <c r="AT107" t="s" s="0">
        <v>2788</v>
      </c>
      <c r="AU107" t="s" s="0">
        <v>2789</v>
      </c>
      <c r="AV107" t="s" s="0">
        <v>81</v>
      </c>
      <c r="AW107" t="s" s="0">
        <v>2790</v>
      </c>
      <c r="AX107" t="s" s="0">
        <v>2791</v>
      </c>
      <c r="AY107" t="s" s="0">
        <v>212</v>
      </c>
      <c r="AZ107" t="s" s="0">
        <v>212</v>
      </c>
      <c r="BA107" t="s" s="0">
        <v>652</v>
      </c>
      <c r="BB107" t="s" s="0">
        <v>81</v>
      </c>
      <c r="BC107" t="s" s="0">
        <v>81</v>
      </c>
      <c r="BD107" t="s" s="0">
        <v>81</v>
      </c>
      <c r="BE107" t="s" s="0">
        <v>81</v>
      </c>
      <c r="BF107" t="s" s="0">
        <v>81</v>
      </c>
      <c r="BG107" t="s" s="0">
        <v>2792</v>
      </c>
      <c r="BH107" t="s" s="0">
        <v>2793</v>
      </c>
      <c r="BI107" t="s" s="0">
        <v>81</v>
      </c>
      <c r="BJ107" t="s" s="0">
        <v>2794</v>
      </c>
      <c r="BK107" t="s" s="211">
        <f>HYPERLINK("http://dx.doi.org/10.1109/JSTARS.2026.3680135","http://dx.doi.org/10.1109/JSTARS.2026.3680135")</f>
        <v>2795</v>
      </c>
      <c r="BL107" t="s" s="0">
        <v>81</v>
      </c>
      <c r="BM107" t="s" s="0">
        <v>81</v>
      </c>
      <c r="BN107" t="s" s="0">
        <v>102</v>
      </c>
      <c r="BO107" t="s" s="0">
        <v>2796</v>
      </c>
      <c r="BP107" t="s" s="0">
        <v>2797</v>
      </c>
      <c r="BQ107" t="s" s="0">
        <v>2798</v>
      </c>
      <c r="BR107" t="s" s="0">
        <v>81</v>
      </c>
      <c r="BS107" t="s" s="0">
        <v>2799</v>
      </c>
      <c r="BT107" t="s" s="212">
        <f>HYPERLINK("https://www.webofscience.com/wos/woscc/full-record/WOS:001746920600025","View Record in Web of Science")</f>
        <v>123</v>
      </c>
      <c r="BU107" t="s" s="0">
        <v>191</v>
      </c>
      <c r="BV107" t="s" s="0">
        <v>81</v>
      </c>
      <c r="BW107" t="s" s="0">
        <v>81</v>
      </c>
      <c r="BX107" t="s" s="0">
        <v>124</v>
      </c>
    </row>
    <row r="108">
      <c r="A108" t="s" s="0">
        <v>77</v>
      </c>
      <c r="B108" t="s" s="0">
        <v>77</v>
      </c>
      <c r="C108" t="s" s="0">
        <v>301</v>
      </c>
      <c r="D108" t="s" s="0">
        <v>77</v>
      </c>
      <c r="E108" t="s" s="0">
        <v>2800</v>
      </c>
      <c r="F108" t="s" s="0">
        <v>2801</v>
      </c>
      <c r="G108" t="s" s="0">
        <v>2802</v>
      </c>
      <c r="H108" t="s" s="0">
        <v>81</v>
      </c>
      <c r="I108" t="s" s="0">
        <v>82</v>
      </c>
      <c r="J108" t="s" s="0">
        <v>2803</v>
      </c>
      <c r="K108" t="s" s="0">
        <v>2804</v>
      </c>
      <c r="L108" t="s" s="0">
        <v>2805</v>
      </c>
      <c r="M108" t="s" s="0">
        <v>199</v>
      </c>
      <c r="N108" t="s" s="0">
        <v>2806</v>
      </c>
      <c r="O108" t="s" s="0">
        <v>2807</v>
      </c>
      <c r="P108" t="s" s="0">
        <v>2808</v>
      </c>
      <c r="Q108" t="s" s="0">
        <v>90</v>
      </c>
      <c r="R108" t="s" s="0">
        <v>81</v>
      </c>
      <c r="S108" t="s" s="0">
        <v>81</v>
      </c>
      <c r="T108" t="s" s="0">
        <v>81</v>
      </c>
      <c r="U108" t="s" s="0">
        <v>81</v>
      </c>
      <c r="V108" t="s" s="0">
        <v>2809</v>
      </c>
      <c r="W108" t="s" s="0">
        <v>2810</v>
      </c>
      <c r="X108" t="s" s="0">
        <v>81</v>
      </c>
      <c r="Y108" t="s" s="0">
        <v>81</v>
      </c>
      <c r="Z108" t="s" s="0">
        <v>93</v>
      </c>
      <c r="AA108" t="s" s="0">
        <v>94</v>
      </c>
      <c r="AB108" t="s" s="0">
        <v>81</v>
      </c>
      <c r="AC108" t="s" s="0">
        <v>81</v>
      </c>
      <c r="AD108" t="s" s="0">
        <v>81</v>
      </c>
      <c r="AE108" t="s" s="0">
        <v>81</v>
      </c>
      <c r="AF108" t="s" s="0">
        <v>81</v>
      </c>
      <c r="AG108" t="s" s="0">
        <v>2811</v>
      </c>
      <c r="AH108" t="s" s="0">
        <v>2812</v>
      </c>
      <c r="AI108" t="s" s="0">
        <v>2813</v>
      </c>
      <c r="AJ108" t="s" s="0">
        <v>2814</v>
      </c>
      <c r="AK108" t="s" s="0">
        <v>81</v>
      </c>
      <c r="AL108" t="s" s="0">
        <v>171</v>
      </c>
      <c r="AM108" t="s" s="0">
        <v>676</v>
      </c>
      <c r="AN108" t="s" s="0">
        <v>895</v>
      </c>
      <c r="AO108" t="s" s="0">
        <v>101</v>
      </c>
      <c r="AP108" t="s" s="0">
        <v>2596</v>
      </c>
      <c r="AQ108" t="s" s="0">
        <v>588</v>
      </c>
      <c r="AR108" t="s" s="0">
        <v>589</v>
      </c>
      <c r="AS108" t="s" s="0">
        <v>590</v>
      </c>
      <c r="AT108" t="s" s="0">
        <v>2815</v>
      </c>
      <c r="AU108" t="s" s="0">
        <v>81</v>
      </c>
      <c r="AV108" t="s" s="0">
        <v>81</v>
      </c>
      <c r="AW108" t="s" s="0">
        <v>2816</v>
      </c>
      <c r="AX108" t="s" s="0">
        <v>2817</v>
      </c>
      <c r="AY108" t="s" s="0">
        <v>2818</v>
      </c>
      <c r="AZ108" t="s" s="0">
        <v>181</v>
      </c>
      <c r="BA108" t="s" s="0">
        <v>172</v>
      </c>
      <c r="BB108" t="s" s="0">
        <v>117</v>
      </c>
      <c r="BC108" t="s" s="0">
        <v>81</v>
      </c>
      <c r="BD108" t="s" s="0">
        <v>81</v>
      </c>
      <c r="BE108" t="s" s="0">
        <v>81</v>
      </c>
      <c r="BF108" t="s" s="0">
        <v>81</v>
      </c>
      <c r="BG108" t="s" s="0">
        <v>2819</v>
      </c>
      <c r="BH108" t="s" s="0">
        <v>2820</v>
      </c>
      <c r="BI108" t="s" s="0">
        <v>81</v>
      </c>
      <c r="BJ108" t="s" s="0">
        <v>2821</v>
      </c>
      <c r="BK108" t="s" s="213">
        <f>HYPERLINK("http://dx.doi.org/10.1109/JIOT.2023.3245067","http://dx.doi.org/10.1109/JIOT.2023.3245067")</f>
        <v>2822</v>
      </c>
      <c r="BL108" t="s" s="0">
        <v>81</v>
      </c>
      <c r="BM108" t="s" s="0">
        <v>81</v>
      </c>
      <c r="BN108" t="s" s="0">
        <v>172</v>
      </c>
      <c r="BO108" t="s" s="0">
        <v>712</v>
      </c>
      <c r="BP108" t="s" s="0">
        <v>713</v>
      </c>
      <c r="BQ108" t="s" s="0">
        <v>2823</v>
      </c>
      <c r="BR108" t="s" s="0">
        <v>81</v>
      </c>
      <c r="BS108" t="s" s="0">
        <v>2824</v>
      </c>
      <c r="BT108" t="s" s="214">
        <f>HYPERLINK("https://www.webofscience.com/wos/woscc/full-record/WOS:001018925700025","View Record in Web of Science")</f>
        <v>123</v>
      </c>
      <c r="BU108" t="s" s="0">
        <v>81</v>
      </c>
      <c r="BV108" t="s" s="0">
        <v>81</v>
      </c>
      <c r="BW108" t="s" s="0">
        <v>81</v>
      </c>
      <c r="BX108" t="s" s="0">
        <v>124</v>
      </c>
    </row>
    <row r="109">
      <c r="A109" t="s" s="0">
        <v>137</v>
      </c>
      <c r="B109" t="s" s="0">
        <v>77</v>
      </c>
      <c r="C109" t="s" s="0">
        <v>137</v>
      </c>
      <c r="D109" t="s" s="0">
        <v>77</v>
      </c>
      <c r="E109" t="s" s="0">
        <v>2825</v>
      </c>
      <c r="F109" t="s" s="0">
        <v>2826</v>
      </c>
      <c r="G109" t="s" s="0">
        <v>2827</v>
      </c>
      <c r="H109" t="s" s="0">
        <v>81</v>
      </c>
      <c r="I109" t="s" s="0">
        <v>82</v>
      </c>
      <c r="J109" t="s" s="0">
        <v>2828</v>
      </c>
      <c r="K109" t="s" s="0">
        <v>2829</v>
      </c>
      <c r="L109" t="s" s="0">
        <v>2830</v>
      </c>
      <c r="M109" t="s" s="0">
        <v>2831</v>
      </c>
      <c r="N109" t="s" s="0">
        <v>2832</v>
      </c>
      <c r="O109" t="s" s="0">
        <v>2833</v>
      </c>
      <c r="P109" t="s" s="0">
        <v>2834</v>
      </c>
      <c r="Q109" t="s" s="0">
        <v>90</v>
      </c>
      <c r="R109" t="s" s="0">
        <v>81</v>
      </c>
      <c r="S109" t="s" s="0">
        <v>81</v>
      </c>
      <c r="T109" t="s" s="0">
        <v>81</v>
      </c>
      <c r="U109" t="s" s="0">
        <v>81</v>
      </c>
      <c r="V109" t="s" s="0">
        <v>2835</v>
      </c>
      <c r="W109" t="s" s="0">
        <v>1083</v>
      </c>
      <c r="X109" t="s" s="0">
        <v>81</v>
      </c>
      <c r="Y109" t="s" s="0">
        <v>81</v>
      </c>
      <c r="Z109" t="s" s="0">
        <v>93</v>
      </c>
      <c r="AA109" t="s" s="0">
        <v>94</v>
      </c>
      <c r="AB109" t="s" s="0">
        <v>81</v>
      </c>
      <c r="AC109" t="s" s="0">
        <v>81</v>
      </c>
      <c r="AD109" t="s" s="0">
        <v>81</v>
      </c>
      <c r="AE109" t="s" s="0">
        <v>81</v>
      </c>
      <c r="AF109" t="s" s="0">
        <v>81</v>
      </c>
      <c r="AG109" t="s" s="0">
        <v>81</v>
      </c>
      <c r="AH109" t="s" s="0">
        <v>81</v>
      </c>
      <c r="AI109" t="s" s="0">
        <v>2836</v>
      </c>
      <c r="AJ109" t="s" s="0">
        <v>2837</v>
      </c>
      <c r="AK109" t="s" s="0">
        <v>81</v>
      </c>
      <c r="AL109" t="s" s="0">
        <v>1832</v>
      </c>
      <c r="AM109" t="s" s="0">
        <v>405</v>
      </c>
      <c r="AN109" t="s" s="0">
        <v>102</v>
      </c>
      <c r="AO109" t="s" s="0">
        <v>117</v>
      </c>
      <c r="AP109" t="s" s="0">
        <v>390</v>
      </c>
      <c r="AQ109" t="s" s="0">
        <v>302</v>
      </c>
      <c r="AR109" t="s" s="0">
        <v>303</v>
      </c>
      <c r="AS109" t="s" s="0">
        <v>304</v>
      </c>
      <c r="AT109" t="s" s="0">
        <v>1086</v>
      </c>
      <c r="AU109" t="s" s="0">
        <v>81</v>
      </c>
      <c r="AV109" t="s" s="0">
        <v>81</v>
      </c>
      <c r="AW109" t="s" s="0">
        <v>1087</v>
      </c>
      <c r="AX109" t="s" s="0">
        <v>1088</v>
      </c>
      <c r="AY109" t="s" s="0">
        <v>2838</v>
      </c>
      <c r="AZ109" t="s" s="0">
        <v>111</v>
      </c>
      <c r="BA109" t="s" s="0">
        <v>138</v>
      </c>
      <c r="BB109" t="s" s="0">
        <v>137</v>
      </c>
      <c r="BC109" t="s" s="0">
        <v>81</v>
      </c>
      <c r="BD109" t="s" s="0">
        <v>81</v>
      </c>
      <c r="BE109" t="s" s="0">
        <v>81</v>
      </c>
      <c r="BF109" t="s" s="0">
        <v>81</v>
      </c>
      <c r="BG109" t="s" s="0">
        <v>81</v>
      </c>
      <c r="BH109" t="s" s="0">
        <v>81</v>
      </c>
      <c r="BI109" t="s" s="0">
        <v>2839</v>
      </c>
      <c r="BJ109" t="s" s="0">
        <v>2840</v>
      </c>
      <c r="BK109" t="s" s="215">
        <f>HYPERLINK("http://dx.doi.org/10.1038/s41746-025-01903-9","http://dx.doi.org/10.1038/s41746-025-01903-9")</f>
        <v>2841</v>
      </c>
      <c r="BL109" t="s" s="0">
        <v>81</v>
      </c>
      <c r="BM109" t="s" s="0">
        <v>81</v>
      </c>
      <c r="BN109" t="s" s="0">
        <v>172</v>
      </c>
      <c r="BO109" t="s" s="0">
        <v>1093</v>
      </c>
      <c r="BP109" t="s" s="0">
        <v>1093</v>
      </c>
      <c r="BQ109" t="s" s="0">
        <v>2842</v>
      </c>
      <c r="BR109" t="s" s="0">
        <v>2843</v>
      </c>
      <c r="BS109" t="s" s="0">
        <v>2844</v>
      </c>
      <c r="BT109" t="s" s="216">
        <f>HYPERLINK("https://www.webofscience.com/wos/woscc/full-record/WOS:001544479500003","View Record in Web of Science")</f>
        <v>123</v>
      </c>
      <c r="BU109" t="s" s="0">
        <v>191</v>
      </c>
      <c r="BV109" t="s" s="0">
        <v>81</v>
      </c>
      <c r="BW109" t="s" s="0">
        <v>81</v>
      </c>
      <c r="BX109" t="s" s="0">
        <v>124</v>
      </c>
    </row>
    <row r="110">
      <c r="A110" t="s" s="0">
        <v>77</v>
      </c>
      <c r="B110" t="s" s="0">
        <v>77</v>
      </c>
      <c r="C110" t="s" s="0">
        <v>137</v>
      </c>
      <c r="D110" t="s" s="0">
        <v>77</v>
      </c>
      <c r="E110" t="s" s="0">
        <v>2845</v>
      </c>
      <c r="F110" t="s" s="0">
        <v>2846</v>
      </c>
      <c r="G110" t="s" s="0">
        <v>2847</v>
      </c>
      <c r="H110" t="s" s="0">
        <v>81</v>
      </c>
      <c r="I110" t="s" s="0">
        <v>82</v>
      </c>
      <c r="J110" t="s" s="0">
        <v>2848</v>
      </c>
      <c r="K110" t="s" s="0">
        <v>2849</v>
      </c>
      <c r="L110" t="s" s="0">
        <v>81</v>
      </c>
      <c r="M110" t="s" s="0">
        <v>81</v>
      </c>
      <c r="N110" t="s" s="0">
        <v>81</v>
      </c>
      <c r="O110" t="s" s="0">
        <v>2850</v>
      </c>
      <c r="P110" t="s" s="0">
        <v>2851</v>
      </c>
      <c r="Q110" t="s" s="0">
        <v>90</v>
      </c>
      <c r="R110" t="s" s="0">
        <v>81</v>
      </c>
      <c r="S110" t="s" s="0">
        <v>81</v>
      </c>
      <c r="T110" t="s" s="0">
        <v>81</v>
      </c>
      <c r="U110" t="s" s="0">
        <v>81</v>
      </c>
      <c r="V110" t="s" s="0">
        <v>2852</v>
      </c>
      <c r="W110" t="s" s="0">
        <v>2082</v>
      </c>
      <c r="X110" t="s" s="0">
        <v>81</v>
      </c>
      <c r="Y110" t="s" s="0">
        <v>81</v>
      </c>
      <c r="Z110" t="s" s="0">
        <v>93</v>
      </c>
      <c r="AA110" t="s" s="0">
        <v>94</v>
      </c>
      <c r="AB110" t="s" s="0">
        <v>81</v>
      </c>
      <c r="AC110" t="s" s="0">
        <v>81</v>
      </c>
      <c r="AD110" t="s" s="0">
        <v>81</v>
      </c>
      <c r="AE110" t="s" s="0">
        <v>81</v>
      </c>
      <c r="AF110" t="s" s="0">
        <v>81</v>
      </c>
      <c r="AG110" t="s" s="0">
        <v>2853</v>
      </c>
      <c r="AH110" t="s" s="0">
        <v>2854</v>
      </c>
      <c r="AI110" t="s" s="0">
        <v>81</v>
      </c>
      <c r="AJ110" t="s" s="0">
        <v>2855</v>
      </c>
      <c r="AK110" t="s" s="0">
        <v>81</v>
      </c>
      <c r="AL110" t="s" s="0">
        <v>960</v>
      </c>
      <c r="AM110" t="s" s="0">
        <v>152</v>
      </c>
      <c r="AN110" t="s" s="0">
        <v>117</v>
      </c>
      <c r="AO110" t="s" s="0">
        <v>101</v>
      </c>
      <c r="AP110" t="s" s="0">
        <v>217</v>
      </c>
      <c r="AQ110" t="s" s="0">
        <v>588</v>
      </c>
      <c r="AR110" t="s" s="0">
        <v>589</v>
      </c>
      <c r="AS110" t="s" s="0">
        <v>590</v>
      </c>
      <c r="AT110" t="s" s="0">
        <v>2087</v>
      </c>
      <c r="AU110" t="s" s="0">
        <v>81</v>
      </c>
      <c r="AV110" t="s" s="0">
        <v>81</v>
      </c>
      <c r="AW110" t="s" s="0">
        <v>2082</v>
      </c>
      <c r="AX110" t="s" s="0">
        <v>2088</v>
      </c>
      <c r="AY110" t="s" s="0">
        <v>309</v>
      </c>
      <c r="AZ110" t="s" s="0">
        <v>309</v>
      </c>
      <c r="BA110" t="s" s="0">
        <v>182</v>
      </c>
      <c r="BB110" t="s" s="0">
        <v>81</v>
      </c>
      <c r="BC110" t="s" s="0">
        <v>81</v>
      </c>
      <c r="BD110" t="s" s="0">
        <v>81</v>
      </c>
      <c r="BE110" t="s" s="0">
        <v>81</v>
      </c>
      <c r="BF110" t="s" s="0">
        <v>81</v>
      </c>
      <c r="BG110" t="s" s="0">
        <v>2856</v>
      </c>
      <c r="BH110" t="s" s="0">
        <v>2857</v>
      </c>
      <c r="BI110" t="s" s="0">
        <v>81</v>
      </c>
      <c r="BJ110" t="s" s="0">
        <v>2858</v>
      </c>
      <c r="BK110" t="s" s="217">
        <f>HYPERLINK("http://dx.doi.org/10.1109/ACCESS.2024.3420444","http://dx.doi.org/10.1109/ACCESS.2024.3420444")</f>
        <v>2859</v>
      </c>
      <c r="BL110" t="s" s="0">
        <v>81</v>
      </c>
      <c r="BM110" t="s" s="0">
        <v>81</v>
      </c>
      <c r="BN110" t="s" s="0">
        <v>102</v>
      </c>
      <c r="BO110" t="s" s="0">
        <v>712</v>
      </c>
      <c r="BP110" t="s" s="0">
        <v>713</v>
      </c>
      <c r="BQ110" t="s" s="0">
        <v>2860</v>
      </c>
      <c r="BR110" t="s" s="0">
        <v>81</v>
      </c>
      <c r="BS110" t="s" s="0">
        <v>2861</v>
      </c>
      <c r="BT110" t="s" s="218">
        <f>HYPERLINK("https://www.webofscience.com/wos/woscc/full-record/WOS:001263371500001","View Record in Web of Science")</f>
        <v>123</v>
      </c>
      <c r="BU110" t="s" s="0">
        <v>191</v>
      </c>
      <c r="BV110" t="s" s="0">
        <v>81</v>
      </c>
      <c r="BW110" t="s" s="0">
        <v>81</v>
      </c>
      <c r="BX110" t="s" s="0">
        <v>124</v>
      </c>
    </row>
    <row r="111">
      <c r="A111" t="s" s="0">
        <v>77</v>
      </c>
      <c r="B111" t="s" s="0">
        <v>77</v>
      </c>
      <c r="C111" t="s" s="0">
        <v>77</v>
      </c>
      <c r="D111" t="s" s="0">
        <v>77</v>
      </c>
      <c r="E111" t="s" s="0">
        <v>2862</v>
      </c>
      <c r="F111" t="s" s="0">
        <v>2863</v>
      </c>
      <c r="G111" t="s" s="0">
        <v>2864</v>
      </c>
      <c r="H111" t="s" s="0">
        <v>81</v>
      </c>
      <c r="I111" t="s" s="0">
        <v>82</v>
      </c>
      <c r="J111" t="s" s="0">
        <v>2865</v>
      </c>
      <c r="K111" t="s" s="0">
        <v>2866</v>
      </c>
      <c r="L111" t="s" s="0">
        <v>2867</v>
      </c>
      <c r="M111" t="s" s="0">
        <v>2868</v>
      </c>
      <c r="N111" t="s" s="0">
        <v>2869</v>
      </c>
      <c r="O111" t="s" s="0">
        <v>2870</v>
      </c>
      <c r="P111" t="s" s="0">
        <v>2871</v>
      </c>
      <c r="Q111" t="s" s="0">
        <v>90</v>
      </c>
      <c r="R111" t="s" s="0">
        <v>81</v>
      </c>
      <c r="S111" t="s" s="0">
        <v>81</v>
      </c>
      <c r="T111" t="s" s="0">
        <v>81</v>
      </c>
      <c r="U111" t="s" s="0">
        <v>81</v>
      </c>
      <c r="V111" t="s" s="0">
        <v>2872</v>
      </c>
      <c r="W111" t="s" s="0">
        <v>1083</v>
      </c>
      <c r="X111" t="s" s="0">
        <v>81</v>
      </c>
      <c r="Y111" t="s" s="0">
        <v>81</v>
      </c>
      <c r="Z111" t="s" s="0">
        <v>93</v>
      </c>
      <c r="AA111" t="s" s="0">
        <v>94</v>
      </c>
      <c r="AB111" t="s" s="0">
        <v>81</v>
      </c>
      <c r="AC111" t="s" s="0">
        <v>81</v>
      </c>
      <c r="AD111" t="s" s="0">
        <v>81</v>
      </c>
      <c r="AE111" t="s" s="0">
        <v>81</v>
      </c>
      <c r="AF111" t="s" s="0">
        <v>81</v>
      </c>
      <c r="AG111" t="s" s="0">
        <v>81</v>
      </c>
      <c r="AH111" t="s" s="0">
        <v>81</v>
      </c>
      <c r="AI111" t="s" s="0">
        <v>2873</v>
      </c>
      <c r="AJ111" t="s" s="0">
        <v>2874</v>
      </c>
      <c r="AK111" t="s" s="0">
        <v>81</v>
      </c>
      <c r="AL111" t="s" s="0">
        <v>139</v>
      </c>
      <c r="AM111" t="s" s="0">
        <v>301</v>
      </c>
      <c r="AN111" t="s" s="0">
        <v>158</v>
      </c>
      <c r="AO111" t="s" s="0">
        <v>158</v>
      </c>
      <c r="AP111" t="s" s="0">
        <v>333</v>
      </c>
      <c r="AQ111" t="s" s="0">
        <v>302</v>
      </c>
      <c r="AR111" t="s" s="0">
        <v>303</v>
      </c>
      <c r="AS111" t="s" s="0">
        <v>304</v>
      </c>
      <c r="AT111" t="s" s="0">
        <v>1086</v>
      </c>
      <c r="AU111" t="s" s="0">
        <v>81</v>
      </c>
      <c r="AV111" t="s" s="0">
        <v>81</v>
      </c>
      <c r="AW111" t="s" s="0">
        <v>1087</v>
      </c>
      <c r="AX111" t="s" s="0">
        <v>1088</v>
      </c>
      <c r="AY111" t="s" s="0">
        <v>2875</v>
      </c>
      <c r="AZ111" t="s" s="0">
        <v>111</v>
      </c>
      <c r="BA111" t="s" s="0">
        <v>138</v>
      </c>
      <c r="BB111" t="s" s="0">
        <v>137</v>
      </c>
      <c r="BC111" t="s" s="0">
        <v>81</v>
      </c>
      <c r="BD111" t="s" s="0">
        <v>81</v>
      </c>
      <c r="BE111" t="s" s="0">
        <v>81</v>
      </c>
      <c r="BF111" t="s" s="0">
        <v>81</v>
      </c>
      <c r="BG111" t="s" s="0">
        <v>81</v>
      </c>
      <c r="BH111" t="s" s="0">
        <v>81</v>
      </c>
      <c r="BI111" t="s" s="0">
        <v>2876</v>
      </c>
      <c r="BJ111" t="s" s="0">
        <v>2877</v>
      </c>
      <c r="BK111" t="s" s="219">
        <f>HYPERLINK("http://dx.doi.org/10.1038/s41746-025-02144-6","http://dx.doi.org/10.1038/s41746-025-02144-6")</f>
        <v>2878</v>
      </c>
      <c r="BL111" t="s" s="0">
        <v>81</v>
      </c>
      <c r="BM111" t="s" s="0">
        <v>81</v>
      </c>
      <c r="BN111" t="s" s="0">
        <v>399</v>
      </c>
      <c r="BO111" t="s" s="0">
        <v>1093</v>
      </c>
      <c r="BP111" t="s" s="0">
        <v>1093</v>
      </c>
      <c r="BQ111" t="s" s="0">
        <v>2879</v>
      </c>
      <c r="BR111" t="s" s="0">
        <v>2880</v>
      </c>
      <c r="BS111" t="s" s="0">
        <v>2881</v>
      </c>
      <c r="BT111" t="s" s="220">
        <f>HYPERLINK("https://www.webofscience.com/wos/woscc/full-record/WOS:001641099400002","View Record in Web of Science")</f>
        <v>123</v>
      </c>
      <c r="BU111" t="s" s="0">
        <v>191</v>
      </c>
      <c r="BV111" t="s" s="0">
        <v>81</v>
      </c>
      <c r="BW111" t="s" s="0">
        <v>81</v>
      </c>
      <c r="BX111" t="s" s="0">
        <v>124</v>
      </c>
    </row>
    <row r="112">
      <c r="A112" t="s" s="0">
        <v>77</v>
      </c>
      <c r="B112" t="s" s="0">
        <v>77</v>
      </c>
      <c r="C112" t="s" s="0">
        <v>77</v>
      </c>
      <c r="D112" t="s" s="0">
        <v>77</v>
      </c>
      <c r="E112" t="s" s="0">
        <v>2882</v>
      </c>
      <c r="F112" t="s" s="0">
        <v>2883</v>
      </c>
      <c r="G112" t="s" s="0">
        <v>2884</v>
      </c>
      <c r="H112" t="s" s="0">
        <v>81</v>
      </c>
      <c r="I112" t="s" s="0">
        <v>195</v>
      </c>
      <c r="J112" t="s" s="0">
        <v>2885</v>
      </c>
      <c r="K112" t="s" s="0">
        <v>2886</v>
      </c>
      <c r="L112" t="s" s="0">
        <v>2887</v>
      </c>
      <c r="M112" t="s" s="0">
        <v>2888</v>
      </c>
      <c r="N112" t="s" s="0">
        <v>2889</v>
      </c>
      <c r="O112" t="s" s="0">
        <v>2890</v>
      </c>
      <c r="P112" t="s" s="0">
        <v>2891</v>
      </c>
      <c r="Q112" t="s" s="0">
        <v>90</v>
      </c>
      <c r="R112" t="s" s="0">
        <v>81</v>
      </c>
      <c r="S112" t="s" s="0">
        <v>81</v>
      </c>
      <c r="T112" t="s" s="0">
        <v>81</v>
      </c>
      <c r="U112" t="s" s="0">
        <v>81</v>
      </c>
      <c r="V112" t="s" s="0">
        <v>2892</v>
      </c>
      <c r="W112" t="s" s="0">
        <v>2893</v>
      </c>
      <c r="X112" t="s" s="0">
        <v>81</v>
      </c>
      <c r="Y112" t="s" s="0">
        <v>81</v>
      </c>
      <c r="Z112" t="s" s="0">
        <v>93</v>
      </c>
      <c r="AA112" t="s" s="0">
        <v>94</v>
      </c>
      <c r="AB112" t="s" s="0">
        <v>81</v>
      </c>
      <c r="AC112" t="s" s="0">
        <v>81</v>
      </c>
      <c r="AD112" t="s" s="0">
        <v>81</v>
      </c>
      <c r="AE112" t="s" s="0">
        <v>81</v>
      </c>
      <c r="AF112" t="s" s="0">
        <v>81</v>
      </c>
      <c r="AG112" t="s" s="0">
        <v>2894</v>
      </c>
      <c r="AH112" t="s" s="0">
        <v>81</v>
      </c>
      <c r="AI112" t="s" s="0">
        <v>2895</v>
      </c>
      <c r="AJ112" t="s" s="0">
        <v>2896</v>
      </c>
      <c r="AK112" t="s" s="0">
        <v>81</v>
      </c>
      <c r="AL112" t="s" s="0">
        <v>2040</v>
      </c>
      <c r="AM112" t="s" s="0">
        <v>333</v>
      </c>
      <c r="AN112" t="s" s="0">
        <v>333</v>
      </c>
      <c r="AO112" t="s" s="0">
        <v>77</v>
      </c>
      <c r="AP112" t="s" s="0">
        <v>77</v>
      </c>
      <c r="AQ112" t="s" s="0">
        <v>174</v>
      </c>
      <c r="AR112" t="s" s="0">
        <v>175</v>
      </c>
      <c r="AS112" t="s" s="0">
        <v>208</v>
      </c>
      <c r="AT112" t="s" s="0">
        <v>81</v>
      </c>
      <c r="AU112" t="s" s="0">
        <v>2897</v>
      </c>
      <c r="AV112" t="s" s="0">
        <v>81</v>
      </c>
      <c r="AW112" t="s" s="0">
        <v>2898</v>
      </c>
      <c r="AX112" t="s" s="0">
        <v>2899</v>
      </c>
      <c r="AY112" t="s" s="0">
        <v>2900</v>
      </c>
      <c r="AZ112" t="s" s="0">
        <v>111</v>
      </c>
      <c r="BA112" t="s" s="0">
        <v>183</v>
      </c>
      <c r="BB112" t="s" s="0">
        <v>137</v>
      </c>
      <c r="BC112" t="s" s="0">
        <v>81</v>
      </c>
      <c r="BD112" t="s" s="0">
        <v>81</v>
      </c>
      <c r="BE112" t="s" s="0">
        <v>81</v>
      </c>
      <c r="BF112" t="s" s="0">
        <v>81</v>
      </c>
      <c r="BG112" t="s" s="0">
        <v>81</v>
      </c>
      <c r="BH112" t="s" s="0">
        <v>81</v>
      </c>
      <c r="BI112" t="s" s="0">
        <v>895</v>
      </c>
      <c r="BJ112" t="s" s="0">
        <v>2901</v>
      </c>
      <c r="BK112" t="s" s="221">
        <f>HYPERLINK("http://dx.doi.org/10.3390/make7010023","http://dx.doi.org/10.3390/make7010023")</f>
        <v>2902</v>
      </c>
      <c r="BL112" t="s" s="0">
        <v>81</v>
      </c>
      <c r="BM112" t="s" s="0">
        <v>81</v>
      </c>
      <c r="BN112" t="s" s="0">
        <v>566</v>
      </c>
      <c r="BO112" t="s" s="0">
        <v>2903</v>
      </c>
      <c r="BP112" t="s" s="0">
        <v>633</v>
      </c>
      <c r="BQ112" t="s" s="0">
        <v>2904</v>
      </c>
      <c r="BR112" t="s" s="0">
        <v>81</v>
      </c>
      <c r="BS112" t="s" s="0">
        <v>2905</v>
      </c>
      <c r="BT112" t="s" s="222">
        <f>HYPERLINK("https://www.webofscience.com/wos/woscc/full-record/WOS:001452766400001","View Record in Web of Science")</f>
        <v>123</v>
      </c>
      <c r="BU112" t="s" s="0">
        <v>222</v>
      </c>
      <c r="BV112" t="s" s="0">
        <v>81</v>
      </c>
      <c r="BW112" t="s" s="0">
        <v>81</v>
      </c>
      <c r="BX112" t="s" s="0">
        <v>124</v>
      </c>
    </row>
    <row r="113">
      <c r="A113" t="s" s="0">
        <v>137</v>
      </c>
      <c r="B113" t="s" s="0">
        <v>77</v>
      </c>
      <c r="C113" t="s" s="0">
        <v>101</v>
      </c>
      <c r="D113" t="s" s="0">
        <v>77</v>
      </c>
      <c r="E113" t="s" s="0">
        <v>2906</v>
      </c>
      <c r="F113" t="s" s="0">
        <v>2907</v>
      </c>
      <c r="G113" t="s" s="0">
        <v>2908</v>
      </c>
      <c r="H113" t="s" s="0">
        <v>81</v>
      </c>
      <c r="I113" t="s" s="0">
        <v>82</v>
      </c>
      <c r="J113" t="s" s="0">
        <v>2909</v>
      </c>
      <c r="K113" t="s" s="0">
        <v>2910</v>
      </c>
      <c r="L113" t="s" s="0">
        <v>81</v>
      </c>
      <c r="M113" t="s" s="0">
        <v>81</v>
      </c>
      <c r="N113" t="s" s="0">
        <v>81</v>
      </c>
      <c r="O113" t="s" s="0">
        <v>2911</v>
      </c>
      <c r="P113" t="s" s="0">
        <v>2912</v>
      </c>
      <c r="Q113" t="s" s="0">
        <v>90</v>
      </c>
      <c r="R113" t="s" s="0">
        <v>81</v>
      </c>
      <c r="S113" t="s" s="0">
        <v>81</v>
      </c>
      <c r="T113" t="s" s="0">
        <v>81</v>
      </c>
      <c r="U113" t="s" s="0">
        <v>81</v>
      </c>
      <c r="V113" t="s" s="0">
        <v>2913</v>
      </c>
      <c r="W113" t="s" s="0">
        <v>1542</v>
      </c>
      <c r="X113" t="s" s="0">
        <v>81</v>
      </c>
      <c r="Y113" t="s" s="0">
        <v>81</v>
      </c>
      <c r="Z113" t="s" s="0">
        <v>93</v>
      </c>
      <c r="AA113" t="s" s="0">
        <v>94</v>
      </c>
      <c r="AB113" t="s" s="0">
        <v>81</v>
      </c>
      <c r="AC113" t="s" s="0">
        <v>81</v>
      </c>
      <c r="AD113" t="s" s="0">
        <v>81</v>
      </c>
      <c r="AE113" t="s" s="0">
        <v>81</v>
      </c>
      <c r="AF113" t="s" s="0">
        <v>81</v>
      </c>
      <c r="AG113" t="s" s="0">
        <v>81</v>
      </c>
      <c r="AH113" t="s" s="0">
        <v>81</v>
      </c>
      <c r="AI113" t="s" s="0">
        <v>2914</v>
      </c>
      <c r="AJ113" t="s" s="0">
        <v>81</v>
      </c>
      <c r="AK113" t="s" s="0">
        <v>81</v>
      </c>
      <c r="AL113" t="s" s="0">
        <v>173</v>
      </c>
      <c r="AM113" t="s" s="0">
        <v>399</v>
      </c>
      <c r="AN113" t="s" s="0">
        <v>172</v>
      </c>
      <c r="AO113" t="s" s="0">
        <v>301</v>
      </c>
      <c r="AP113" t="s" s="0">
        <v>152</v>
      </c>
      <c r="AQ113" t="s" s="0">
        <v>1544</v>
      </c>
      <c r="AR113" t="s" s="0">
        <v>1545</v>
      </c>
      <c r="AS113" t="s" s="0">
        <v>1546</v>
      </c>
      <c r="AT113" t="s" s="0">
        <v>1547</v>
      </c>
      <c r="AU113" t="s" s="0">
        <v>1548</v>
      </c>
      <c r="AV113" t="s" s="0">
        <v>81</v>
      </c>
      <c r="AW113" t="s" s="0">
        <v>1549</v>
      </c>
      <c r="AX113" t="s" s="0">
        <v>1550</v>
      </c>
      <c r="AY113" t="s" s="0">
        <v>2915</v>
      </c>
      <c r="AZ113" t="s" s="0">
        <v>111</v>
      </c>
      <c r="BA113" t="s" s="0">
        <v>138</v>
      </c>
      <c r="BB113" t="s" s="0">
        <v>81</v>
      </c>
      <c r="BC113" t="s" s="0">
        <v>81</v>
      </c>
      <c r="BD113" t="s" s="0">
        <v>81</v>
      </c>
      <c r="BE113" t="s" s="0">
        <v>81</v>
      </c>
      <c r="BF113" t="s" s="0">
        <v>81</v>
      </c>
      <c r="BG113" t="s" s="0">
        <v>81</v>
      </c>
      <c r="BH113" t="s" s="0">
        <v>81</v>
      </c>
      <c r="BI113" t="s" s="0">
        <v>2916</v>
      </c>
      <c r="BJ113" t="s" s="0">
        <v>2917</v>
      </c>
      <c r="BK113" t="s" s="223">
        <f>HYPERLINK("http://dx.doi.org/10.34133/research.0795","http://dx.doi.org/10.34133/research.0795")</f>
        <v>2918</v>
      </c>
      <c r="BL113" t="s" s="0">
        <v>81</v>
      </c>
      <c r="BM113" t="s" s="0">
        <v>81</v>
      </c>
      <c r="BN113" t="s" s="0">
        <v>138</v>
      </c>
      <c r="BO113" t="s" s="0">
        <v>313</v>
      </c>
      <c r="BP113" t="s" s="0">
        <v>314</v>
      </c>
      <c r="BQ113" t="s" s="0">
        <v>2919</v>
      </c>
      <c r="BR113" t="s" s="0">
        <v>2920</v>
      </c>
      <c r="BS113" t="s" s="0">
        <v>2921</v>
      </c>
      <c r="BT113" t="s" s="224">
        <f>HYPERLINK("https://www.webofscience.com/wos/woscc/full-record/WOS:001543996600001","View Record in Web of Science")</f>
        <v>123</v>
      </c>
      <c r="BU113" t="s" s="0">
        <v>191</v>
      </c>
      <c r="BV113" t="s" s="0">
        <v>81</v>
      </c>
      <c r="BW113" t="s" s="0">
        <v>81</v>
      </c>
      <c r="BX113" t="s" s="0">
        <v>124</v>
      </c>
    </row>
    <row r="114">
      <c r="A114" t="s" s="0">
        <v>77</v>
      </c>
      <c r="B114" t="s" s="0">
        <v>77</v>
      </c>
      <c r="C114" t="s" s="0">
        <v>77</v>
      </c>
      <c r="D114" t="s" s="0">
        <v>77</v>
      </c>
      <c r="E114" t="s" s="0">
        <v>2922</v>
      </c>
      <c r="F114" t="s" s="0">
        <v>2923</v>
      </c>
      <c r="G114" t="s" s="0">
        <v>2924</v>
      </c>
      <c r="H114" t="s" s="0">
        <v>81</v>
      </c>
      <c r="I114" t="s" s="0">
        <v>82</v>
      </c>
      <c r="J114" t="s" s="0">
        <v>2925</v>
      </c>
      <c r="K114" t="s" s="0">
        <v>2926</v>
      </c>
      <c r="L114" t="s" s="0">
        <v>2927</v>
      </c>
      <c r="M114" t="s" s="0">
        <v>2928</v>
      </c>
      <c r="N114" t="s" s="0">
        <v>2929</v>
      </c>
      <c r="O114" t="s" s="0">
        <v>2930</v>
      </c>
      <c r="P114" t="s" s="0">
        <v>2931</v>
      </c>
      <c r="Q114" t="s" s="0">
        <v>90</v>
      </c>
      <c r="R114" t="s" s="0">
        <v>81</v>
      </c>
      <c r="S114" t="s" s="0">
        <v>81</v>
      </c>
      <c r="T114" t="s" s="0">
        <v>81</v>
      </c>
      <c r="U114" t="s" s="0">
        <v>81</v>
      </c>
      <c r="V114" t="s" s="0">
        <v>2932</v>
      </c>
      <c r="W114" t="s" s="0">
        <v>2933</v>
      </c>
      <c r="X114" t="s" s="0">
        <v>81</v>
      </c>
      <c r="Y114" t="s" s="0">
        <v>81</v>
      </c>
      <c r="Z114" t="s" s="0">
        <v>93</v>
      </c>
      <c r="AA114" t="s" s="0">
        <v>94</v>
      </c>
      <c r="AB114" t="s" s="0">
        <v>81</v>
      </c>
      <c r="AC114" t="s" s="0">
        <v>81</v>
      </c>
      <c r="AD114" t="s" s="0">
        <v>81</v>
      </c>
      <c r="AE114" t="s" s="0">
        <v>81</v>
      </c>
      <c r="AF114" t="s" s="0">
        <v>81</v>
      </c>
      <c r="AG114" t="s" s="0">
        <v>2934</v>
      </c>
      <c r="AH114" t="s" s="0">
        <v>2935</v>
      </c>
      <c r="AI114" t="s" s="0">
        <v>81</v>
      </c>
      <c r="AJ114" t="s" s="0">
        <v>81</v>
      </c>
      <c r="AK114" t="s" s="0">
        <v>81</v>
      </c>
      <c r="AL114" t="s" s="0">
        <v>2520</v>
      </c>
      <c r="AM114" t="s" s="0">
        <v>158</v>
      </c>
      <c r="AN114" t="s" s="0">
        <v>158</v>
      </c>
      <c r="AO114" t="s" s="0">
        <v>100</v>
      </c>
      <c r="AP114" t="s" s="0">
        <v>172</v>
      </c>
      <c r="AQ114" t="s" s="0">
        <v>537</v>
      </c>
      <c r="AR114" t="s" s="0">
        <v>506</v>
      </c>
      <c r="AS114" t="s" s="0">
        <v>538</v>
      </c>
      <c r="AT114" t="s" s="0">
        <v>2936</v>
      </c>
      <c r="AU114" t="s" s="0">
        <v>2937</v>
      </c>
      <c r="AV114" t="s" s="0">
        <v>81</v>
      </c>
      <c r="AW114" t="s" s="0">
        <v>2938</v>
      </c>
      <c r="AX114" t="s" s="0">
        <v>2939</v>
      </c>
      <c r="AY114" t="s" s="0">
        <v>1470</v>
      </c>
      <c r="AZ114" t="s" s="0">
        <v>111</v>
      </c>
      <c r="BA114" t="s" s="0">
        <v>390</v>
      </c>
      <c r="BB114" t="s" s="0">
        <v>158</v>
      </c>
      <c r="BC114" t="s" s="0">
        <v>81</v>
      </c>
      <c r="BD114" t="s" s="0">
        <v>81</v>
      </c>
      <c r="BE114" t="s" s="0">
        <v>81</v>
      </c>
      <c r="BF114" t="s" s="0">
        <v>81</v>
      </c>
      <c r="BG114" t="s" s="0">
        <v>2940</v>
      </c>
      <c r="BH114" t="s" s="0">
        <v>2941</v>
      </c>
      <c r="BI114" t="s" s="0">
        <v>81</v>
      </c>
      <c r="BJ114" t="s" s="0">
        <v>2942</v>
      </c>
      <c r="BK114" t="s" s="225">
        <f>HYPERLINK("http://dx.doi.org/10.1016/j.acra.2024.12.018","http://dx.doi.org/10.1016/j.acra.2024.12.018")</f>
        <v>2943</v>
      </c>
      <c r="BL114" t="s" s="0">
        <v>81</v>
      </c>
      <c r="BM114" t="s" s="0">
        <v>116</v>
      </c>
      <c r="BN114" t="s" s="0">
        <v>117</v>
      </c>
      <c r="BO114" t="s" s="0">
        <v>519</v>
      </c>
      <c r="BP114" t="s" s="0">
        <v>519</v>
      </c>
      <c r="BQ114" t="s" s="0">
        <v>2944</v>
      </c>
      <c r="BR114" t="s" s="0">
        <v>2945</v>
      </c>
      <c r="BS114" t="s" s="0">
        <v>2946</v>
      </c>
      <c r="BT114" t="s" s="226">
        <f>HYPERLINK("https://www.webofscience.com/wos/woscc/full-record/WOS:001477411000001","View Record in Web of Science")</f>
        <v>123</v>
      </c>
      <c r="BU114" t="s" s="0">
        <v>81</v>
      </c>
      <c r="BV114" t="s" s="0">
        <v>81</v>
      </c>
      <c r="BW114" t="s" s="0">
        <v>81</v>
      </c>
      <c r="BX114" t="s" s="0">
        <v>124</v>
      </c>
    </row>
    <row r="115">
      <c r="A115" t="s" s="0">
        <v>77</v>
      </c>
      <c r="B115" t="s" s="0">
        <v>77</v>
      </c>
      <c r="C115" t="s" s="0">
        <v>77</v>
      </c>
      <c r="D115" t="s" s="0">
        <v>77</v>
      </c>
      <c r="E115" t="s" s="0">
        <v>2947</v>
      </c>
      <c r="F115" t="s" s="0">
        <v>2948</v>
      </c>
      <c r="G115" t="s" s="0">
        <v>2949</v>
      </c>
      <c r="H115" t="s" s="0">
        <v>81</v>
      </c>
      <c r="I115" t="s" s="0">
        <v>82</v>
      </c>
      <c r="J115" t="s" s="0">
        <v>2950</v>
      </c>
      <c r="K115" t="s" s="0">
        <v>2951</v>
      </c>
      <c r="L115" t="s" s="0">
        <v>496</v>
      </c>
      <c r="M115" t="s" s="0">
        <v>199</v>
      </c>
      <c r="N115" t="s" s="0">
        <v>2952</v>
      </c>
      <c r="O115" t="s" s="0">
        <v>2953</v>
      </c>
      <c r="P115" t="s" s="0">
        <v>2954</v>
      </c>
      <c r="Q115" t="s" s="0">
        <v>90</v>
      </c>
      <c r="R115" t="s" s="0">
        <v>81</v>
      </c>
      <c r="S115" t="s" s="0">
        <v>81</v>
      </c>
      <c r="T115" t="s" s="0">
        <v>81</v>
      </c>
      <c r="U115" t="s" s="0">
        <v>81</v>
      </c>
      <c r="V115" t="s" s="0">
        <v>2955</v>
      </c>
      <c r="W115" t="s" s="0">
        <v>2956</v>
      </c>
      <c r="X115" t="s" s="0">
        <v>81</v>
      </c>
      <c r="Y115" t="s" s="0">
        <v>81</v>
      </c>
      <c r="Z115" t="s" s="0">
        <v>93</v>
      </c>
      <c r="AA115" t="s" s="0">
        <v>94</v>
      </c>
      <c r="AB115" t="s" s="0">
        <v>81</v>
      </c>
      <c r="AC115" t="s" s="0">
        <v>81</v>
      </c>
      <c r="AD115" t="s" s="0">
        <v>81</v>
      </c>
      <c r="AE115" t="s" s="0">
        <v>81</v>
      </c>
      <c r="AF115" t="s" s="0">
        <v>81</v>
      </c>
      <c r="AG115" t="s" s="0">
        <v>2957</v>
      </c>
      <c r="AH115" t="s" s="0">
        <v>2958</v>
      </c>
      <c r="AI115" t="s" s="0">
        <v>2959</v>
      </c>
      <c r="AJ115" t="s" s="0">
        <v>2960</v>
      </c>
      <c r="AK115" t="s" s="0">
        <v>81</v>
      </c>
      <c r="AL115" t="s" s="0">
        <v>915</v>
      </c>
      <c r="AM115" t="s" s="0">
        <v>100</v>
      </c>
      <c r="AN115" t="s" s="0">
        <v>100</v>
      </c>
      <c r="AO115" t="s" s="0">
        <v>117</v>
      </c>
      <c r="AP115" t="s" s="0">
        <v>207</v>
      </c>
      <c r="AQ115" t="s" s="0">
        <v>391</v>
      </c>
      <c r="AR115" t="s" s="0">
        <v>392</v>
      </c>
      <c r="AS115" t="s" s="0">
        <v>393</v>
      </c>
      <c r="AT115" t="s" s="0">
        <v>2961</v>
      </c>
      <c r="AU115" t="s" s="0">
        <v>2962</v>
      </c>
      <c r="AV115" t="s" s="0">
        <v>81</v>
      </c>
      <c r="AW115" t="s" s="0">
        <v>2963</v>
      </c>
      <c r="AX115" t="s" s="0">
        <v>2964</v>
      </c>
      <c r="AY115" t="s" s="0">
        <v>2187</v>
      </c>
      <c r="AZ115" t="s" s="0">
        <v>212</v>
      </c>
      <c r="BA115" t="s" s="0">
        <v>1357</v>
      </c>
      <c r="BB115" t="s" s="0">
        <v>182</v>
      </c>
      <c r="BC115" t="s" s="0">
        <v>2965</v>
      </c>
      <c r="BD115" t="s" s="0">
        <v>81</v>
      </c>
      <c r="BE115" t="s" s="0">
        <v>81</v>
      </c>
      <c r="BF115" t="s" s="0">
        <v>81</v>
      </c>
      <c r="BG115" t="s" s="0">
        <v>81</v>
      </c>
      <c r="BH115" t="s" s="0">
        <v>81</v>
      </c>
      <c r="BI115" t="s" s="0">
        <v>81</v>
      </c>
      <c r="BJ115" t="s" s="0">
        <v>2966</v>
      </c>
      <c r="BK115" t="s" s="227">
        <f>HYPERLINK("http://dx.doi.org/10.1002/marc.202500471","http://dx.doi.org/10.1002/marc.202500471")</f>
        <v>2967</v>
      </c>
      <c r="BL115" t="s" s="0">
        <v>81</v>
      </c>
      <c r="BM115" t="s" s="0">
        <v>110</v>
      </c>
      <c r="BN115" t="s" s="0">
        <v>152</v>
      </c>
      <c r="BO115" t="s" s="0">
        <v>2968</v>
      </c>
      <c r="BP115" t="s" s="0">
        <v>2968</v>
      </c>
      <c r="BQ115" t="s" s="0">
        <v>2969</v>
      </c>
      <c r="BR115" t="s" s="0">
        <v>2970</v>
      </c>
      <c r="BS115" t="s" s="0">
        <v>2971</v>
      </c>
      <c r="BT115" t="s" s="228">
        <f>HYPERLINK("https://www.webofscience.com/wos/woscc/full-record/WOS:001581907200001","View Record in Web of Science")</f>
        <v>123</v>
      </c>
      <c r="BU115" t="s" s="0">
        <v>81</v>
      </c>
      <c r="BV115" t="s" s="0">
        <v>81</v>
      </c>
      <c r="BW115" t="s" s="0">
        <v>81</v>
      </c>
      <c r="BX115" t="s" s="0">
        <v>124</v>
      </c>
    </row>
    <row r="116">
      <c r="A116" t="s" s="0">
        <v>77</v>
      </c>
      <c r="B116" t="s" s="0">
        <v>77</v>
      </c>
      <c r="C116" t="s" s="0">
        <v>77</v>
      </c>
      <c r="D116" t="s" s="0">
        <v>77</v>
      </c>
      <c r="E116" t="s" s="0">
        <v>2972</v>
      </c>
      <c r="F116" t="s" s="0">
        <v>2973</v>
      </c>
      <c r="G116" t="s" s="0">
        <v>2974</v>
      </c>
      <c r="H116" t="s" s="0">
        <v>81</v>
      </c>
      <c r="I116" t="s" s="0">
        <v>82</v>
      </c>
      <c r="J116" t="s" s="0">
        <v>2975</v>
      </c>
      <c r="K116" t="s" s="0">
        <v>2976</v>
      </c>
      <c r="L116" t="s" s="0">
        <v>2977</v>
      </c>
      <c r="M116" t="s" s="0">
        <v>2978</v>
      </c>
      <c r="N116" t="s" s="0">
        <v>2979</v>
      </c>
      <c r="O116" t="s" s="0">
        <v>2980</v>
      </c>
      <c r="P116" t="s" s="0">
        <v>2981</v>
      </c>
      <c r="Q116" t="s" s="0">
        <v>90</v>
      </c>
      <c r="R116" t="s" s="0">
        <v>81</v>
      </c>
      <c r="S116" t="s" s="0">
        <v>81</v>
      </c>
      <c r="T116" t="s" s="0">
        <v>81</v>
      </c>
      <c r="U116" t="s" s="0">
        <v>81</v>
      </c>
      <c r="V116" t="s" s="0">
        <v>2982</v>
      </c>
      <c r="W116" t="s" s="0">
        <v>2983</v>
      </c>
      <c r="X116" t="s" s="0">
        <v>81</v>
      </c>
      <c r="Y116" t="s" s="0">
        <v>81</v>
      </c>
      <c r="Z116" t="s" s="0">
        <v>93</v>
      </c>
      <c r="AA116" t="s" s="0">
        <v>94</v>
      </c>
      <c r="AB116" t="s" s="0">
        <v>81</v>
      </c>
      <c r="AC116" t="s" s="0">
        <v>81</v>
      </c>
      <c r="AD116" t="s" s="0">
        <v>81</v>
      </c>
      <c r="AE116" t="s" s="0">
        <v>81</v>
      </c>
      <c r="AF116" t="s" s="0">
        <v>81</v>
      </c>
      <c r="AG116" t="s" s="0">
        <v>2984</v>
      </c>
      <c r="AH116" t="s" s="0">
        <v>81</v>
      </c>
      <c r="AI116" t="s" s="0">
        <v>81</v>
      </c>
      <c r="AJ116" t="s" s="0">
        <v>81</v>
      </c>
      <c r="AK116" t="s" s="0">
        <v>81</v>
      </c>
      <c r="AL116" t="s" s="0">
        <v>207</v>
      </c>
      <c r="AM116" t="s" s="0">
        <v>77</v>
      </c>
      <c r="AN116" t="s" s="0">
        <v>77</v>
      </c>
      <c r="AO116" t="s" s="0">
        <v>77</v>
      </c>
      <c r="AP116" t="s" s="0">
        <v>77</v>
      </c>
      <c r="AQ116" t="s" s="0">
        <v>588</v>
      </c>
      <c r="AR116" t="s" s="0">
        <v>589</v>
      </c>
      <c r="AS116" t="s" s="0">
        <v>590</v>
      </c>
      <c r="AT116" t="s" s="0">
        <v>2985</v>
      </c>
      <c r="AU116" t="s" s="0">
        <v>2986</v>
      </c>
      <c r="AV116" t="s" s="0">
        <v>81</v>
      </c>
      <c r="AW116" t="s" s="0">
        <v>2987</v>
      </c>
      <c r="AX116" t="s" s="0">
        <v>2988</v>
      </c>
      <c r="AY116" t="s" s="0">
        <v>1967</v>
      </c>
      <c r="AZ116" t="s" s="0">
        <v>212</v>
      </c>
      <c r="BA116" t="s" s="0">
        <v>2989</v>
      </c>
      <c r="BB116" t="s" s="0">
        <v>138</v>
      </c>
      <c r="BC116" t="s" s="0">
        <v>81</v>
      </c>
      <c r="BD116" t="s" s="0">
        <v>81</v>
      </c>
      <c r="BE116" t="s" s="0">
        <v>81</v>
      </c>
      <c r="BF116" t="s" s="0">
        <v>81</v>
      </c>
      <c r="BG116" t="s" s="0">
        <v>2990</v>
      </c>
      <c r="BH116" t="s" s="0">
        <v>2991</v>
      </c>
      <c r="BI116" t="s" s="0">
        <v>81</v>
      </c>
      <c r="BJ116" t="s" s="0">
        <v>2992</v>
      </c>
      <c r="BK116" t="s" s="229">
        <f>HYPERLINK("http://dx.doi.org/10.1109/TBME.2026.3691657","http://dx.doi.org/10.1109/TBME.2026.3691657")</f>
        <v>2993</v>
      </c>
      <c r="BL116" t="s" s="0">
        <v>81</v>
      </c>
      <c r="BM116" t="s" s="0">
        <v>81</v>
      </c>
      <c r="BN116" t="s" s="0">
        <v>152</v>
      </c>
      <c r="BO116" t="s" s="0">
        <v>1265</v>
      </c>
      <c r="BP116" t="s" s="0">
        <v>219</v>
      </c>
      <c r="BQ116" t="s" s="0">
        <v>2994</v>
      </c>
      <c r="BR116" t="s" s="0">
        <v>2995</v>
      </c>
      <c r="BS116" t="s" s="0">
        <v>2996</v>
      </c>
      <c r="BT116" t="s" s="230">
        <f>HYPERLINK("https://www.webofscience.com/wos/woscc/full-record/WOS:001848669500004","View Record in Web of Science")</f>
        <v>123</v>
      </c>
      <c r="BU116" t="s" s="0">
        <v>81</v>
      </c>
      <c r="BV116" t="s" s="0">
        <v>81</v>
      </c>
      <c r="BW116" t="s" s="0">
        <v>81</v>
      </c>
      <c r="BX116" t="s" s="0">
        <v>124</v>
      </c>
    </row>
    <row r="117">
      <c r="A117" t="s" s="0">
        <v>77</v>
      </c>
      <c r="B117" t="s" s="0">
        <v>77</v>
      </c>
      <c r="C117" t="s" s="0">
        <v>399</v>
      </c>
      <c r="D117" t="s" s="0">
        <v>77</v>
      </c>
      <c r="E117" t="s" s="0">
        <v>2997</v>
      </c>
      <c r="F117" t="s" s="0">
        <v>2998</v>
      </c>
      <c r="G117" t="s" s="0">
        <v>2999</v>
      </c>
      <c r="H117" t="s" s="0">
        <v>81</v>
      </c>
      <c r="I117" t="s" s="0">
        <v>82</v>
      </c>
      <c r="J117" t="s" s="0">
        <v>3000</v>
      </c>
      <c r="K117" t="s" s="0">
        <v>3001</v>
      </c>
      <c r="L117" t="s" s="0">
        <v>3002</v>
      </c>
      <c r="M117" t="s" s="0">
        <v>3003</v>
      </c>
      <c r="N117" t="s" s="0">
        <v>3004</v>
      </c>
      <c r="O117" t="s" s="0">
        <v>3005</v>
      </c>
      <c r="P117" t="s" s="0">
        <v>3006</v>
      </c>
      <c r="Q117" t="s" s="0">
        <v>90</v>
      </c>
      <c r="R117" t="s" s="0">
        <v>81</v>
      </c>
      <c r="S117" t="s" s="0">
        <v>81</v>
      </c>
      <c r="T117" t="s" s="0">
        <v>81</v>
      </c>
      <c r="U117" t="s" s="0">
        <v>81</v>
      </c>
      <c r="V117" t="s" s="0">
        <v>3007</v>
      </c>
      <c r="W117" t="s" s="0">
        <v>1083</v>
      </c>
      <c r="X117" t="s" s="0">
        <v>81</v>
      </c>
      <c r="Y117" t="s" s="0">
        <v>81</v>
      </c>
      <c r="Z117" t="s" s="0">
        <v>93</v>
      </c>
      <c r="AA117" t="s" s="0">
        <v>94</v>
      </c>
      <c r="AB117" t="s" s="0">
        <v>81</v>
      </c>
      <c r="AC117" t="s" s="0">
        <v>81</v>
      </c>
      <c r="AD117" t="s" s="0">
        <v>81</v>
      </c>
      <c r="AE117" t="s" s="0">
        <v>81</v>
      </c>
      <c r="AF117" t="s" s="0">
        <v>81</v>
      </c>
      <c r="AG117" t="s" s="0">
        <v>81</v>
      </c>
      <c r="AH117" t="s" s="0">
        <v>3008</v>
      </c>
      <c r="AI117" t="s" s="0">
        <v>3009</v>
      </c>
      <c r="AJ117" t="s" s="0">
        <v>3010</v>
      </c>
      <c r="AK117" t="s" s="0">
        <v>81</v>
      </c>
      <c r="AL117" t="s" s="0">
        <v>1990</v>
      </c>
      <c r="AM117" t="s" s="0">
        <v>1085</v>
      </c>
      <c r="AN117" t="s" s="0">
        <v>139</v>
      </c>
      <c r="AO117" t="s" s="0">
        <v>137</v>
      </c>
      <c r="AP117" t="s" s="0">
        <v>182</v>
      </c>
      <c r="AQ117" t="s" s="0">
        <v>302</v>
      </c>
      <c r="AR117" t="s" s="0">
        <v>303</v>
      </c>
      <c r="AS117" t="s" s="0">
        <v>304</v>
      </c>
      <c r="AT117" t="s" s="0">
        <v>1086</v>
      </c>
      <c r="AU117" t="s" s="0">
        <v>81</v>
      </c>
      <c r="AV117" t="s" s="0">
        <v>81</v>
      </c>
      <c r="AW117" t="s" s="0">
        <v>1087</v>
      </c>
      <c r="AX117" t="s" s="0">
        <v>1088</v>
      </c>
      <c r="AY117" t="s" s="0">
        <v>3011</v>
      </c>
      <c r="AZ117" t="s" s="0">
        <v>111</v>
      </c>
      <c r="BA117" t="s" s="0">
        <v>138</v>
      </c>
      <c r="BB117" t="s" s="0">
        <v>137</v>
      </c>
      <c r="BC117" t="s" s="0">
        <v>81</v>
      </c>
      <c r="BD117" t="s" s="0">
        <v>81</v>
      </c>
      <c r="BE117" t="s" s="0">
        <v>81</v>
      </c>
      <c r="BF117" t="s" s="0">
        <v>81</v>
      </c>
      <c r="BG117" t="s" s="0">
        <v>81</v>
      </c>
      <c r="BH117" t="s" s="0">
        <v>81</v>
      </c>
      <c r="BI117" t="s" s="0">
        <v>3012</v>
      </c>
      <c r="BJ117" t="s" s="0">
        <v>3013</v>
      </c>
      <c r="BK117" t="s" s="231">
        <f>HYPERLINK("http://dx.doi.org/10.1038/s41746-025-01560-y","http://dx.doi.org/10.1038/s41746-025-01560-y")</f>
        <v>3014</v>
      </c>
      <c r="BL117" t="s" s="0">
        <v>81</v>
      </c>
      <c r="BM117" t="s" s="0">
        <v>81</v>
      </c>
      <c r="BN117" t="s" s="0">
        <v>182</v>
      </c>
      <c r="BO117" t="s" s="0">
        <v>1093</v>
      </c>
      <c r="BP117" t="s" s="0">
        <v>1093</v>
      </c>
      <c r="BQ117" t="s" s="0">
        <v>3015</v>
      </c>
      <c r="BR117" t="s" s="0">
        <v>3016</v>
      </c>
      <c r="BS117" t="s" s="0">
        <v>3017</v>
      </c>
      <c r="BT117" t="s" s="232">
        <f>HYPERLINK("https://www.webofscience.com/wos/woscc/full-record/WOS:001468348700001","View Record in Web of Science")</f>
        <v>123</v>
      </c>
      <c r="BU117" t="s" s="0">
        <v>191</v>
      </c>
      <c r="BV117" t="s" s="0">
        <v>3018</v>
      </c>
      <c r="BW117" t="s" s="0">
        <v>3019</v>
      </c>
      <c r="BX117" t="s" s="0">
        <v>124</v>
      </c>
    </row>
    <row r="118">
      <c r="A118" t="s" s="0">
        <v>77</v>
      </c>
      <c r="B118" t="s" s="0">
        <v>77</v>
      </c>
      <c r="C118" t="s" s="0">
        <v>77</v>
      </c>
      <c r="D118" t="s" s="0">
        <v>77</v>
      </c>
      <c r="E118" t="s" s="0">
        <v>3020</v>
      </c>
      <c r="F118" t="s" s="0">
        <v>3021</v>
      </c>
      <c r="G118" t="s" s="0">
        <v>3022</v>
      </c>
      <c r="H118" t="s" s="0">
        <v>81</v>
      </c>
      <c r="I118" t="s" s="0">
        <v>82</v>
      </c>
      <c r="J118" t="s" s="0">
        <v>3023</v>
      </c>
      <c r="K118" t="s" s="0">
        <v>3024</v>
      </c>
      <c r="L118" t="s" s="0">
        <v>3025</v>
      </c>
      <c r="M118" t="s" s="0">
        <v>3026</v>
      </c>
      <c r="N118" t="s" s="0">
        <v>3027</v>
      </c>
      <c r="O118" t="s" s="0">
        <v>3028</v>
      </c>
      <c r="P118" t="s" s="0">
        <v>3029</v>
      </c>
      <c r="Q118" t="s" s="0">
        <v>90</v>
      </c>
      <c r="R118" t="s" s="0">
        <v>81</v>
      </c>
      <c r="S118" t="s" s="0">
        <v>81</v>
      </c>
      <c r="T118" t="s" s="0">
        <v>81</v>
      </c>
      <c r="U118" t="s" s="0">
        <v>81</v>
      </c>
      <c r="V118" t="s" s="0">
        <v>3030</v>
      </c>
      <c r="W118" t="s" s="0">
        <v>3031</v>
      </c>
      <c r="X118" t="s" s="0">
        <v>81</v>
      </c>
      <c r="Y118" t="s" s="0">
        <v>81</v>
      </c>
      <c r="Z118" t="s" s="0">
        <v>93</v>
      </c>
      <c r="AA118" t="s" s="0">
        <v>94</v>
      </c>
      <c r="AB118" t="s" s="0">
        <v>81</v>
      </c>
      <c r="AC118" t="s" s="0">
        <v>81</v>
      </c>
      <c r="AD118" t="s" s="0">
        <v>81</v>
      </c>
      <c r="AE118" t="s" s="0">
        <v>81</v>
      </c>
      <c r="AF118" t="s" s="0">
        <v>81</v>
      </c>
      <c r="AG118" t="s" s="0">
        <v>3032</v>
      </c>
      <c r="AH118" t="s" s="0">
        <v>3033</v>
      </c>
      <c r="AI118" t="s" s="0">
        <v>81</v>
      </c>
      <c r="AJ118" t="s" s="0">
        <v>81</v>
      </c>
      <c r="AK118" t="s" s="0">
        <v>81</v>
      </c>
      <c r="AL118" t="s" s="0">
        <v>173</v>
      </c>
      <c r="AM118" t="s" s="0">
        <v>77</v>
      </c>
      <c r="AN118" t="s" s="0">
        <v>77</v>
      </c>
      <c r="AO118" t="s" s="0">
        <v>137</v>
      </c>
      <c r="AP118" t="s" s="0">
        <v>137</v>
      </c>
      <c r="AQ118" t="s" s="0">
        <v>3034</v>
      </c>
      <c r="AR118" t="s" s="0">
        <v>3035</v>
      </c>
      <c r="AS118" t="s" s="0">
        <v>3036</v>
      </c>
      <c r="AT118" t="s" s="0">
        <v>3037</v>
      </c>
      <c r="AU118" t="s" s="0">
        <v>81</v>
      </c>
      <c r="AV118" t="s" s="0">
        <v>81</v>
      </c>
      <c r="AW118" t="s" s="0">
        <v>3038</v>
      </c>
      <c r="AX118" t="s" s="0">
        <v>3039</v>
      </c>
      <c r="AY118" t="s" s="0">
        <v>3040</v>
      </c>
      <c r="AZ118" t="s" s="0">
        <v>212</v>
      </c>
      <c r="BA118" t="s" s="0">
        <v>895</v>
      </c>
      <c r="BB118" t="s" s="0">
        <v>100</v>
      </c>
      <c r="BC118" t="s" s="0">
        <v>81</v>
      </c>
      <c r="BD118" t="s" s="0">
        <v>81</v>
      </c>
      <c r="BE118" t="s" s="0">
        <v>81</v>
      </c>
      <c r="BF118" t="s" s="0">
        <v>81</v>
      </c>
      <c r="BG118" t="s" s="0">
        <v>3041</v>
      </c>
      <c r="BH118" t="s" s="0">
        <v>3042</v>
      </c>
      <c r="BI118" t="s" s="0">
        <v>81</v>
      </c>
      <c r="BJ118" t="s" s="0">
        <v>3043</v>
      </c>
      <c r="BK118" t="s" s="233">
        <f>HYPERLINK("http://dx.doi.org/10.20892/j.issn.2095-3941.2025.0771","http://dx.doi.org/10.20892/j.issn.2095-3941.2025.0771")</f>
        <v>3044</v>
      </c>
      <c r="BL118" t="s" s="0">
        <v>81</v>
      </c>
      <c r="BM118" t="s" s="0">
        <v>81</v>
      </c>
      <c r="BN118" t="s" s="0">
        <v>173</v>
      </c>
      <c r="BO118" t="s" s="0">
        <v>3045</v>
      </c>
      <c r="BP118" t="s" s="0">
        <v>3046</v>
      </c>
      <c r="BQ118" t="s" s="0">
        <v>3047</v>
      </c>
      <c r="BR118" t="s" s="0">
        <v>3048</v>
      </c>
      <c r="BS118" t="s" s="0">
        <v>3049</v>
      </c>
      <c r="BT118" t="s" s="234">
        <f>HYPERLINK("https://www.webofscience.com/wos/woscc/full-record/WOS:001739009200011","View Record in Web of Science")</f>
        <v>123</v>
      </c>
      <c r="BU118" t="s" s="0">
        <v>191</v>
      </c>
      <c r="BV118" t="s" s="0">
        <v>81</v>
      </c>
      <c r="BW118" t="s" s="0">
        <v>81</v>
      </c>
      <c r="BX118" t="s" s="0">
        <v>124</v>
      </c>
    </row>
    <row r="119">
      <c r="A119" t="s" s="0">
        <v>77</v>
      </c>
      <c r="B119" t="s" s="0">
        <v>77</v>
      </c>
      <c r="C119" t="s" s="0">
        <v>137</v>
      </c>
      <c r="D119" t="s" s="0">
        <v>77</v>
      </c>
      <c r="E119" t="s" s="0">
        <v>3050</v>
      </c>
      <c r="F119" t="s" s="0">
        <v>3051</v>
      </c>
      <c r="G119" t="s" s="0">
        <v>3052</v>
      </c>
      <c r="H119" t="s" s="0">
        <v>81</v>
      </c>
      <c r="I119" t="s" s="0">
        <v>82</v>
      </c>
      <c r="J119" t="s" s="0">
        <v>3053</v>
      </c>
      <c r="K119" t="s" s="0">
        <v>3054</v>
      </c>
      <c r="L119" t="s" s="0">
        <v>3055</v>
      </c>
      <c r="M119" t="s" s="0">
        <v>3056</v>
      </c>
      <c r="N119" t="s" s="0">
        <v>3057</v>
      </c>
      <c r="O119" t="s" s="0">
        <v>3058</v>
      </c>
      <c r="P119" t="s" s="0">
        <v>3059</v>
      </c>
      <c r="Q119" t="s" s="0">
        <v>90</v>
      </c>
      <c r="R119" t="s" s="0">
        <v>81</v>
      </c>
      <c r="S119" t="s" s="0">
        <v>81</v>
      </c>
      <c r="T119" t="s" s="0">
        <v>81</v>
      </c>
      <c r="U119" t="s" s="0">
        <v>81</v>
      </c>
      <c r="V119" t="s" s="0">
        <v>3060</v>
      </c>
      <c r="W119" t="s" s="0">
        <v>3061</v>
      </c>
      <c r="X119" t="s" s="0">
        <v>81</v>
      </c>
      <c r="Y119" t="s" s="0">
        <v>81</v>
      </c>
      <c r="Z119" t="s" s="0">
        <v>93</v>
      </c>
      <c r="AA119" t="s" s="0">
        <v>94</v>
      </c>
      <c r="AB119" t="s" s="0">
        <v>81</v>
      </c>
      <c r="AC119" t="s" s="0">
        <v>81</v>
      </c>
      <c r="AD119" t="s" s="0">
        <v>81</v>
      </c>
      <c r="AE119" t="s" s="0">
        <v>81</v>
      </c>
      <c r="AF119" t="s" s="0">
        <v>81</v>
      </c>
      <c r="AG119" t="s" s="0">
        <v>3062</v>
      </c>
      <c r="AH119" t="s" s="0">
        <v>3063</v>
      </c>
      <c r="AI119" t="s" s="0">
        <v>81</v>
      </c>
      <c r="AJ119" t="s" s="0">
        <v>81</v>
      </c>
      <c r="AK119" t="s" s="0">
        <v>81</v>
      </c>
      <c r="AL119" t="s" s="0">
        <v>207</v>
      </c>
      <c r="AM119" t="s" s="0">
        <v>333</v>
      </c>
      <c r="AN119" t="s" s="0">
        <v>333</v>
      </c>
      <c r="AO119" t="s" s="0">
        <v>333</v>
      </c>
      <c r="AP119" t="s" s="0">
        <v>333</v>
      </c>
      <c r="AQ119" t="s" s="0">
        <v>268</v>
      </c>
      <c r="AR119" t="s" s="0">
        <v>269</v>
      </c>
      <c r="AS119" t="s" s="0">
        <v>270</v>
      </c>
      <c r="AT119" t="s" s="0">
        <v>3064</v>
      </c>
      <c r="AU119" t="s" s="0">
        <v>3065</v>
      </c>
      <c r="AV119" t="s" s="0">
        <v>81</v>
      </c>
      <c r="AW119" t="s" s="0">
        <v>3066</v>
      </c>
      <c r="AX119" t="s" s="0">
        <v>3067</v>
      </c>
      <c r="AY119" t="s" s="0">
        <v>3068</v>
      </c>
      <c r="AZ119" t="s" s="0">
        <v>111</v>
      </c>
      <c r="BA119" t="s" s="0">
        <v>1832</v>
      </c>
      <c r="BB119" t="s" s="0">
        <v>137</v>
      </c>
      <c r="BC119" t="s" s="0">
        <v>81</v>
      </c>
      <c r="BD119" t="s" s="0">
        <v>81</v>
      </c>
      <c r="BE119" t="s" s="0">
        <v>81</v>
      </c>
      <c r="BF119" t="s" s="0">
        <v>81</v>
      </c>
      <c r="BG119" t="s" s="0">
        <v>81</v>
      </c>
      <c r="BH119" t="s" s="0">
        <v>81</v>
      </c>
      <c r="BI119" t="s" s="0">
        <v>301</v>
      </c>
      <c r="BJ119" t="s" s="0">
        <v>3069</v>
      </c>
      <c r="BK119" t="s" s="235">
        <f>HYPERLINK("http://dx.doi.org/10.1186/s13058-025-02181-9","http://dx.doi.org/10.1186/s13058-025-02181-9")</f>
        <v>3070</v>
      </c>
      <c r="BL119" t="s" s="0">
        <v>81</v>
      </c>
      <c r="BM119" t="s" s="0">
        <v>81</v>
      </c>
      <c r="BN119" t="s" s="0">
        <v>213</v>
      </c>
      <c r="BO119" t="s" s="0">
        <v>1047</v>
      </c>
      <c r="BP119" t="s" s="0">
        <v>1047</v>
      </c>
      <c r="BQ119" t="s" s="0">
        <v>3071</v>
      </c>
      <c r="BR119" t="s" s="0">
        <v>3072</v>
      </c>
      <c r="BS119" t="s" s="0">
        <v>3073</v>
      </c>
      <c r="BT119" t="s" s="236">
        <f>HYPERLINK("https://www.webofscience.com/wos/woscc/full-record/WOS:001659719900001","View Record in Web of Science")</f>
        <v>123</v>
      </c>
      <c r="BU119" t="s" s="0">
        <v>191</v>
      </c>
      <c r="BV119" t="s" s="0">
        <v>81</v>
      </c>
      <c r="BW119" t="s" s="0">
        <v>81</v>
      </c>
      <c r="BX119" t="s" s="0">
        <v>124</v>
      </c>
    </row>
    <row r="120">
      <c r="A120" t="s" s="0">
        <v>77</v>
      </c>
      <c r="B120" t="s" s="0">
        <v>77</v>
      </c>
      <c r="C120" t="s" s="0">
        <v>77</v>
      </c>
      <c r="D120" t="s" s="0">
        <v>77</v>
      </c>
      <c r="E120" t="s" s="0">
        <v>3074</v>
      </c>
      <c r="F120" t="s" s="0">
        <v>3075</v>
      </c>
      <c r="G120" t="s" s="0">
        <v>3076</v>
      </c>
      <c r="H120" t="s" s="0">
        <v>81</v>
      </c>
      <c r="I120" t="s" s="0">
        <v>82</v>
      </c>
      <c r="J120" t="s" s="0">
        <v>3077</v>
      </c>
      <c r="K120" t="s" s="0">
        <v>3078</v>
      </c>
      <c r="L120" t="s" s="0">
        <v>3079</v>
      </c>
      <c r="M120" t="s" s="0">
        <v>3080</v>
      </c>
      <c r="N120" t="s" s="0">
        <v>3081</v>
      </c>
      <c r="O120" t="s" s="0">
        <v>3082</v>
      </c>
      <c r="P120" t="s" s="0">
        <v>3083</v>
      </c>
      <c r="Q120" t="s" s="0">
        <v>90</v>
      </c>
      <c r="R120" t="s" s="0">
        <v>81</v>
      </c>
      <c r="S120" t="s" s="0">
        <v>81</v>
      </c>
      <c r="T120" t="s" s="0">
        <v>81</v>
      </c>
      <c r="U120" t="s" s="0">
        <v>81</v>
      </c>
      <c r="V120" t="s" s="0">
        <v>3084</v>
      </c>
      <c r="W120" t="s" s="0">
        <v>3085</v>
      </c>
      <c r="X120" t="s" s="0">
        <v>81</v>
      </c>
      <c r="Y120" t="s" s="0">
        <v>81</v>
      </c>
      <c r="Z120" t="s" s="0">
        <v>93</v>
      </c>
      <c r="AA120" t="s" s="0">
        <v>94</v>
      </c>
      <c r="AB120" t="s" s="0">
        <v>81</v>
      </c>
      <c r="AC120" t="s" s="0">
        <v>81</v>
      </c>
      <c r="AD120" t="s" s="0">
        <v>81</v>
      </c>
      <c r="AE120" t="s" s="0">
        <v>81</v>
      </c>
      <c r="AF120" t="s" s="0">
        <v>81</v>
      </c>
      <c r="AG120" t="s" s="0">
        <v>3086</v>
      </c>
      <c r="AH120" t="s" s="0">
        <v>81</v>
      </c>
      <c r="AI120" t="s" s="0">
        <v>81</v>
      </c>
      <c r="AJ120" t="s" s="0">
        <v>81</v>
      </c>
      <c r="AK120" t="s" s="0">
        <v>81</v>
      </c>
      <c r="AL120" t="s" s="0">
        <v>1110</v>
      </c>
      <c r="AM120" t="s" s="0">
        <v>77</v>
      </c>
      <c r="AN120" t="s" s="0">
        <v>77</v>
      </c>
      <c r="AO120" t="s" s="0">
        <v>77</v>
      </c>
      <c r="AP120" t="s" s="0">
        <v>77</v>
      </c>
      <c r="AQ120" t="s" s="0">
        <v>449</v>
      </c>
      <c r="AR120" t="s" s="0">
        <v>450</v>
      </c>
      <c r="AS120" t="s" s="0">
        <v>451</v>
      </c>
      <c r="AT120" t="s" s="0">
        <v>3087</v>
      </c>
      <c r="AU120" t="s" s="0">
        <v>3088</v>
      </c>
      <c r="AV120" t="s" s="0">
        <v>81</v>
      </c>
      <c r="AW120" t="s" s="0">
        <v>3089</v>
      </c>
      <c r="AX120" t="s" s="0">
        <v>3090</v>
      </c>
      <c r="AY120" t="s" s="0">
        <v>1967</v>
      </c>
      <c r="AZ120" t="s" s="0">
        <v>212</v>
      </c>
      <c r="BA120" t="s" s="0">
        <v>461</v>
      </c>
      <c r="BB120" t="s" s="0">
        <v>138</v>
      </c>
      <c r="BC120" t="s" s="0">
        <v>81</v>
      </c>
      <c r="BD120" t="s" s="0">
        <v>81</v>
      </c>
      <c r="BE120" t="s" s="0">
        <v>81</v>
      </c>
      <c r="BF120" t="s" s="0">
        <v>81</v>
      </c>
      <c r="BG120" t="s" s="0">
        <v>3091</v>
      </c>
      <c r="BH120" t="s" s="0">
        <v>3092</v>
      </c>
      <c r="BI120" t="s" s="0">
        <v>81</v>
      </c>
      <c r="BJ120" t="s" s="0">
        <v>3093</v>
      </c>
      <c r="BK120" t="s" s="237">
        <f>HYPERLINK("http://dx.doi.org/10.1111/os.70335","http://dx.doi.org/10.1111/os.70335")</f>
        <v>3094</v>
      </c>
      <c r="BL120" t="s" s="0">
        <v>81</v>
      </c>
      <c r="BM120" t="s" s="0">
        <v>2187</v>
      </c>
      <c r="BN120" t="s" s="0">
        <v>183</v>
      </c>
      <c r="BO120" t="s" s="0">
        <v>3095</v>
      </c>
      <c r="BP120" t="s" s="0">
        <v>3095</v>
      </c>
      <c r="BQ120" t="s" s="0">
        <v>3096</v>
      </c>
      <c r="BR120" t="s" s="0">
        <v>3097</v>
      </c>
      <c r="BS120" t="s" s="0">
        <v>3098</v>
      </c>
      <c r="BT120" t="s" s="238">
        <f>HYPERLINK("https://www.webofscience.com/wos/woscc/full-record/WOS:001795371300001","View Record in Web of Science")</f>
        <v>123</v>
      </c>
      <c r="BU120" t="s" s="0">
        <v>191</v>
      </c>
      <c r="BV120" t="s" s="0">
        <v>81</v>
      </c>
      <c r="BW120" t="s" s="0">
        <v>81</v>
      </c>
      <c r="BX120" t="s" s="0">
        <v>124</v>
      </c>
    </row>
    <row r="121">
      <c r="A121" t="s" s="0">
        <v>77</v>
      </c>
      <c r="B121" t="s" s="0">
        <v>77</v>
      </c>
      <c r="C121" t="s" s="0">
        <v>77</v>
      </c>
      <c r="D121" t="s" s="0">
        <v>77</v>
      </c>
      <c r="E121" t="s" s="0">
        <v>3099</v>
      </c>
      <c r="F121" t="s" s="0">
        <v>3100</v>
      </c>
      <c r="G121" t="s" s="0">
        <v>3101</v>
      </c>
      <c r="H121" t="s" s="0">
        <v>81</v>
      </c>
      <c r="I121" t="s" s="0">
        <v>82</v>
      </c>
      <c r="J121" t="s" s="0">
        <v>3102</v>
      </c>
      <c r="K121" t="s" s="0">
        <v>3103</v>
      </c>
      <c r="L121" t="s" s="0">
        <v>3104</v>
      </c>
      <c r="M121" t="s" s="0">
        <v>3104</v>
      </c>
      <c r="N121" t="s" s="0">
        <v>3105</v>
      </c>
      <c r="O121" t="s" s="0">
        <v>3106</v>
      </c>
      <c r="P121" t="s" s="0">
        <v>3107</v>
      </c>
      <c r="Q121" t="s" s="0">
        <v>90</v>
      </c>
      <c r="R121" t="s" s="0">
        <v>81</v>
      </c>
      <c r="S121" t="s" s="0">
        <v>81</v>
      </c>
      <c r="T121" t="s" s="0">
        <v>81</v>
      </c>
      <c r="U121" t="s" s="0">
        <v>81</v>
      </c>
      <c r="V121" t="s" s="0">
        <v>3108</v>
      </c>
      <c r="W121" t="s" s="0">
        <v>296</v>
      </c>
      <c r="X121" t="s" s="0">
        <v>81</v>
      </c>
      <c r="Y121" t="s" s="0">
        <v>81</v>
      </c>
      <c r="Z121" t="s" s="0">
        <v>93</v>
      </c>
      <c r="AA121" t="s" s="0">
        <v>94</v>
      </c>
      <c r="AB121" t="s" s="0">
        <v>81</v>
      </c>
      <c r="AC121" t="s" s="0">
        <v>81</v>
      </c>
      <c r="AD121" t="s" s="0">
        <v>81</v>
      </c>
      <c r="AE121" t="s" s="0">
        <v>81</v>
      </c>
      <c r="AF121" t="s" s="0">
        <v>81</v>
      </c>
      <c r="AG121" t="s" s="0">
        <v>3109</v>
      </c>
      <c r="AH121" t="s" s="0">
        <v>3110</v>
      </c>
      <c r="AI121" t="s" s="0">
        <v>3111</v>
      </c>
      <c r="AJ121" t="s" s="0">
        <v>81</v>
      </c>
      <c r="AK121" t="s" s="0">
        <v>81</v>
      </c>
      <c r="AL121" t="s" s="0">
        <v>960</v>
      </c>
      <c r="AM121" t="s" s="0">
        <v>77</v>
      </c>
      <c r="AN121" t="s" s="0">
        <v>77</v>
      </c>
      <c r="AO121" t="s" s="0">
        <v>137</v>
      </c>
      <c r="AP121" t="s" s="0">
        <v>183</v>
      </c>
      <c r="AQ121" t="s" s="0">
        <v>302</v>
      </c>
      <c r="AR121" t="s" s="0">
        <v>303</v>
      </c>
      <c r="AS121" t="s" s="0">
        <v>304</v>
      </c>
      <c r="AT121" t="s" s="0">
        <v>305</v>
      </c>
      <c r="AU121" t="s" s="0">
        <v>81</v>
      </c>
      <c r="AV121" t="s" s="0">
        <v>81</v>
      </c>
      <c r="AW121" t="s" s="0">
        <v>306</v>
      </c>
      <c r="AX121" t="s" s="0">
        <v>307</v>
      </c>
      <c r="AY121" t="s" s="0">
        <v>3112</v>
      </c>
      <c r="AZ121" t="s" s="0">
        <v>111</v>
      </c>
      <c r="BA121" t="s" s="0">
        <v>405</v>
      </c>
      <c r="BB121" t="s" s="0">
        <v>137</v>
      </c>
      <c r="BC121" t="s" s="0">
        <v>81</v>
      </c>
      <c r="BD121" t="s" s="0">
        <v>81</v>
      </c>
      <c r="BE121" t="s" s="0">
        <v>81</v>
      </c>
      <c r="BF121" t="s" s="0">
        <v>81</v>
      </c>
      <c r="BG121" t="s" s="0">
        <v>81</v>
      </c>
      <c r="BH121" t="s" s="0">
        <v>81</v>
      </c>
      <c r="BI121" t="s" s="0">
        <v>3113</v>
      </c>
      <c r="BJ121" t="s" s="0">
        <v>3114</v>
      </c>
      <c r="BK121" t="s" s="239">
        <f>HYPERLINK("http://dx.doi.org/10.1038/s41598-025-26715-5","http://dx.doi.org/10.1038/s41598-025-26715-5")</f>
        <v>3115</v>
      </c>
      <c r="BL121" t="s" s="0">
        <v>81</v>
      </c>
      <c r="BM121" t="s" s="0">
        <v>81</v>
      </c>
      <c r="BN121" t="s" s="0">
        <v>399</v>
      </c>
      <c r="BO121" t="s" s="0">
        <v>313</v>
      </c>
      <c r="BP121" t="s" s="0">
        <v>314</v>
      </c>
      <c r="BQ121" t="s" s="0">
        <v>3116</v>
      </c>
      <c r="BR121" t="s" s="0">
        <v>3117</v>
      </c>
      <c r="BS121" t="s" s="0">
        <v>3118</v>
      </c>
      <c r="BT121" t="s" s="240">
        <f>HYPERLINK("https://www.webofscience.com/wos/woscc/full-record/WOS:001613940600010","View Record in Web of Science")</f>
        <v>123</v>
      </c>
      <c r="BU121" t="s" s="0">
        <v>191</v>
      </c>
      <c r="BV121" t="s" s="0">
        <v>81</v>
      </c>
      <c r="BW121" t="s" s="0">
        <v>81</v>
      </c>
      <c r="BX121" t="s" s="0">
        <v>124</v>
      </c>
    </row>
    <row r="122">
      <c r="A122" t="s" s="0">
        <v>77</v>
      </c>
      <c r="B122" t="s" s="0">
        <v>77</v>
      </c>
      <c r="C122" t="s" s="0">
        <v>101</v>
      </c>
      <c r="D122" t="s" s="0">
        <v>77</v>
      </c>
      <c r="E122" t="s" s="0">
        <v>3119</v>
      </c>
      <c r="F122" t="s" s="0">
        <v>3120</v>
      </c>
      <c r="G122" t="s" s="0">
        <v>3121</v>
      </c>
      <c r="H122" t="s" s="0">
        <v>81</v>
      </c>
      <c r="I122" t="s" s="0">
        <v>82</v>
      </c>
      <c r="J122" t="s" s="0">
        <v>3122</v>
      </c>
      <c r="K122" t="s" s="0">
        <v>3123</v>
      </c>
      <c r="L122" t="s" s="0">
        <v>81</v>
      </c>
      <c r="M122" t="s" s="0">
        <v>81</v>
      </c>
      <c r="N122" t="s" s="0">
        <v>81</v>
      </c>
      <c r="O122" t="s" s="0">
        <v>3124</v>
      </c>
      <c r="P122" t="s" s="0">
        <v>3125</v>
      </c>
      <c r="Q122" t="s" s="0">
        <v>90</v>
      </c>
      <c r="R122" t="s" s="0">
        <v>81</v>
      </c>
      <c r="S122" t="s" s="0">
        <v>81</v>
      </c>
      <c r="T122" t="s" s="0">
        <v>81</v>
      </c>
      <c r="U122" t="s" s="0">
        <v>81</v>
      </c>
      <c r="V122" t="s" s="0">
        <v>3126</v>
      </c>
      <c r="W122" t="s" s="0">
        <v>3127</v>
      </c>
      <c r="X122" t="s" s="0">
        <v>81</v>
      </c>
      <c r="Y122" t="s" s="0">
        <v>81</v>
      </c>
      <c r="Z122" t="s" s="0">
        <v>93</v>
      </c>
      <c r="AA122" t="s" s="0">
        <v>94</v>
      </c>
      <c r="AB122" t="s" s="0">
        <v>81</v>
      </c>
      <c r="AC122" t="s" s="0">
        <v>81</v>
      </c>
      <c r="AD122" t="s" s="0">
        <v>81</v>
      </c>
      <c r="AE122" t="s" s="0">
        <v>81</v>
      </c>
      <c r="AF122" t="s" s="0">
        <v>81</v>
      </c>
      <c r="AG122" t="s" s="0">
        <v>3128</v>
      </c>
      <c r="AH122" t="s" s="0">
        <v>3129</v>
      </c>
      <c r="AI122" t="s" s="0">
        <v>3130</v>
      </c>
      <c r="AJ122" t="s" s="0">
        <v>81</v>
      </c>
      <c r="AK122" t="s" s="0">
        <v>81</v>
      </c>
      <c r="AL122" t="s" s="0">
        <v>619</v>
      </c>
      <c r="AM122" t="s" s="0">
        <v>158</v>
      </c>
      <c r="AN122" t="s" s="0">
        <v>183</v>
      </c>
      <c r="AO122" t="s" s="0">
        <v>101</v>
      </c>
      <c r="AP122" t="s" s="0">
        <v>676</v>
      </c>
      <c r="AQ122" t="s" s="0">
        <v>103</v>
      </c>
      <c r="AR122" t="s" s="0">
        <v>104</v>
      </c>
      <c r="AS122" t="s" s="0">
        <v>105</v>
      </c>
      <c r="AT122" t="s" s="0">
        <v>3131</v>
      </c>
      <c r="AU122" t="s" s="0">
        <v>3132</v>
      </c>
      <c r="AV122" t="s" s="0">
        <v>81</v>
      </c>
      <c r="AW122" t="s" s="0">
        <v>3133</v>
      </c>
      <c r="AX122" t="s" s="0">
        <v>3134</v>
      </c>
      <c r="AY122" t="s" s="0">
        <v>1861</v>
      </c>
      <c r="AZ122" t="s" s="0">
        <v>111</v>
      </c>
      <c r="BA122" t="s" s="0">
        <v>3135</v>
      </c>
      <c r="BB122" t="s" s="0">
        <v>81</v>
      </c>
      <c r="BC122" t="s" s="0">
        <v>81</v>
      </c>
      <c r="BD122" t="s" s="0">
        <v>81</v>
      </c>
      <c r="BE122" t="s" s="0">
        <v>81</v>
      </c>
      <c r="BF122" t="s" s="0">
        <v>81</v>
      </c>
      <c r="BG122" t="s" s="0">
        <v>81</v>
      </c>
      <c r="BH122" t="s" s="0">
        <v>81</v>
      </c>
      <c r="BI122" t="s" s="0">
        <v>3136</v>
      </c>
      <c r="BJ122" t="s" s="0">
        <v>3137</v>
      </c>
      <c r="BK122" t="s" s="241">
        <f>HYPERLINK("http://dx.doi.org/10.1016/j.ijmedinf.2025.105793","http://dx.doi.org/10.1016/j.ijmedinf.2025.105793")</f>
        <v>3138</v>
      </c>
      <c r="BL122" t="s" s="0">
        <v>81</v>
      </c>
      <c r="BM122" t="s" s="0">
        <v>116</v>
      </c>
      <c r="BN122" t="s" s="0">
        <v>399</v>
      </c>
      <c r="BO122" t="s" s="0">
        <v>3139</v>
      </c>
      <c r="BP122" t="s" s="0">
        <v>3140</v>
      </c>
      <c r="BQ122" t="s" s="0">
        <v>3141</v>
      </c>
      <c r="BR122" t="s" s="0">
        <v>3142</v>
      </c>
      <c r="BS122" t="s" s="0">
        <v>3143</v>
      </c>
      <c r="BT122" t="s" s="242">
        <f>HYPERLINK("https://www.webofscience.com/wos/woscc/full-record/WOS:001410569900001","View Record in Web of Science")</f>
        <v>123</v>
      </c>
      <c r="BU122" t="s" s="0">
        <v>81</v>
      </c>
      <c r="BV122" t="s" s="0">
        <v>81</v>
      </c>
      <c r="BW122" t="s" s="0">
        <v>81</v>
      </c>
      <c r="BX122" t="s" s="0">
        <v>124</v>
      </c>
    </row>
    <row r="123">
      <c r="A123" t="s" s="0">
        <v>77</v>
      </c>
      <c r="B123" t="s" s="0">
        <v>77</v>
      </c>
      <c r="C123" t="s" s="0">
        <v>77</v>
      </c>
      <c r="D123" t="s" s="0">
        <v>77</v>
      </c>
      <c r="E123" t="s" s="0">
        <v>3144</v>
      </c>
      <c r="F123" t="s" s="0">
        <v>3145</v>
      </c>
      <c r="G123" t="s" s="0">
        <v>3146</v>
      </c>
      <c r="H123" t="s" s="0">
        <v>81</v>
      </c>
      <c r="I123" t="s" s="0">
        <v>82</v>
      </c>
      <c r="J123" t="s" s="0">
        <v>3147</v>
      </c>
      <c r="K123" t="s" s="0">
        <v>3148</v>
      </c>
      <c r="L123" t="s" s="0">
        <v>3149</v>
      </c>
      <c r="M123" t="s" s="0">
        <v>3149</v>
      </c>
      <c r="N123" t="s" s="0">
        <v>3150</v>
      </c>
      <c r="O123" t="s" s="0">
        <v>3151</v>
      </c>
      <c r="P123" t="s" s="0">
        <v>3152</v>
      </c>
      <c r="Q123" t="s" s="0">
        <v>90</v>
      </c>
      <c r="R123" t="s" s="0">
        <v>81</v>
      </c>
      <c r="S123" t="s" s="0">
        <v>81</v>
      </c>
      <c r="T123" t="s" s="0">
        <v>81</v>
      </c>
      <c r="U123" t="s" s="0">
        <v>81</v>
      </c>
      <c r="V123" t="s" s="0">
        <v>3153</v>
      </c>
      <c r="W123" t="s" s="0">
        <v>2082</v>
      </c>
      <c r="X123" t="s" s="0">
        <v>81</v>
      </c>
      <c r="Y123" t="s" s="0">
        <v>81</v>
      </c>
      <c r="Z123" t="s" s="0">
        <v>93</v>
      </c>
      <c r="AA123" t="s" s="0">
        <v>94</v>
      </c>
      <c r="AB123" t="s" s="0">
        <v>81</v>
      </c>
      <c r="AC123" t="s" s="0">
        <v>81</v>
      </c>
      <c r="AD123" t="s" s="0">
        <v>81</v>
      </c>
      <c r="AE123" t="s" s="0">
        <v>81</v>
      </c>
      <c r="AF123" t="s" s="0">
        <v>81</v>
      </c>
      <c r="AG123" t="s" s="0">
        <v>3154</v>
      </c>
      <c r="AH123" t="s" s="0">
        <v>3155</v>
      </c>
      <c r="AI123" t="s" s="0">
        <v>3156</v>
      </c>
      <c r="AJ123" t="s" s="0">
        <v>3157</v>
      </c>
      <c r="AK123" t="s" s="0">
        <v>81</v>
      </c>
      <c r="AL123" t="s" s="0">
        <v>915</v>
      </c>
      <c r="AM123" t="s" s="0">
        <v>100</v>
      </c>
      <c r="AN123" t="s" s="0">
        <v>100</v>
      </c>
      <c r="AO123" t="s" s="0">
        <v>183</v>
      </c>
      <c r="AP123" t="s" s="0">
        <v>275</v>
      </c>
      <c r="AQ123" t="s" s="0">
        <v>588</v>
      </c>
      <c r="AR123" t="s" s="0">
        <v>589</v>
      </c>
      <c r="AS123" t="s" s="0">
        <v>590</v>
      </c>
      <c r="AT123" t="s" s="0">
        <v>2087</v>
      </c>
      <c r="AU123" t="s" s="0">
        <v>81</v>
      </c>
      <c r="AV123" t="s" s="0">
        <v>81</v>
      </c>
      <c r="AW123" t="s" s="0">
        <v>2082</v>
      </c>
      <c r="AX123" t="s" s="0">
        <v>2088</v>
      </c>
      <c r="AY123" t="s" s="0">
        <v>111</v>
      </c>
      <c r="AZ123" t="s" s="0">
        <v>111</v>
      </c>
      <c r="BA123" t="s" s="0">
        <v>117</v>
      </c>
      <c r="BB123" t="s" s="0">
        <v>81</v>
      </c>
      <c r="BC123" t="s" s="0">
        <v>81</v>
      </c>
      <c r="BD123" t="s" s="0">
        <v>81</v>
      </c>
      <c r="BE123" t="s" s="0">
        <v>81</v>
      </c>
      <c r="BF123" t="s" s="0">
        <v>81</v>
      </c>
      <c r="BG123" t="s" s="0">
        <v>3158</v>
      </c>
      <c r="BH123" t="s" s="0">
        <v>3159</v>
      </c>
      <c r="BI123" t="s" s="0">
        <v>81</v>
      </c>
      <c r="BJ123" t="s" s="0">
        <v>3160</v>
      </c>
      <c r="BK123" t="s" s="243">
        <f>HYPERLINK("http://dx.doi.org/10.1109/ACCESS.2025.3586713","http://dx.doi.org/10.1109/ACCESS.2025.3586713")</f>
        <v>3161</v>
      </c>
      <c r="BL123" t="s" s="0">
        <v>81</v>
      </c>
      <c r="BM123" t="s" s="0">
        <v>81</v>
      </c>
      <c r="BN123" t="s" s="0">
        <v>461</v>
      </c>
      <c r="BO123" t="s" s="0">
        <v>712</v>
      </c>
      <c r="BP123" t="s" s="0">
        <v>713</v>
      </c>
      <c r="BQ123" t="s" s="0">
        <v>3162</v>
      </c>
      <c r="BR123" t="s" s="0">
        <v>81</v>
      </c>
      <c r="BS123" t="s" s="0">
        <v>3163</v>
      </c>
      <c r="BT123" t="s" s="244">
        <f>HYPERLINK("https://www.webofscience.com/wos/woscc/full-record/WOS:001530262800021","View Record in Web of Science")</f>
        <v>123</v>
      </c>
      <c r="BU123" t="s" s="0">
        <v>191</v>
      </c>
      <c r="BV123" t="s" s="0">
        <v>81</v>
      </c>
      <c r="BW123" t="s" s="0">
        <v>81</v>
      </c>
      <c r="BX123" t="s" s="0">
        <v>124</v>
      </c>
    </row>
    <row r="124">
      <c r="A124" t="s" s="0">
        <v>137</v>
      </c>
      <c r="B124" t="s" s="0">
        <v>77</v>
      </c>
      <c r="C124" t="s" s="0">
        <v>77</v>
      </c>
      <c r="D124" t="s" s="0">
        <v>77</v>
      </c>
      <c r="E124" t="s" s="0">
        <v>3164</v>
      </c>
      <c r="F124" t="s" s="0">
        <v>3165</v>
      </c>
      <c r="G124" t="s" s="0">
        <v>3166</v>
      </c>
      <c r="H124" t="s" s="0">
        <v>81</v>
      </c>
      <c r="I124" t="s" s="0">
        <v>82</v>
      </c>
      <c r="J124" t="s" s="0">
        <v>3167</v>
      </c>
      <c r="K124" t="s" s="0">
        <v>3168</v>
      </c>
      <c r="L124" t="s" s="0">
        <v>3169</v>
      </c>
      <c r="M124" t="s" s="0">
        <v>3170</v>
      </c>
      <c r="N124" t="s" s="0">
        <v>497</v>
      </c>
      <c r="O124" t="s" s="0">
        <v>3171</v>
      </c>
      <c r="P124" t="s" s="0">
        <v>3172</v>
      </c>
      <c r="Q124" t="s" s="0">
        <v>90</v>
      </c>
      <c r="R124" t="s" s="0">
        <v>81</v>
      </c>
      <c r="S124" t="s" s="0">
        <v>81</v>
      </c>
      <c r="T124" t="s" s="0">
        <v>81</v>
      </c>
      <c r="U124" t="s" s="0">
        <v>81</v>
      </c>
      <c r="V124" t="s" s="0">
        <v>3173</v>
      </c>
      <c r="W124" t="s" s="0">
        <v>3174</v>
      </c>
      <c r="X124" t="s" s="0">
        <v>81</v>
      </c>
      <c r="Y124" t="s" s="0">
        <v>81</v>
      </c>
      <c r="Z124" t="s" s="0">
        <v>93</v>
      </c>
      <c r="AA124" t="s" s="0">
        <v>94</v>
      </c>
      <c r="AB124" t="s" s="0">
        <v>81</v>
      </c>
      <c r="AC124" t="s" s="0">
        <v>81</v>
      </c>
      <c r="AD124" t="s" s="0">
        <v>81</v>
      </c>
      <c r="AE124" t="s" s="0">
        <v>81</v>
      </c>
      <c r="AF124" t="s" s="0">
        <v>81</v>
      </c>
      <c r="AG124" t="s" s="0">
        <v>3175</v>
      </c>
      <c r="AH124" t="s" s="0">
        <v>81</v>
      </c>
      <c r="AI124" t="s" s="0">
        <v>3176</v>
      </c>
      <c r="AJ124" t="s" s="0">
        <v>3177</v>
      </c>
      <c r="AK124" t="s" s="0">
        <v>81</v>
      </c>
      <c r="AL124" t="s" s="0">
        <v>566</v>
      </c>
      <c r="AM124" t="s" s="0">
        <v>399</v>
      </c>
      <c r="AN124" t="s" s="0">
        <v>152</v>
      </c>
      <c r="AO124" t="s" s="0">
        <v>301</v>
      </c>
      <c r="AP124" t="s" s="0">
        <v>390</v>
      </c>
      <c r="AQ124" t="s" s="0">
        <v>174</v>
      </c>
      <c r="AR124" t="s" s="0">
        <v>175</v>
      </c>
      <c r="AS124" t="s" s="0">
        <v>208</v>
      </c>
      <c r="AT124" t="s" s="0">
        <v>81</v>
      </c>
      <c r="AU124" t="s" s="0">
        <v>3178</v>
      </c>
      <c r="AV124" t="s" s="0">
        <v>81</v>
      </c>
      <c r="AW124" t="s" s="0">
        <v>3174</v>
      </c>
      <c r="AX124" t="s" s="0">
        <v>3179</v>
      </c>
      <c r="AY124" t="s" s="0">
        <v>3180</v>
      </c>
      <c r="AZ124" t="s" s="0">
        <v>181</v>
      </c>
      <c r="BA124" t="s" s="0">
        <v>117</v>
      </c>
      <c r="BB124" t="s" s="0">
        <v>676</v>
      </c>
      <c r="BC124" t="s" s="0">
        <v>81</v>
      </c>
      <c r="BD124" t="s" s="0">
        <v>81</v>
      </c>
      <c r="BE124" t="s" s="0">
        <v>81</v>
      </c>
      <c r="BF124" t="s" s="0">
        <v>81</v>
      </c>
      <c r="BG124" t="s" s="0">
        <v>81</v>
      </c>
      <c r="BH124" t="s" s="0">
        <v>81</v>
      </c>
      <c r="BI124" t="s" s="0">
        <v>3181</v>
      </c>
      <c r="BJ124" t="s" s="0">
        <v>3182</v>
      </c>
      <c r="BK124" t="s" s="245">
        <f>HYPERLINK("http://dx.doi.org/10.3390/diagnostics13223481","http://dx.doi.org/10.3390/diagnostics13223481")</f>
        <v>3183</v>
      </c>
      <c r="BL124" t="s" s="0">
        <v>81</v>
      </c>
      <c r="BM124" t="s" s="0">
        <v>81</v>
      </c>
      <c r="BN124" t="s" s="0">
        <v>895</v>
      </c>
      <c r="BO124" t="s" s="0">
        <v>3184</v>
      </c>
      <c r="BP124" t="s" s="0">
        <v>3185</v>
      </c>
      <c r="BQ124" t="s" s="0">
        <v>3186</v>
      </c>
      <c r="BR124" t="s" s="0">
        <v>3187</v>
      </c>
      <c r="BS124" t="s" s="0">
        <v>3188</v>
      </c>
      <c r="BT124" t="s" s="246">
        <f>HYPERLINK("https://www.webofscience.com/wos/woscc/full-record/WOS:001119572200001","View Record in Web of Science")</f>
        <v>123</v>
      </c>
      <c r="BU124" t="s" s="0">
        <v>191</v>
      </c>
      <c r="BV124" t="s" s="0">
        <v>81</v>
      </c>
      <c r="BW124" t="s" s="0">
        <v>81</v>
      </c>
      <c r="BX124" t="s" s="0">
        <v>124</v>
      </c>
    </row>
    <row r="125">
      <c r="A125" t="s" s="0">
        <v>77</v>
      </c>
      <c r="B125" t="s" s="0">
        <v>77</v>
      </c>
      <c r="C125" t="s" s="0">
        <v>101</v>
      </c>
      <c r="D125" t="s" s="0">
        <v>77</v>
      </c>
      <c r="E125" t="s" s="0">
        <v>3189</v>
      </c>
      <c r="F125" t="s" s="0">
        <v>3190</v>
      </c>
      <c r="G125" t="s" s="0">
        <v>3191</v>
      </c>
      <c r="H125" t="s" s="0">
        <v>81</v>
      </c>
      <c r="I125" t="s" s="0">
        <v>82</v>
      </c>
      <c r="J125" t="s" s="0">
        <v>3192</v>
      </c>
      <c r="K125" t="s" s="0">
        <v>3193</v>
      </c>
      <c r="L125" t="s" s="0">
        <v>3194</v>
      </c>
      <c r="M125" t="s" s="0">
        <v>3195</v>
      </c>
      <c r="N125" t="s" s="0">
        <v>3196</v>
      </c>
      <c r="O125" t="s" s="0">
        <v>3197</v>
      </c>
      <c r="P125" t="s" s="0">
        <v>3198</v>
      </c>
      <c r="Q125" t="s" s="0">
        <v>90</v>
      </c>
      <c r="R125" t="s" s="0">
        <v>81</v>
      </c>
      <c r="S125" t="s" s="0">
        <v>81</v>
      </c>
      <c r="T125" t="s" s="0">
        <v>81</v>
      </c>
      <c r="U125" t="s" s="0">
        <v>81</v>
      </c>
      <c r="V125" t="s" s="0">
        <v>3199</v>
      </c>
      <c r="W125" t="s" s="0">
        <v>3200</v>
      </c>
      <c r="X125" t="s" s="0">
        <v>81</v>
      </c>
      <c r="Y125" t="s" s="0">
        <v>81</v>
      </c>
      <c r="Z125" t="s" s="0">
        <v>93</v>
      </c>
      <c r="AA125" t="s" s="0">
        <v>94</v>
      </c>
      <c r="AB125" t="s" s="0">
        <v>81</v>
      </c>
      <c r="AC125" t="s" s="0">
        <v>81</v>
      </c>
      <c r="AD125" t="s" s="0">
        <v>81</v>
      </c>
      <c r="AE125" t="s" s="0">
        <v>81</v>
      </c>
      <c r="AF125" t="s" s="0">
        <v>81</v>
      </c>
      <c r="AG125" t="s" s="0">
        <v>3201</v>
      </c>
      <c r="AH125" t="s" s="0">
        <v>3202</v>
      </c>
      <c r="AI125" t="s" s="0">
        <v>3203</v>
      </c>
      <c r="AJ125" t="s" s="0">
        <v>3204</v>
      </c>
      <c r="AK125" t="s" s="0">
        <v>81</v>
      </c>
      <c r="AL125" t="s" s="0">
        <v>2021</v>
      </c>
      <c r="AM125" t="s" s="0">
        <v>183</v>
      </c>
      <c r="AN125" t="s" s="0">
        <v>183</v>
      </c>
      <c r="AO125" t="s" s="0">
        <v>100</v>
      </c>
      <c r="AP125" t="s" s="0">
        <v>1832</v>
      </c>
      <c r="AQ125" t="s" s="0">
        <v>786</v>
      </c>
      <c r="AR125" t="s" s="0">
        <v>787</v>
      </c>
      <c r="AS125" t="s" s="0">
        <v>788</v>
      </c>
      <c r="AT125" t="s" s="0">
        <v>3205</v>
      </c>
      <c r="AU125" t="s" s="0">
        <v>3206</v>
      </c>
      <c r="AV125" t="s" s="0">
        <v>81</v>
      </c>
      <c r="AW125" t="s" s="0">
        <v>3207</v>
      </c>
      <c r="AX125" t="s" s="0">
        <v>3208</v>
      </c>
      <c r="AY125" t="s" s="0">
        <v>3209</v>
      </c>
      <c r="AZ125" t="s" s="0">
        <v>111</v>
      </c>
      <c r="BA125" t="s" s="0">
        <v>3210</v>
      </c>
      <c r="BB125" t="s" s="0">
        <v>81</v>
      </c>
      <c r="BC125" t="s" s="0">
        <v>81</v>
      </c>
      <c r="BD125" t="s" s="0">
        <v>81</v>
      </c>
      <c r="BE125" t="s" s="0">
        <v>81</v>
      </c>
      <c r="BF125" t="s" s="0">
        <v>81</v>
      </c>
      <c r="BG125" t="s" s="0">
        <v>81</v>
      </c>
      <c r="BH125" t="s" s="0">
        <v>81</v>
      </c>
      <c r="BI125" t="s" s="0">
        <v>3211</v>
      </c>
      <c r="BJ125" t="s" s="0">
        <v>3212</v>
      </c>
      <c r="BK125" t="s" s="247">
        <f>HYPERLINK("http://dx.doi.org/10.1016/j.engappai.2025.110142","http://dx.doi.org/10.1016/j.engappai.2025.110142")</f>
        <v>3213</v>
      </c>
      <c r="BL125" t="s" s="0">
        <v>81</v>
      </c>
      <c r="BM125" t="s" s="0">
        <v>116</v>
      </c>
      <c r="BN125" t="s" s="0">
        <v>676</v>
      </c>
      <c r="BO125" t="s" s="0">
        <v>3214</v>
      </c>
      <c r="BP125" t="s" s="0">
        <v>3215</v>
      </c>
      <c r="BQ125" t="s" s="0">
        <v>3216</v>
      </c>
      <c r="BR125" t="s" s="0">
        <v>81</v>
      </c>
      <c r="BS125" t="s" s="0">
        <v>3217</v>
      </c>
      <c r="BT125" t="s" s="248">
        <f>HYPERLINK("https://www.webofscience.com/wos/woscc/full-record/WOS:001422227500001","View Record in Web of Science")</f>
        <v>123</v>
      </c>
      <c r="BU125" t="s" s="0">
        <v>157</v>
      </c>
      <c r="BV125" t="s" s="0">
        <v>81</v>
      </c>
      <c r="BW125" t="s" s="0">
        <v>81</v>
      </c>
      <c r="BX125" t="s" s="0">
        <v>124</v>
      </c>
    </row>
    <row r="126">
      <c r="A126" t="s" s="0">
        <v>77</v>
      </c>
      <c r="B126" t="s" s="0">
        <v>77</v>
      </c>
      <c r="C126" t="s" s="0">
        <v>101</v>
      </c>
      <c r="D126" t="s" s="0">
        <v>77</v>
      </c>
      <c r="E126" t="s" s="0">
        <v>3218</v>
      </c>
      <c r="F126" t="s" s="0">
        <v>3219</v>
      </c>
      <c r="G126" t="s" s="0">
        <v>3220</v>
      </c>
      <c r="H126" t="s" s="0">
        <v>81</v>
      </c>
      <c r="I126" t="s" s="0">
        <v>82</v>
      </c>
      <c r="J126" t="s" s="0">
        <v>3221</v>
      </c>
      <c r="K126" t="s" s="0">
        <v>3222</v>
      </c>
      <c r="L126" t="s" s="0">
        <v>81</v>
      </c>
      <c r="M126" t="s" s="0">
        <v>81</v>
      </c>
      <c r="N126" t="s" s="0">
        <v>81</v>
      </c>
      <c r="O126" t="s" s="0">
        <v>3223</v>
      </c>
      <c r="P126" t="s" s="0">
        <v>3224</v>
      </c>
      <c r="Q126" t="s" s="0">
        <v>90</v>
      </c>
      <c r="R126" t="s" s="0">
        <v>81</v>
      </c>
      <c r="S126" t="s" s="0">
        <v>81</v>
      </c>
      <c r="T126" t="s" s="0">
        <v>81</v>
      </c>
      <c r="U126" t="s" s="0">
        <v>81</v>
      </c>
      <c r="V126" t="s" s="0">
        <v>3225</v>
      </c>
      <c r="W126" t="s" s="0">
        <v>3226</v>
      </c>
      <c r="X126" t="s" s="0">
        <v>81</v>
      </c>
      <c r="Y126" t="s" s="0">
        <v>81</v>
      </c>
      <c r="Z126" t="s" s="0">
        <v>93</v>
      </c>
      <c r="AA126" t="s" s="0">
        <v>94</v>
      </c>
      <c r="AB126" t="s" s="0">
        <v>81</v>
      </c>
      <c r="AC126" t="s" s="0">
        <v>81</v>
      </c>
      <c r="AD126" t="s" s="0">
        <v>81</v>
      </c>
      <c r="AE126" t="s" s="0">
        <v>81</v>
      </c>
      <c r="AF126" t="s" s="0">
        <v>81</v>
      </c>
      <c r="AG126" t="s" s="0">
        <v>3227</v>
      </c>
      <c r="AH126" t="s" s="0">
        <v>3228</v>
      </c>
      <c r="AI126" t="s" s="0">
        <v>3229</v>
      </c>
      <c r="AJ126" t="s" s="0">
        <v>3230</v>
      </c>
      <c r="AK126" t="s" s="0">
        <v>81</v>
      </c>
      <c r="AL126" t="s" s="0">
        <v>2596</v>
      </c>
      <c r="AM126" t="s" s="0">
        <v>172</v>
      </c>
      <c r="AN126" t="s" s="0">
        <v>172</v>
      </c>
      <c r="AO126" t="s" s="0">
        <v>158</v>
      </c>
      <c r="AP126" t="s" s="0">
        <v>171</v>
      </c>
      <c r="AQ126" t="s" s="0">
        <v>140</v>
      </c>
      <c r="AR126" t="s" s="0">
        <v>141</v>
      </c>
      <c r="AS126" t="s" s="0">
        <v>142</v>
      </c>
      <c r="AT126" t="s" s="0">
        <v>3231</v>
      </c>
      <c r="AU126" t="s" s="0">
        <v>3232</v>
      </c>
      <c r="AV126" t="s" s="0">
        <v>81</v>
      </c>
      <c r="AW126" t="s" s="0">
        <v>3233</v>
      </c>
      <c r="AX126" t="s" s="0">
        <v>3234</v>
      </c>
      <c r="AY126" t="s" s="0">
        <v>1861</v>
      </c>
      <c r="AZ126" t="s" s="0">
        <v>111</v>
      </c>
      <c r="BA126" t="s" s="0">
        <v>366</v>
      </c>
      <c r="BB126" t="s" s="0">
        <v>81</v>
      </c>
      <c r="BC126" t="s" s="0">
        <v>81</v>
      </c>
      <c r="BD126" t="s" s="0">
        <v>81</v>
      </c>
      <c r="BE126" t="s" s="0">
        <v>81</v>
      </c>
      <c r="BF126" t="s" s="0">
        <v>81</v>
      </c>
      <c r="BG126" t="s" s="0">
        <v>81</v>
      </c>
      <c r="BH126" t="s" s="0">
        <v>81</v>
      </c>
      <c r="BI126" t="s" s="0">
        <v>3235</v>
      </c>
      <c r="BJ126" t="s" s="0">
        <v>3236</v>
      </c>
      <c r="BK126" t="s" s="249">
        <f>HYPERLINK("http://dx.doi.org/10.1016/j.artmed.2025.103091","http://dx.doi.org/10.1016/j.artmed.2025.103091")</f>
        <v>3237</v>
      </c>
      <c r="BL126" t="s" s="0">
        <v>81</v>
      </c>
      <c r="BM126" t="s" s="0">
        <v>404</v>
      </c>
      <c r="BN126" t="s" s="0">
        <v>213</v>
      </c>
      <c r="BO126" t="s" s="0">
        <v>3238</v>
      </c>
      <c r="BP126" t="s" s="0">
        <v>119</v>
      </c>
      <c r="BQ126" t="s" s="0">
        <v>3239</v>
      </c>
      <c r="BR126" t="s" s="0">
        <v>3240</v>
      </c>
      <c r="BS126" t="s" s="0">
        <v>3241</v>
      </c>
      <c r="BT126" t="s" s="250">
        <f>HYPERLINK("https://www.webofscience.com/wos/woscc/full-record/WOS:001435367300001","View Record in Web of Science")</f>
        <v>123</v>
      </c>
      <c r="BU126" t="s" s="0">
        <v>81</v>
      </c>
      <c r="BV126" t="s" s="0">
        <v>81</v>
      </c>
      <c r="BW126" t="s" s="0">
        <v>81</v>
      </c>
      <c r="BX126" t="s" s="0">
        <v>124</v>
      </c>
    </row>
    <row r="127">
      <c r="A127" t="s" s="0">
        <v>77</v>
      </c>
      <c r="B127" t="s" s="0">
        <v>77</v>
      </c>
      <c r="C127" t="s" s="0">
        <v>137</v>
      </c>
      <c r="D127" t="s" s="0">
        <v>77</v>
      </c>
      <c r="E127" t="s" s="0">
        <v>3242</v>
      </c>
      <c r="F127" t="s" s="0">
        <v>3243</v>
      </c>
      <c r="G127" t="s" s="0">
        <v>3244</v>
      </c>
      <c r="H127" t="s" s="0">
        <v>81</v>
      </c>
      <c r="I127" t="s" s="0">
        <v>82</v>
      </c>
      <c r="J127" t="s" s="0">
        <v>3245</v>
      </c>
      <c r="K127" t="s" s="0">
        <v>3246</v>
      </c>
      <c r="L127" t="s" s="0">
        <v>81</v>
      </c>
      <c r="M127" t="s" s="0">
        <v>81</v>
      </c>
      <c r="N127" t="s" s="0">
        <v>81</v>
      </c>
      <c r="O127" t="s" s="0">
        <v>3247</v>
      </c>
      <c r="P127" t="s" s="0">
        <v>3248</v>
      </c>
      <c r="Q127" t="s" s="0">
        <v>90</v>
      </c>
      <c r="R127" t="s" s="0">
        <v>81</v>
      </c>
      <c r="S127" t="s" s="0">
        <v>81</v>
      </c>
      <c r="T127" t="s" s="0">
        <v>81</v>
      </c>
      <c r="U127" t="s" s="0">
        <v>81</v>
      </c>
      <c r="V127" t="s" s="0">
        <v>3249</v>
      </c>
      <c r="W127" t="s" s="0">
        <v>3250</v>
      </c>
      <c r="X127" t="s" s="0">
        <v>81</v>
      </c>
      <c r="Y127" t="s" s="0">
        <v>81</v>
      </c>
      <c r="Z127" t="s" s="0">
        <v>93</v>
      </c>
      <c r="AA127" t="s" s="0">
        <v>94</v>
      </c>
      <c r="AB127" t="s" s="0">
        <v>81</v>
      </c>
      <c r="AC127" t="s" s="0">
        <v>81</v>
      </c>
      <c r="AD127" t="s" s="0">
        <v>81</v>
      </c>
      <c r="AE127" t="s" s="0">
        <v>81</v>
      </c>
      <c r="AF127" t="s" s="0">
        <v>81</v>
      </c>
      <c r="AG127" t="s" s="0">
        <v>3251</v>
      </c>
      <c r="AH127" t="s" s="0">
        <v>3252</v>
      </c>
      <c r="AI127" t="s" s="0">
        <v>3253</v>
      </c>
      <c r="AJ127" t="s" s="0">
        <v>3254</v>
      </c>
      <c r="AK127" t="s" s="0">
        <v>81</v>
      </c>
      <c r="AL127" t="s" s="0">
        <v>1832</v>
      </c>
      <c r="AM127" t="s" s="0">
        <v>100</v>
      </c>
      <c r="AN127" t="s" s="0">
        <v>100</v>
      </c>
      <c r="AO127" t="s" s="0">
        <v>77</v>
      </c>
      <c r="AP127" t="s" s="0">
        <v>100</v>
      </c>
      <c r="AQ127" t="s" s="0">
        <v>2181</v>
      </c>
      <c r="AR127" t="s" s="0">
        <v>2182</v>
      </c>
      <c r="AS127" t="s" s="0">
        <v>2183</v>
      </c>
      <c r="AT127" t="s" s="0">
        <v>3255</v>
      </c>
      <c r="AU127" t="s" s="0">
        <v>3256</v>
      </c>
      <c r="AV127" t="s" s="0">
        <v>81</v>
      </c>
      <c r="AW127" t="s" s="0">
        <v>3257</v>
      </c>
      <c r="AX127" t="s" s="0">
        <v>3258</v>
      </c>
      <c r="AY127" t="s" s="0">
        <v>110</v>
      </c>
      <c r="AZ127" t="s" s="0">
        <v>111</v>
      </c>
      <c r="BA127" t="s" s="0">
        <v>207</v>
      </c>
      <c r="BB127" t="s" s="0">
        <v>158</v>
      </c>
      <c r="BC127" t="s" s="0">
        <v>81</v>
      </c>
      <c r="BD127" t="s" s="0">
        <v>81</v>
      </c>
      <c r="BE127" t="s" s="0">
        <v>81</v>
      </c>
      <c r="BF127" t="s" s="0">
        <v>81</v>
      </c>
      <c r="BG127" t="s" s="0">
        <v>81</v>
      </c>
      <c r="BH127" t="s" s="0">
        <v>81</v>
      </c>
      <c r="BI127" t="s" s="0">
        <v>3259</v>
      </c>
      <c r="BJ127" t="s" s="0">
        <v>3260</v>
      </c>
      <c r="BK127" t="s" s="251">
        <f>HYPERLINK("http://dx.doi.org/10.1097/RTI.0000000000000831","http://dx.doi.org/10.1097/RTI.0000000000000831")</f>
        <v>3261</v>
      </c>
      <c r="BL127" t="s" s="0">
        <v>81</v>
      </c>
      <c r="BM127" t="s" s="0">
        <v>81</v>
      </c>
      <c r="BN127" t="s" s="0">
        <v>138</v>
      </c>
      <c r="BO127" t="s" s="0">
        <v>519</v>
      </c>
      <c r="BP127" t="s" s="0">
        <v>519</v>
      </c>
      <c r="BQ127" t="s" s="0">
        <v>3262</v>
      </c>
      <c r="BR127" t="s" s="0">
        <v>3263</v>
      </c>
      <c r="BS127" t="s" s="0">
        <v>3264</v>
      </c>
      <c r="BT127" t="s" s="252">
        <f>HYPERLINK("https://www.webofscience.com/wos/woscc/full-record/WOS:001555619000004","View Record in Web of Science")</f>
        <v>123</v>
      </c>
      <c r="BU127" t="s" s="0">
        <v>81</v>
      </c>
      <c r="BV127" t="s" s="0">
        <v>81</v>
      </c>
      <c r="BW127" t="s" s="0">
        <v>81</v>
      </c>
      <c r="BX127" t="s" s="0">
        <v>124</v>
      </c>
    </row>
    <row r="128">
      <c r="A128" t="s" s="0">
        <v>77</v>
      </c>
      <c r="B128" t="s" s="0">
        <v>77</v>
      </c>
      <c r="C128" t="s" s="0">
        <v>77</v>
      </c>
      <c r="D128" t="s" s="0">
        <v>77</v>
      </c>
      <c r="E128" t="s" s="0">
        <v>3265</v>
      </c>
      <c r="F128" t="s" s="0">
        <v>3266</v>
      </c>
      <c r="G128" t="s" s="0">
        <v>3267</v>
      </c>
      <c r="H128" t="s" s="0">
        <v>81</v>
      </c>
      <c r="I128" t="s" s="0">
        <v>195</v>
      </c>
      <c r="J128" t="s" s="0">
        <v>3268</v>
      </c>
      <c r="K128" t="s" s="0">
        <v>81</v>
      </c>
      <c r="L128" t="s" s="0">
        <v>81</v>
      </c>
      <c r="M128" t="s" s="0">
        <v>81</v>
      </c>
      <c r="N128" t="s" s="0">
        <v>81</v>
      </c>
      <c r="O128" t="s" s="0">
        <v>3269</v>
      </c>
      <c r="P128" t="s" s="0">
        <v>3270</v>
      </c>
      <c r="Q128" t="s" s="0">
        <v>90</v>
      </c>
      <c r="R128" t="s" s="0">
        <v>81</v>
      </c>
      <c r="S128" t="s" s="0">
        <v>81</v>
      </c>
      <c r="T128" t="s" s="0">
        <v>81</v>
      </c>
      <c r="U128" t="s" s="0">
        <v>81</v>
      </c>
      <c r="V128" t="s" s="0">
        <v>3271</v>
      </c>
      <c r="W128" t="s" s="0">
        <v>3272</v>
      </c>
      <c r="X128" t="s" s="0">
        <v>81</v>
      </c>
      <c r="Y128" t="s" s="0">
        <v>81</v>
      </c>
      <c r="Z128" t="s" s="0">
        <v>93</v>
      </c>
      <c r="AA128" t="s" s="0">
        <v>94</v>
      </c>
      <c r="AB128" t="s" s="0">
        <v>81</v>
      </c>
      <c r="AC128" t="s" s="0">
        <v>81</v>
      </c>
      <c r="AD128" t="s" s="0">
        <v>81</v>
      </c>
      <c r="AE128" t="s" s="0">
        <v>81</v>
      </c>
      <c r="AF128" t="s" s="0">
        <v>81</v>
      </c>
      <c r="AG128" t="s" s="0">
        <v>3273</v>
      </c>
      <c r="AH128" t="s" s="0">
        <v>3274</v>
      </c>
      <c r="AI128" t="s" s="0">
        <v>3275</v>
      </c>
      <c r="AJ128" t="s" s="0">
        <v>3276</v>
      </c>
      <c r="AK128" t="s" s="0">
        <v>81</v>
      </c>
      <c r="AL128" t="s" s="0">
        <v>513</v>
      </c>
      <c r="AM128" t="s" s="0">
        <v>77</v>
      </c>
      <c r="AN128" t="s" s="0">
        <v>77</v>
      </c>
      <c r="AO128" t="s" s="0">
        <v>77</v>
      </c>
      <c r="AP128" t="s" s="0">
        <v>77</v>
      </c>
      <c r="AQ128" t="s" s="0">
        <v>3277</v>
      </c>
      <c r="AR128" t="s" s="0">
        <v>3278</v>
      </c>
      <c r="AS128" t="s" s="0">
        <v>3279</v>
      </c>
      <c r="AT128" t="s" s="0">
        <v>3280</v>
      </c>
      <c r="AU128" t="s" s="0">
        <v>3281</v>
      </c>
      <c r="AV128" t="s" s="0">
        <v>81</v>
      </c>
      <c r="AW128" t="s" s="0">
        <v>3282</v>
      </c>
      <c r="AX128" t="s" s="0">
        <v>3283</v>
      </c>
      <c r="AY128" t="s" s="0">
        <v>212</v>
      </c>
      <c r="AZ128" t="s" s="0">
        <v>212</v>
      </c>
      <c r="BA128" t="s" s="0">
        <v>102</v>
      </c>
      <c r="BB128" t="s" s="0">
        <v>158</v>
      </c>
      <c r="BC128" t="s" s="0">
        <v>81</v>
      </c>
      <c r="BD128" t="s" s="0">
        <v>81</v>
      </c>
      <c r="BE128" t="s" s="0">
        <v>81</v>
      </c>
      <c r="BF128" t="s" s="0">
        <v>81</v>
      </c>
      <c r="BG128" t="s" s="0">
        <v>3284</v>
      </c>
      <c r="BH128" t="s" s="0">
        <v>3285</v>
      </c>
      <c r="BI128" t="s" s="0">
        <v>81</v>
      </c>
      <c r="BJ128" t="s" s="0">
        <v>81</v>
      </c>
      <c r="BK128" t="s" s="0">
        <v>81</v>
      </c>
      <c r="BL128" t="s" s="0">
        <v>81</v>
      </c>
      <c r="BM128" t="s" s="0">
        <v>81</v>
      </c>
      <c r="BN128" t="s" s="0">
        <v>117</v>
      </c>
      <c r="BO128" t="s" s="0">
        <v>3286</v>
      </c>
      <c r="BP128" t="s" s="0">
        <v>250</v>
      </c>
      <c r="BQ128" t="s" s="0">
        <v>3287</v>
      </c>
      <c r="BR128" t="s" s="0">
        <v>81</v>
      </c>
      <c r="BS128" t="s" s="0">
        <v>3288</v>
      </c>
      <c r="BT128" t="s" s="253">
        <f>HYPERLINK("https://www.webofscience.com/wos/woscc/full-record/WOS:001799336900001","View Record in Web of Science")</f>
        <v>123</v>
      </c>
      <c r="BU128" t="s" s="0">
        <v>81</v>
      </c>
      <c r="BV128" t="s" s="0">
        <v>81</v>
      </c>
      <c r="BW128" t="s" s="0">
        <v>81</v>
      </c>
      <c r="BX128" t="s" s="0">
        <v>124</v>
      </c>
    </row>
    <row r="129">
      <c r="A129" t="s" s="0">
        <v>77</v>
      </c>
      <c r="B129" t="s" s="0">
        <v>77</v>
      </c>
      <c r="C129" t="s" s="0">
        <v>301</v>
      </c>
      <c r="D129" t="s" s="0">
        <v>77</v>
      </c>
      <c r="E129" t="s" s="0">
        <v>3289</v>
      </c>
      <c r="F129" t="s" s="0">
        <v>3290</v>
      </c>
      <c r="G129" t="s" s="0">
        <v>3291</v>
      </c>
      <c r="H129" t="s" s="0">
        <v>81</v>
      </c>
      <c r="I129" t="s" s="0">
        <v>82</v>
      </c>
      <c r="J129" t="s" s="0">
        <v>3292</v>
      </c>
      <c r="K129" t="s" s="0">
        <v>3293</v>
      </c>
      <c r="L129" t="s" s="0">
        <v>3294</v>
      </c>
      <c r="M129" t="s" s="0">
        <v>3295</v>
      </c>
      <c r="N129" t="s" s="0">
        <v>3296</v>
      </c>
      <c r="O129" t="s" s="0">
        <v>3297</v>
      </c>
      <c r="P129" t="s" s="0">
        <v>3298</v>
      </c>
      <c r="Q129" t="s" s="0">
        <v>90</v>
      </c>
      <c r="R129" t="s" s="0">
        <v>81</v>
      </c>
      <c r="S129" t="s" s="0">
        <v>81</v>
      </c>
      <c r="T129" t="s" s="0">
        <v>81</v>
      </c>
      <c r="U129" t="s" s="0">
        <v>81</v>
      </c>
      <c r="V129" t="s" s="0">
        <v>3299</v>
      </c>
      <c r="W129" t="s" s="0">
        <v>3300</v>
      </c>
      <c r="X129" t="s" s="0">
        <v>81</v>
      </c>
      <c r="Y129" t="s" s="0">
        <v>81</v>
      </c>
      <c r="Z129" t="s" s="0">
        <v>93</v>
      </c>
      <c r="AA129" t="s" s="0">
        <v>94</v>
      </c>
      <c r="AB129" t="s" s="0">
        <v>81</v>
      </c>
      <c r="AC129" t="s" s="0">
        <v>81</v>
      </c>
      <c r="AD129" t="s" s="0">
        <v>81</v>
      </c>
      <c r="AE129" t="s" s="0">
        <v>81</v>
      </c>
      <c r="AF129" t="s" s="0">
        <v>81</v>
      </c>
      <c r="AG129" t="s" s="0">
        <v>3301</v>
      </c>
      <c r="AH129" t="s" s="0">
        <v>3302</v>
      </c>
      <c r="AI129" t="s" s="0">
        <v>81</v>
      </c>
      <c r="AJ129" t="s" s="0">
        <v>3303</v>
      </c>
      <c r="AK129" t="s" s="0">
        <v>81</v>
      </c>
      <c r="AL129" t="s" s="0">
        <v>3304</v>
      </c>
      <c r="AM129" t="s" s="0">
        <v>102</v>
      </c>
      <c r="AN129" t="s" s="0">
        <v>652</v>
      </c>
      <c r="AO129" t="s" s="0">
        <v>101</v>
      </c>
      <c r="AP129" t="s" s="0">
        <v>1110</v>
      </c>
      <c r="AQ129" t="s" s="0">
        <v>174</v>
      </c>
      <c r="AR129" t="s" s="0">
        <v>175</v>
      </c>
      <c r="AS129" t="s" s="0">
        <v>208</v>
      </c>
      <c r="AT129" t="s" s="0">
        <v>3305</v>
      </c>
      <c r="AU129" t="s" s="0">
        <v>3306</v>
      </c>
      <c r="AV129" t="s" s="0">
        <v>81</v>
      </c>
      <c r="AW129" t="s" s="0">
        <v>3307</v>
      </c>
      <c r="AX129" t="s" s="0">
        <v>3308</v>
      </c>
      <c r="AY129" t="s" s="0">
        <v>3309</v>
      </c>
      <c r="AZ129" t="s" s="0">
        <v>111</v>
      </c>
      <c r="BA129" t="s" s="0">
        <v>1443</v>
      </c>
      <c r="BB129" t="s" s="0">
        <v>405</v>
      </c>
      <c r="BC129" t="s" s="0">
        <v>81</v>
      </c>
      <c r="BD129" t="s" s="0">
        <v>81</v>
      </c>
      <c r="BE129" t="s" s="0">
        <v>81</v>
      </c>
      <c r="BF129" t="s" s="0">
        <v>81</v>
      </c>
      <c r="BG129" t="s" s="0">
        <v>81</v>
      </c>
      <c r="BH129" t="s" s="0">
        <v>81</v>
      </c>
      <c r="BI129" t="s" s="0">
        <v>3310</v>
      </c>
      <c r="BJ129" t="s" s="0">
        <v>3311</v>
      </c>
      <c r="BK129" t="s" s="254">
        <f>HYPERLINK("http://dx.doi.org/10.3390/ijms26157135","http://dx.doi.org/10.3390/ijms26157135")</f>
        <v>3312</v>
      </c>
      <c r="BL129" t="s" s="0">
        <v>81</v>
      </c>
      <c r="BM129" t="s" s="0">
        <v>81</v>
      </c>
      <c r="BN129" t="s" s="0">
        <v>171</v>
      </c>
      <c r="BO129" t="s" s="0">
        <v>3313</v>
      </c>
      <c r="BP129" t="s" s="0">
        <v>3314</v>
      </c>
      <c r="BQ129" t="s" s="0">
        <v>3315</v>
      </c>
      <c r="BR129" t="s" s="0">
        <v>3316</v>
      </c>
      <c r="BS129" t="s" s="0">
        <v>3317</v>
      </c>
      <c r="BT129" t="s" s="255">
        <f>HYPERLINK("https://www.webofscience.com/wos/woscc/full-record/WOS:001552675900001","View Record in Web of Science")</f>
        <v>123</v>
      </c>
      <c r="BU129" t="s" s="0">
        <v>191</v>
      </c>
      <c r="BV129" t="s" s="0">
        <v>81</v>
      </c>
      <c r="BW129" t="s" s="0">
        <v>81</v>
      </c>
      <c r="BX129" t="s" s="0">
        <v>124</v>
      </c>
    </row>
    <row r="130">
      <c r="A130" t="s" s="0">
        <v>77</v>
      </c>
      <c r="B130" t="s" s="0">
        <v>77</v>
      </c>
      <c r="C130" t="s" s="0">
        <v>77</v>
      </c>
      <c r="D130" t="s" s="0">
        <v>77</v>
      </c>
      <c r="E130" t="s" s="0">
        <v>3318</v>
      </c>
      <c r="F130" t="s" s="0">
        <v>3319</v>
      </c>
      <c r="G130" t="s" s="0">
        <v>3320</v>
      </c>
      <c r="H130" t="s" s="0">
        <v>81</v>
      </c>
      <c r="I130" t="s" s="0">
        <v>82</v>
      </c>
      <c r="J130" t="s" s="0">
        <v>3321</v>
      </c>
      <c r="K130" t="s" s="0">
        <v>3322</v>
      </c>
      <c r="L130" t="s" s="0">
        <v>81</v>
      </c>
      <c r="M130" t="s" s="0">
        <v>81</v>
      </c>
      <c r="N130" t="s" s="0">
        <v>81</v>
      </c>
      <c r="O130" t="s" s="0">
        <v>3323</v>
      </c>
      <c r="P130" t="s" s="0">
        <v>81</v>
      </c>
      <c r="Q130" t="s" s="0">
        <v>90</v>
      </c>
      <c r="R130" t="s" s="0">
        <v>81</v>
      </c>
      <c r="S130" t="s" s="0">
        <v>81</v>
      </c>
      <c r="T130" t="s" s="0">
        <v>81</v>
      </c>
      <c r="U130" t="s" s="0">
        <v>81</v>
      </c>
      <c r="V130" t="s" s="0">
        <v>3324</v>
      </c>
      <c r="W130" t="s" s="0">
        <v>3325</v>
      </c>
      <c r="X130" t="s" s="0">
        <v>81</v>
      </c>
      <c r="Y130" t="s" s="0">
        <v>81</v>
      </c>
      <c r="Z130" t="s" s="0">
        <v>93</v>
      </c>
      <c r="AA130" t="s" s="0">
        <v>94</v>
      </c>
      <c r="AB130" t="s" s="0">
        <v>81</v>
      </c>
      <c r="AC130" t="s" s="0">
        <v>81</v>
      </c>
      <c r="AD130" t="s" s="0">
        <v>81</v>
      </c>
      <c r="AE130" t="s" s="0">
        <v>81</v>
      </c>
      <c r="AF130" t="s" s="0">
        <v>81</v>
      </c>
      <c r="AG130" t="s" s="0">
        <v>3326</v>
      </c>
      <c r="AH130" t="s" s="0">
        <v>3327</v>
      </c>
      <c r="AI130" t="s" s="0">
        <v>81</v>
      </c>
      <c r="AJ130" t="s" s="0">
        <v>81</v>
      </c>
      <c r="AK130" t="s" s="0">
        <v>81</v>
      </c>
      <c r="AL130" t="s" s="0">
        <v>566</v>
      </c>
      <c r="AM130" t="s" s="0">
        <v>77</v>
      </c>
      <c r="AN130" t="s" s="0">
        <v>77</v>
      </c>
      <c r="AO130" t="s" s="0">
        <v>77</v>
      </c>
      <c r="AP130" t="s" s="0">
        <v>77</v>
      </c>
      <c r="AQ130" t="s" s="0">
        <v>3328</v>
      </c>
      <c r="AR130" t="s" s="0">
        <v>3329</v>
      </c>
      <c r="AS130" t="s" s="0">
        <v>3330</v>
      </c>
      <c r="AT130" t="s" s="0">
        <v>3331</v>
      </c>
      <c r="AU130" t="s" s="0">
        <v>3332</v>
      </c>
      <c r="AV130" t="s" s="0">
        <v>81</v>
      </c>
      <c r="AW130" t="s" s="0">
        <v>3333</v>
      </c>
      <c r="AX130" t="s" s="0">
        <v>3334</v>
      </c>
      <c r="AY130" t="s" s="0">
        <v>244</v>
      </c>
      <c r="AZ130" t="s" s="0">
        <v>212</v>
      </c>
      <c r="BA130" t="s" s="0">
        <v>785</v>
      </c>
      <c r="BB130" t="s" s="0">
        <v>399</v>
      </c>
      <c r="BC130" t="s" s="0">
        <v>81</v>
      </c>
      <c r="BD130" t="s" s="0">
        <v>81</v>
      </c>
      <c r="BE130" t="s" s="0">
        <v>81</v>
      </c>
      <c r="BF130" t="s" s="0">
        <v>81</v>
      </c>
      <c r="BG130" t="s" s="0">
        <v>3335</v>
      </c>
      <c r="BH130" t="s" s="0">
        <v>3336</v>
      </c>
      <c r="BI130" t="s" s="0">
        <v>81</v>
      </c>
      <c r="BJ130" t="s" s="0">
        <v>3337</v>
      </c>
      <c r="BK130" t="s" s="256">
        <f>HYPERLINK("http://dx.doi.org/10.3349/ymj.2025.0370","http://dx.doi.org/10.3349/ymj.2025.0370")</f>
        <v>3338</v>
      </c>
      <c r="BL130" t="s" s="0">
        <v>81</v>
      </c>
      <c r="BM130" t="s" s="0">
        <v>81</v>
      </c>
      <c r="BN130" t="s" s="0">
        <v>182</v>
      </c>
      <c r="BO130" t="s" s="0">
        <v>3184</v>
      </c>
      <c r="BP130" t="s" s="0">
        <v>3185</v>
      </c>
      <c r="BQ130" t="s" s="0">
        <v>3339</v>
      </c>
      <c r="BR130" t="s" s="0">
        <v>81</v>
      </c>
      <c r="BS130" t="s" s="0">
        <v>3340</v>
      </c>
      <c r="BT130" t="s" s="257">
        <f>HYPERLINK("https://www.webofscience.com/wos/woscc/full-record/WOS:001852291100005","View Record in Web of Science")</f>
        <v>123</v>
      </c>
      <c r="BU130" t="s" s="0">
        <v>222</v>
      </c>
      <c r="BV130" t="s" s="0">
        <v>81</v>
      </c>
      <c r="BW130" t="s" s="0">
        <v>81</v>
      </c>
      <c r="BX130" t="s" s="0">
        <v>124</v>
      </c>
    </row>
    <row r="131">
      <c r="A131" t="s" s="0">
        <v>77</v>
      </c>
      <c r="B131" t="s" s="0">
        <v>77</v>
      </c>
      <c r="C131" t="s" s="0">
        <v>137</v>
      </c>
      <c r="D131" t="s" s="0">
        <v>77</v>
      </c>
      <c r="E131" t="s" s="0">
        <v>3341</v>
      </c>
      <c r="F131" t="s" s="0">
        <v>3342</v>
      </c>
      <c r="G131" t="s" s="0">
        <v>3343</v>
      </c>
      <c r="H131" t="s" s="0">
        <v>81</v>
      </c>
      <c r="I131" t="s" s="0">
        <v>82</v>
      </c>
      <c r="J131" t="s" s="0">
        <v>3344</v>
      </c>
      <c r="K131" t="s" s="0">
        <v>3345</v>
      </c>
      <c r="L131" t="s" s="0">
        <v>81</v>
      </c>
      <c r="M131" t="s" s="0">
        <v>81</v>
      </c>
      <c r="N131" t="s" s="0">
        <v>81</v>
      </c>
      <c r="O131" t="s" s="0">
        <v>3346</v>
      </c>
      <c r="P131" t="s" s="0">
        <v>3347</v>
      </c>
      <c r="Q131" t="s" s="0">
        <v>90</v>
      </c>
      <c r="R131" t="s" s="0">
        <v>81</v>
      </c>
      <c r="S131" t="s" s="0">
        <v>81</v>
      </c>
      <c r="T131" t="s" s="0">
        <v>81</v>
      </c>
      <c r="U131" t="s" s="0">
        <v>81</v>
      </c>
      <c r="V131" t="s" s="0">
        <v>3348</v>
      </c>
      <c r="W131" t="s" s="0">
        <v>1691</v>
      </c>
      <c r="X131" t="s" s="0">
        <v>81</v>
      </c>
      <c r="Y131" t="s" s="0">
        <v>81</v>
      </c>
      <c r="Z131" t="s" s="0">
        <v>93</v>
      </c>
      <c r="AA131" t="s" s="0">
        <v>94</v>
      </c>
      <c r="AB131" t="s" s="0">
        <v>81</v>
      </c>
      <c r="AC131" t="s" s="0">
        <v>81</v>
      </c>
      <c r="AD131" t="s" s="0">
        <v>81</v>
      </c>
      <c r="AE131" t="s" s="0">
        <v>81</v>
      </c>
      <c r="AF131" t="s" s="0">
        <v>81</v>
      </c>
      <c r="AG131" t="s" s="0">
        <v>3349</v>
      </c>
      <c r="AH131" t="s" s="0">
        <v>3350</v>
      </c>
      <c r="AI131" t="s" s="0">
        <v>81</v>
      </c>
      <c r="AJ131" t="s" s="0">
        <v>81</v>
      </c>
      <c r="AK131" t="s" s="0">
        <v>81</v>
      </c>
      <c r="AL131" t="s" s="0">
        <v>619</v>
      </c>
      <c r="AM131" t="s" s="0">
        <v>213</v>
      </c>
      <c r="AN131" t="s" s="0">
        <v>405</v>
      </c>
      <c r="AO131" t="s" s="0">
        <v>77</v>
      </c>
      <c r="AP131" t="s" s="0">
        <v>117</v>
      </c>
      <c r="AQ131" t="s" s="0">
        <v>268</v>
      </c>
      <c r="AR131" t="s" s="0">
        <v>269</v>
      </c>
      <c r="AS131" t="s" s="0">
        <v>270</v>
      </c>
      <c r="AT131" t="s" s="0">
        <v>81</v>
      </c>
      <c r="AU131" t="s" s="0">
        <v>1696</v>
      </c>
      <c r="AV131" t="s" s="0">
        <v>81</v>
      </c>
      <c r="AW131" t="s" s="0">
        <v>1697</v>
      </c>
      <c r="AX131" t="s" s="0">
        <v>1698</v>
      </c>
      <c r="AY131" t="s" s="0">
        <v>3351</v>
      </c>
      <c r="AZ131" t="s" s="0">
        <v>309</v>
      </c>
      <c r="BA131" t="s" s="0">
        <v>275</v>
      </c>
      <c r="BB131" t="s" s="0">
        <v>137</v>
      </c>
      <c r="BC131" t="s" s="0">
        <v>81</v>
      </c>
      <c r="BD131" t="s" s="0">
        <v>81</v>
      </c>
      <c r="BE131" t="s" s="0">
        <v>81</v>
      </c>
      <c r="BF131" t="s" s="0">
        <v>81</v>
      </c>
      <c r="BG131" t="s" s="0">
        <v>81</v>
      </c>
      <c r="BH131" t="s" s="0">
        <v>81</v>
      </c>
      <c r="BI131" t="s" s="0">
        <v>3352</v>
      </c>
      <c r="BJ131" t="s" s="0">
        <v>3353</v>
      </c>
      <c r="BK131" t="s" s="258">
        <f>HYPERLINK("http://dx.doi.org/10.1186/s12911-024-02438-x","http://dx.doi.org/10.1186/s12911-024-02438-x")</f>
        <v>3354</v>
      </c>
      <c r="BL131" t="s" s="0">
        <v>81</v>
      </c>
      <c r="BM131" t="s" s="0">
        <v>81</v>
      </c>
      <c r="BN131" t="s" s="0">
        <v>102</v>
      </c>
      <c r="BO131" t="s" s="0">
        <v>1703</v>
      </c>
      <c r="BP131" t="s" s="0">
        <v>1703</v>
      </c>
      <c r="BQ131" t="s" s="0">
        <v>3355</v>
      </c>
      <c r="BR131" t="s" s="0">
        <v>3356</v>
      </c>
      <c r="BS131" t="s" s="0">
        <v>3357</v>
      </c>
      <c r="BT131" t="s" s="259">
        <f>HYPERLINK("https://www.webofscience.com/wos/woscc/full-record/WOS:001190556300003","View Record in Web of Science")</f>
        <v>123</v>
      </c>
      <c r="BU131" t="s" s="0">
        <v>191</v>
      </c>
      <c r="BV131" t="s" s="0">
        <v>81</v>
      </c>
      <c r="BW131" t="s" s="0">
        <v>81</v>
      </c>
      <c r="BX131" t="s" s="0">
        <v>124</v>
      </c>
    </row>
    <row r="132">
      <c r="A132" t="s" s="0">
        <v>77</v>
      </c>
      <c r="B132" t="s" s="0">
        <v>77</v>
      </c>
      <c r="C132" t="s" s="0">
        <v>137</v>
      </c>
      <c r="D132" t="s" s="0">
        <v>77</v>
      </c>
      <c r="E132" t="s" s="0">
        <v>3358</v>
      </c>
      <c r="F132" t="s" s="0">
        <v>3359</v>
      </c>
      <c r="G132" t="s" s="0">
        <v>3360</v>
      </c>
      <c r="H132" t="s" s="0">
        <v>81</v>
      </c>
      <c r="I132" t="s" s="0">
        <v>82</v>
      </c>
      <c r="J132" t="s" s="0">
        <v>3361</v>
      </c>
      <c r="K132" t="s" s="0">
        <v>3362</v>
      </c>
      <c r="L132" t="s" s="0">
        <v>3363</v>
      </c>
      <c r="M132" t="s" s="0">
        <v>3364</v>
      </c>
      <c r="N132" t="s" s="0">
        <v>3365</v>
      </c>
      <c r="O132" t="s" s="0">
        <v>3366</v>
      </c>
      <c r="P132" t="s" s="0">
        <v>3367</v>
      </c>
      <c r="Q132" t="s" s="0">
        <v>90</v>
      </c>
      <c r="R132" t="s" s="0">
        <v>81</v>
      </c>
      <c r="S132" t="s" s="0">
        <v>81</v>
      </c>
      <c r="T132" t="s" s="0">
        <v>81</v>
      </c>
      <c r="U132" t="s" s="0">
        <v>81</v>
      </c>
      <c r="V132" t="s" s="0">
        <v>3368</v>
      </c>
      <c r="W132" t="s" s="0">
        <v>3200</v>
      </c>
      <c r="X132" t="s" s="0">
        <v>81</v>
      </c>
      <c r="Y132" t="s" s="0">
        <v>81</v>
      </c>
      <c r="Z132" t="s" s="0">
        <v>93</v>
      </c>
      <c r="AA132" t="s" s="0">
        <v>94</v>
      </c>
      <c r="AB132" t="s" s="0">
        <v>81</v>
      </c>
      <c r="AC132" t="s" s="0">
        <v>81</v>
      </c>
      <c r="AD132" t="s" s="0">
        <v>81</v>
      </c>
      <c r="AE132" t="s" s="0">
        <v>81</v>
      </c>
      <c r="AF132" t="s" s="0">
        <v>81</v>
      </c>
      <c r="AG132" t="s" s="0">
        <v>3369</v>
      </c>
      <c r="AH132" t="s" s="0">
        <v>3370</v>
      </c>
      <c r="AI132" t="s" s="0">
        <v>3371</v>
      </c>
      <c r="AJ132" t="s" s="0">
        <v>3372</v>
      </c>
      <c r="AK132" t="s" s="0">
        <v>81</v>
      </c>
      <c r="AL132" t="s" s="0">
        <v>3373</v>
      </c>
      <c r="AM132" t="s" s="0">
        <v>333</v>
      </c>
      <c r="AN132" t="s" s="0">
        <v>333</v>
      </c>
      <c r="AO132" t="s" s="0">
        <v>117</v>
      </c>
      <c r="AP132" t="s" s="0">
        <v>595</v>
      </c>
      <c r="AQ132" t="s" s="0">
        <v>786</v>
      </c>
      <c r="AR132" t="s" s="0">
        <v>787</v>
      </c>
      <c r="AS132" t="s" s="0">
        <v>788</v>
      </c>
      <c r="AT132" t="s" s="0">
        <v>3205</v>
      </c>
      <c r="AU132" t="s" s="0">
        <v>3206</v>
      </c>
      <c r="AV132" t="s" s="0">
        <v>81</v>
      </c>
      <c r="AW132" t="s" s="0">
        <v>3207</v>
      </c>
      <c r="AX132" t="s" s="0">
        <v>3208</v>
      </c>
      <c r="AY132" t="s" s="0">
        <v>3374</v>
      </c>
      <c r="AZ132" t="s" s="0">
        <v>111</v>
      </c>
      <c r="BA132" t="s" s="0">
        <v>3375</v>
      </c>
      <c r="BB132" t="s" s="0">
        <v>81</v>
      </c>
      <c r="BC132" t="s" s="0">
        <v>81</v>
      </c>
      <c r="BD132" t="s" s="0">
        <v>81</v>
      </c>
      <c r="BE132" t="s" s="0">
        <v>81</v>
      </c>
      <c r="BF132" t="s" s="0">
        <v>81</v>
      </c>
      <c r="BG132" t="s" s="0">
        <v>81</v>
      </c>
      <c r="BH132" t="s" s="0">
        <v>81</v>
      </c>
      <c r="BI132" t="s" s="0">
        <v>3376</v>
      </c>
      <c r="BJ132" t="s" s="0">
        <v>3377</v>
      </c>
      <c r="BK132" t="s" s="260">
        <f>HYPERLINK("http://dx.doi.org/10.1016/j.engappai.2025.110554","http://dx.doi.org/10.1016/j.engappai.2025.110554")</f>
        <v>3378</v>
      </c>
      <c r="BL132" t="s" s="0">
        <v>81</v>
      </c>
      <c r="BM132" t="s" s="0">
        <v>1474</v>
      </c>
      <c r="BN132" t="s" s="0">
        <v>267</v>
      </c>
      <c r="BO132" t="s" s="0">
        <v>3214</v>
      </c>
      <c r="BP132" t="s" s="0">
        <v>3215</v>
      </c>
      <c r="BQ132" t="s" s="0">
        <v>3379</v>
      </c>
      <c r="BR132" t="s" s="0">
        <v>81</v>
      </c>
      <c r="BS132" t="s" s="0">
        <v>3380</v>
      </c>
      <c r="BT132" t="s" s="261">
        <f>HYPERLINK("https://www.webofscience.com/wos/woscc/full-record/WOS:001455803700001","View Record in Web of Science")</f>
        <v>123</v>
      </c>
      <c r="BU132" t="s" s="0">
        <v>81</v>
      </c>
      <c r="BV132" t="s" s="0">
        <v>81</v>
      </c>
      <c r="BW132" t="s" s="0">
        <v>81</v>
      </c>
      <c r="BX132" t="s" s="0">
        <v>124</v>
      </c>
    </row>
    <row r="133">
      <c r="A133" t="s" s="0">
        <v>77</v>
      </c>
      <c r="B133" t="s" s="0">
        <v>77</v>
      </c>
      <c r="C133" t="s" s="0">
        <v>77</v>
      </c>
      <c r="D133" t="s" s="0">
        <v>77</v>
      </c>
      <c r="E133" t="s" s="0">
        <v>3381</v>
      </c>
      <c r="F133" t="s" s="0">
        <v>3382</v>
      </c>
      <c r="G133" t="s" s="0">
        <v>3383</v>
      </c>
      <c r="H133" t="s" s="0">
        <v>81</v>
      </c>
      <c r="I133" t="s" s="0">
        <v>82</v>
      </c>
      <c r="J133" t="s" s="0">
        <v>3384</v>
      </c>
      <c r="K133" t="s" s="0">
        <v>3385</v>
      </c>
      <c r="L133" t="s" s="0">
        <v>81</v>
      </c>
      <c r="M133" t="s" s="0">
        <v>81</v>
      </c>
      <c r="N133" t="s" s="0">
        <v>81</v>
      </c>
      <c r="O133" t="s" s="0">
        <v>3386</v>
      </c>
      <c r="P133" t="s" s="0">
        <v>3387</v>
      </c>
      <c r="Q133" t="s" s="0">
        <v>90</v>
      </c>
      <c r="R133" t="s" s="0">
        <v>81</v>
      </c>
      <c r="S133" t="s" s="0">
        <v>81</v>
      </c>
      <c r="T133" t="s" s="0">
        <v>81</v>
      </c>
      <c r="U133" t="s" s="0">
        <v>81</v>
      </c>
      <c r="V133" t="s" s="0">
        <v>3388</v>
      </c>
      <c r="W133" t="s" s="0">
        <v>234</v>
      </c>
      <c r="X133" t="s" s="0">
        <v>81</v>
      </c>
      <c r="Y133" t="s" s="0">
        <v>81</v>
      </c>
      <c r="Z133" t="s" s="0">
        <v>93</v>
      </c>
      <c r="AA133" t="s" s="0">
        <v>94</v>
      </c>
      <c r="AB133" t="s" s="0">
        <v>81</v>
      </c>
      <c r="AC133" t="s" s="0">
        <v>81</v>
      </c>
      <c r="AD133" t="s" s="0">
        <v>81</v>
      </c>
      <c r="AE133" t="s" s="0">
        <v>81</v>
      </c>
      <c r="AF133" t="s" s="0">
        <v>81</v>
      </c>
      <c r="AG133" t="s" s="0">
        <v>3389</v>
      </c>
      <c r="AH133" t="s" s="0">
        <v>3390</v>
      </c>
      <c r="AI133" t="s" s="0">
        <v>3391</v>
      </c>
      <c r="AJ133" t="s" s="0">
        <v>3392</v>
      </c>
      <c r="AK133" t="s" s="0">
        <v>81</v>
      </c>
      <c r="AL133" t="s" s="0">
        <v>3393</v>
      </c>
      <c r="AM133" t="s" s="0">
        <v>77</v>
      </c>
      <c r="AN133" t="s" s="0">
        <v>77</v>
      </c>
      <c r="AO133" t="s" s="0">
        <v>137</v>
      </c>
      <c r="AP133" t="s" s="0">
        <v>137</v>
      </c>
      <c r="AQ133" t="s" s="0">
        <v>140</v>
      </c>
      <c r="AR133" t="s" s="0">
        <v>141</v>
      </c>
      <c r="AS133" t="s" s="0">
        <v>142</v>
      </c>
      <c r="AT133" t="s" s="0">
        <v>240</v>
      </c>
      <c r="AU133" t="s" s="0">
        <v>241</v>
      </c>
      <c r="AV133" t="s" s="0">
        <v>81</v>
      </c>
      <c r="AW133" t="s" s="0">
        <v>242</v>
      </c>
      <c r="AX133" t="s" s="0">
        <v>243</v>
      </c>
      <c r="AY133" t="s" s="0">
        <v>244</v>
      </c>
      <c r="AZ133" t="s" s="0">
        <v>212</v>
      </c>
      <c r="BA133" t="s" s="0">
        <v>245</v>
      </c>
      <c r="BB133" t="s" s="0">
        <v>81</v>
      </c>
      <c r="BC133" t="s" s="0">
        <v>81</v>
      </c>
      <c r="BD133" t="s" s="0">
        <v>81</v>
      </c>
      <c r="BE133" t="s" s="0">
        <v>81</v>
      </c>
      <c r="BF133" t="s" s="0">
        <v>81</v>
      </c>
      <c r="BG133" t="s" s="0">
        <v>81</v>
      </c>
      <c r="BH133" t="s" s="0">
        <v>81</v>
      </c>
      <c r="BI133" t="s" s="0">
        <v>3394</v>
      </c>
      <c r="BJ133" t="s" s="0">
        <v>3395</v>
      </c>
      <c r="BK133" t="s" s="262">
        <f>HYPERLINK("http://dx.doi.org/10.1016/j.inffus.2026.104343","http://dx.doi.org/10.1016/j.inffus.2026.104343")</f>
        <v>3396</v>
      </c>
      <c r="BL133" t="s" s="0">
        <v>81</v>
      </c>
      <c r="BM133" t="s" s="0">
        <v>279</v>
      </c>
      <c r="BN133" t="s" s="0">
        <v>461</v>
      </c>
      <c r="BO133" t="s" s="0">
        <v>249</v>
      </c>
      <c r="BP133" t="s" s="0">
        <v>250</v>
      </c>
      <c r="BQ133" t="s" s="0">
        <v>3397</v>
      </c>
      <c r="BR133" t="s" s="0">
        <v>81</v>
      </c>
      <c r="BS133" t="s" s="0">
        <v>3398</v>
      </c>
      <c r="BT133" t="s" s="263">
        <f>HYPERLINK("https://www.webofscience.com/wos/woscc/full-record/WOS:001745018100001","View Record in Web of Science")</f>
        <v>123</v>
      </c>
      <c r="BU133" t="s" s="0">
        <v>81</v>
      </c>
      <c r="BV133" t="s" s="0">
        <v>81</v>
      </c>
      <c r="BW133" t="s" s="0">
        <v>81</v>
      </c>
      <c r="BX133" t="s" s="0">
        <v>124</v>
      </c>
    </row>
    <row r="134">
      <c r="A134" t="s" s="0">
        <v>77</v>
      </c>
      <c r="B134" t="s" s="0">
        <v>77</v>
      </c>
      <c r="C134" t="s" s="0">
        <v>77</v>
      </c>
      <c r="D134" t="s" s="0">
        <v>77</v>
      </c>
      <c r="E134" t="s" s="0">
        <v>3399</v>
      </c>
      <c r="F134" t="s" s="0">
        <v>3400</v>
      </c>
      <c r="G134" t="s" s="0">
        <v>3401</v>
      </c>
      <c r="H134" t="s" s="0">
        <v>81</v>
      </c>
      <c r="I134" t="s" s="0">
        <v>82</v>
      </c>
      <c r="J134" t="s" s="0">
        <v>3402</v>
      </c>
      <c r="K134" t="s" s="0">
        <v>3403</v>
      </c>
      <c r="L134" t="s" s="0">
        <v>81</v>
      </c>
      <c r="M134" t="s" s="0">
        <v>81</v>
      </c>
      <c r="N134" t="s" s="0">
        <v>81</v>
      </c>
      <c r="O134" t="s" s="0">
        <v>3404</v>
      </c>
      <c r="P134" t="s" s="0">
        <v>3405</v>
      </c>
      <c r="Q134" t="s" s="0">
        <v>90</v>
      </c>
      <c r="R134" t="s" s="0">
        <v>81</v>
      </c>
      <c r="S134" t="s" s="0">
        <v>81</v>
      </c>
      <c r="T134" t="s" s="0">
        <v>81</v>
      </c>
      <c r="U134" t="s" s="0">
        <v>81</v>
      </c>
      <c r="V134" t="s" s="0">
        <v>3406</v>
      </c>
      <c r="W134" t="s" s="0">
        <v>1691</v>
      </c>
      <c r="X134" t="s" s="0">
        <v>81</v>
      </c>
      <c r="Y134" t="s" s="0">
        <v>81</v>
      </c>
      <c r="Z134" t="s" s="0">
        <v>93</v>
      </c>
      <c r="AA134" t="s" s="0">
        <v>94</v>
      </c>
      <c r="AB134" t="s" s="0">
        <v>81</v>
      </c>
      <c r="AC134" t="s" s="0">
        <v>81</v>
      </c>
      <c r="AD134" t="s" s="0">
        <v>81</v>
      </c>
      <c r="AE134" t="s" s="0">
        <v>81</v>
      </c>
      <c r="AF134" t="s" s="0">
        <v>81</v>
      </c>
      <c r="AG134" t="s" s="0">
        <v>3407</v>
      </c>
      <c r="AH134" t="s" s="0">
        <v>81</v>
      </c>
      <c r="AI134" t="s" s="0">
        <v>81</v>
      </c>
      <c r="AJ134" t="s" s="0">
        <v>81</v>
      </c>
      <c r="AK134" t="s" s="0">
        <v>81</v>
      </c>
      <c r="AL134" t="s" s="0">
        <v>139</v>
      </c>
      <c r="AM134" t="s" s="0">
        <v>77</v>
      </c>
      <c r="AN134" t="s" s="0">
        <v>77</v>
      </c>
      <c r="AO134" t="s" s="0">
        <v>101</v>
      </c>
      <c r="AP134" t="s" s="0">
        <v>101</v>
      </c>
      <c r="AQ134" t="s" s="0">
        <v>268</v>
      </c>
      <c r="AR134" t="s" s="0">
        <v>269</v>
      </c>
      <c r="AS134" t="s" s="0">
        <v>270</v>
      </c>
      <c r="AT134" t="s" s="0">
        <v>81</v>
      </c>
      <c r="AU134" t="s" s="0">
        <v>1696</v>
      </c>
      <c r="AV134" t="s" s="0">
        <v>81</v>
      </c>
      <c r="AW134" t="s" s="0">
        <v>1697</v>
      </c>
      <c r="AX134" t="s" s="0">
        <v>1698</v>
      </c>
      <c r="AY134" t="s" s="0">
        <v>3408</v>
      </c>
      <c r="AZ134" t="s" s="0">
        <v>212</v>
      </c>
      <c r="BA134" t="s" s="0">
        <v>1443</v>
      </c>
      <c r="BB134" t="s" s="0">
        <v>137</v>
      </c>
      <c r="BC134" t="s" s="0">
        <v>81</v>
      </c>
      <c r="BD134" t="s" s="0">
        <v>81</v>
      </c>
      <c r="BE134" t="s" s="0">
        <v>81</v>
      </c>
      <c r="BF134" t="s" s="0">
        <v>81</v>
      </c>
      <c r="BG134" t="s" s="0">
        <v>81</v>
      </c>
      <c r="BH134" t="s" s="0">
        <v>81</v>
      </c>
      <c r="BI134" t="s" s="0">
        <v>3409</v>
      </c>
      <c r="BJ134" t="s" s="0">
        <v>3410</v>
      </c>
      <c r="BK134" t="s" s="264">
        <f>HYPERLINK("http://dx.doi.org/10.1186/s12911-026-03466-5","http://dx.doi.org/10.1186/s12911-026-03466-5")</f>
        <v>3411</v>
      </c>
      <c r="BL134" t="s" s="0">
        <v>81</v>
      </c>
      <c r="BM134" t="s" s="0">
        <v>279</v>
      </c>
      <c r="BN134" t="s" s="0">
        <v>213</v>
      </c>
      <c r="BO134" t="s" s="0">
        <v>1703</v>
      </c>
      <c r="BP134" t="s" s="0">
        <v>1703</v>
      </c>
      <c r="BQ134" t="s" s="0">
        <v>3412</v>
      </c>
      <c r="BR134" t="s" s="0">
        <v>3413</v>
      </c>
      <c r="BS134" t="s" s="0">
        <v>3414</v>
      </c>
      <c r="BT134" t="s" s="265">
        <f>HYPERLINK("https://www.webofscience.com/wos/woscc/full-record/WOS:001775878100001","View Record in Web of Science")</f>
        <v>123</v>
      </c>
      <c r="BU134" t="s" s="0">
        <v>191</v>
      </c>
      <c r="BV134" t="s" s="0">
        <v>81</v>
      </c>
      <c r="BW134" t="s" s="0">
        <v>81</v>
      </c>
      <c r="BX134" t="s" s="0">
        <v>124</v>
      </c>
    </row>
    <row r="135">
      <c r="A135" t="s" s="0">
        <v>77</v>
      </c>
      <c r="B135" t="s" s="0">
        <v>77</v>
      </c>
      <c r="C135" t="s" s="0">
        <v>77</v>
      </c>
      <c r="D135" t="s" s="0">
        <v>77</v>
      </c>
      <c r="E135" t="s" s="0">
        <v>3415</v>
      </c>
      <c r="F135" t="s" s="0">
        <v>3416</v>
      </c>
      <c r="G135" t="s" s="0">
        <v>3417</v>
      </c>
      <c r="H135" t="s" s="0">
        <v>81</v>
      </c>
      <c r="I135" t="s" s="0">
        <v>82</v>
      </c>
      <c r="J135" t="s" s="0">
        <v>3418</v>
      </c>
      <c r="K135" t="s" s="0">
        <v>3419</v>
      </c>
      <c r="L135" t="s" s="0">
        <v>3420</v>
      </c>
      <c r="M135" t="s" s="0">
        <v>3421</v>
      </c>
      <c r="N135" t="s" s="0">
        <v>3422</v>
      </c>
      <c r="O135" t="s" s="0">
        <v>3423</v>
      </c>
      <c r="P135" t="s" s="0">
        <v>3424</v>
      </c>
      <c r="Q135" t="s" s="0">
        <v>90</v>
      </c>
      <c r="R135" t="s" s="0">
        <v>81</v>
      </c>
      <c r="S135" t="s" s="0">
        <v>81</v>
      </c>
      <c r="T135" t="s" s="0">
        <v>81</v>
      </c>
      <c r="U135" t="s" s="0">
        <v>81</v>
      </c>
      <c r="V135" t="s" s="0">
        <v>3425</v>
      </c>
      <c r="W135" t="s" s="0">
        <v>1186</v>
      </c>
      <c r="X135" t="s" s="0">
        <v>81</v>
      </c>
      <c r="Y135" t="s" s="0">
        <v>81</v>
      </c>
      <c r="Z135" t="s" s="0">
        <v>93</v>
      </c>
      <c r="AA135" t="s" s="0">
        <v>94</v>
      </c>
      <c r="AB135" t="s" s="0">
        <v>81</v>
      </c>
      <c r="AC135" t="s" s="0">
        <v>81</v>
      </c>
      <c r="AD135" t="s" s="0">
        <v>81</v>
      </c>
      <c r="AE135" t="s" s="0">
        <v>81</v>
      </c>
      <c r="AF135" t="s" s="0">
        <v>81</v>
      </c>
      <c r="AG135" t="s" s="0">
        <v>3426</v>
      </c>
      <c r="AH135" t="s" s="0">
        <v>3427</v>
      </c>
      <c r="AI135" t="s" s="0">
        <v>3428</v>
      </c>
      <c r="AJ135" t="s" s="0">
        <v>3429</v>
      </c>
      <c r="AK135" t="s" s="0">
        <v>81</v>
      </c>
      <c r="AL135" t="s" s="0">
        <v>2270</v>
      </c>
      <c r="AM135" t="s" s="0">
        <v>137</v>
      </c>
      <c r="AN135" t="s" s="0">
        <v>137</v>
      </c>
      <c r="AO135" t="s" s="0">
        <v>137</v>
      </c>
      <c r="AP135" t="s" s="0">
        <v>399</v>
      </c>
      <c r="AQ135" t="s" s="0">
        <v>174</v>
      </c>
      <c r="AR135" t="s" s="0">
        <v>175</v>
      </c>
      <c r="AS135" t="s" s="0">
        <v>208</v>
      </c>
      <c r="AT135" t="s" s="0">
        <v>81</v>
      </c>
      <c r="AU135" t="s" s="0">
        <v>1189</v>
      </c>
      <c r="AV135" t="s" s="0">
        <v>81</v>
      </c>
      <c r="AW135" t="s" s="0">
        <v>1190</v>
      </c>
      <c r="AX135" t="s" s="0">
        <v>1191</v>
      </c>
      <c r="AY135" t="s" s="0">
        <v>3430</v>
      </c>
      <c r="AZ135" t="s" s="0">
        <v>111</v>
      </c>
      <c r="BA135" t="s" s="0">
        <v>405</v>
      </c>
      <c r="BB135" t="s" s="0">
        <v>152</v>
      </c>
      <c r="BC135" t="s" s="0">
        <v>81</v>
      </c>
      <c r="BD135" t="s" s="0">
        <v>81</v>
      </c>
      <c r="BE135" t="s" s="0">
        <v>81</v>
      </c>
      <c r="BF135" t="s" s="0">
        <v>81</v>
      </c>
      <c r="BG135" t="s" s="0">
        <v>81</v>
      </c>
      <c r="BH135" t="s" s="0">
        <v>81</v>
      </c>
      <c r="BI135" t="s" s="0">
        <v>3431</v>
      </c>
      <c r="BJ135" t="s" s="0">
        <v>3432</v>
      </c>
      <c r="BK135" t="s" s="266">
        <f>HYPERLINK("http://dx.doi.org/10.3390/app15116224","http://dx.doi.org/10.3390/app15116224")</f>
        <v>3433</v>
      </c>
      <c r="BL135" t="s" s="0">
        <v>81</v>
      </c>
      <c r="BM135" t="s" s="0">
        <v>81</v>
      </c>
      <c r="BN135" t="s" s="0">
        <v>886</v>
      </c>
      <c r="BO135" t="s" s="0">
        <v>1195</v>
      </c>
      <c r="BP135" t="s" s="0">
        <v>1196</v>
      </c>
      <c r="BQ135" t="s" s="0">
        <v>3434</v>
      </c>
      <c r="BR135" t="s" s="0">
        <v>81</v>
      </c>
      <c r="BS135" t="s" s="0">
        <v>3435</v>
      </c>
      <c r="BT135" t="s" s="267">
        <f>HYPERLINK("https://www.webofscience.com/wos/woscc/full-record/WOS:001505746100001","View Record in Web of Science")</f>
        <v>123</v>
      </c>
      <c r="BU135" t="s" s="0">
        <v>191</v>
      </c>
      <c r="BV135" t="s" s="0">
        <v>81</v>
      </c>
      <c r="BW135" t="s" s="0">
        <v>81</v>
      </c>
      <c r="BX135" t="s" s="0">
        <v>124</v>
      </c>
    </row>
    <row r="136">
      <c r="A136" t="s" s="0">
        <v>77</v>
      </c>
      <c r="B136" t="s" s="0">
        <v>77</v>
      </c>
      <c r="C136" t="s" s="0">
        <v>77</v>
      </c>
      <c r="D136" t="s" s="0">
        <v>77</v>
      </c>
      <c r="E136" t="s" s="0">
        <v>3436</v>
      </c>
      <c r="F136" t="s" s="0">
        <v>3437</v>
      </c>
      <c r="G136" t="s" s="0">
        <v>3438</v>
      </c>
      <c r="H136" t="s" s="0">
        <v>81</v>
      </c>
      <c r="I136" t="s" s="0">
        <v>82</v>
      </c>
      <c r="J136" t="s" s="0">
        <v>3439</v>
      </c>
      <c r="K136" t="s" s="0">
        <v>3440</v>
      </c>
      <c r="L136" t="s" s="0">
        <v>3441</v>
      </c>
      <c r="M136" t="s" s="0">
        <v>3442</v>
      </c>
      <c r="N136" t="s" s="0">
        <v>3443</v>
      </c>
      <c r="O136" t="s" s="0">
        <v>3444</v>
      </c>
      <c r="P136" t="s" s="0">
        <v>3445</v>
      </c>
      <c r="Q136" t="s" s="0">
        <v>90</v>
      </c>
      <c r="R136" t="s" s="0">
        <v>81</v>
      </c>
      <c r="S136" t="s" s="0">
        <v>81</v>
      </c>
      <c r="T136" t="s" s="0">
        <v>81</v>
      </c>
      <c r="U136" t="s" s="0">
        <v>81</v>
      </c>
      <c r="V136" t="s" s="0">
        <v>3446</v>
      </c>
      <c r="W136" t="s" s="0">
        <v>3447</v>
      </c>
      <c r="X136" t="s" s="0">
        <v>81</v>
      </c>
      <c r="Y136" t="s" s="0">
        <v>81</v>
      </c>
      <c r="Z136" t="s" s="0">
        <v>93</v>
      </c>
      <c r="AA136" t="s" s="0">
        <v>94</v>
      </c>
      <c r="AB136" t="s" s="0">
        <v>81</v>
      </c>
      <c r="AC136" t="s" s="0">
        <v>81</v>
      </c>
      <c r="AD136" t="s" s="0">
        <v>81</v>
      </c>
      <c r="AE136" t="s" s="0">
        <v>81</v>
      </c>
      <c r="AF136" t="s" s="0">
        <v>81</v>
      </c>
      <c r="AG136" t="s" s="0">
        <v>3448</v>
      </c>
      <c r="AH136" t="s" s="0">
        <v>3449</v>
      </c>
      <c r="AI136" t="s" s="0">
        <v>81</v>
      </c>
      <c r="AJ136" t="s" s="0">
        <v>3450</v>
      </c>
      <c r="AK136" t="s" s="0">
        <v>81</v>
      </c>
      <c r="AL136" t="s" s="0">
        <v>895</v>
      </c>
      <c r="AM136" t="s" s="0">
        <v>77</v>
      </c>
      <c r="AN136" t="s" s="0">
        <v>77</v>
      </c>
      <c r="AO136" t="s" s="0">
        <v>101</v>
      </c>
      <c r="AP136" t="s" s="0">
        <v>138</v>
      </c>
      <c r="AQ136" t="s" s="0">
        <v>103</v>
      </c>
      <c r="AR136" t="s" s="0">
        <v>104</v>
      </c>
      <c r="AS136" t="s" s="0">
        <v>105</v>
      </c>
      <c r="AT136" t="s" s="0">
        <v>3451</v>
      </c>
      <c r="AU136" t="s" s="0">
        <v>3452</v>
      </c>
      <c r="AV136" t="s" s="0">
        <v>81</v>
      </c>
      <c r="AW136" t="s" s="0">
        <v>3453</v>
      </c>
      <c r="AX136" t="s" s="0">
        <v>3454</v>
      </c>
      <c r="AY136" t="s" s="0">
        <v>1526</v>
      </c>
      <c r="AZ136" t="s" s="0">
        <v>111</v>
      </c>
      <c r="BA136" t="s" s="0">
        <v>2555</v>
      </c>
      <c r="BB136" t="s" s="0">
        <v>81</v>
      </c>
      <c r="BC136" t="s" s="0">
        <v>81</v>
      </c>
      <c r="BD136" t="s" s="0">
        <v>81</v>
      </c>
      <c r="BE136" t="s" s="0">
        <v>81</v>
      </c>
      <c r="BF136" t="s" s="0">
        <v>81</v>
      </c>
      <c r="BG136" t="s" s="0">
        <v>81</v>
      </c>
      <c r="BH136" t="s" s="0">
        <v>81</v>
      </c>
      <c r="BI136" t="s" s="0">
        <v>3455</v>
      </c>
      <c r="BJ136" t="s" s="0">
        <v>3456</v>
      </c>
      <c r="BK136" t="s" s="268">
        <f>HYPERLINK("http://dx.doi.org/10.1016/j.ejrad.2025.112377","http://dx.doi.org/10.1016/j.ejrad.2025.112377")</f>
        <v>3457</v>
      </c>
      <c r="BL136" t="s" s="0">
        <v>81</v>
      </c>
      <c r="BM136" t="s" s="0">
        <v>547</v>
      </c>
      <c r="BN136" t="s" s="0">
        <v>182</v>
      </c>
      <c r="BO136" t="s" s="0">
        <v>519</v>
      </c>
      <c r="BP136" t="s" s="0">
        <v>519</v>
      </c>
      <c r="BQ136" t="s" s="0">
        <v>3458</v>
      </c>
      <c r="BR136" t="s" s="0">
        <v>3459</v>
      </c>
      <c r="BS136" t="s" s="0">
        <v>3460</v>
      </c>
      <c r="BT136" t="s" s="269">
        <f>HYPERLINK("https://www.webofscience.com/wos/woscc/full-record/WOS:001561228200001","View Record in Web of Science")</f>
        <v>123</v>
      </c>
      <c r="BU136" t="s" s="0">
        <v>81</v>
      </c>
      <c r="BV136" t="s" s="0">
        <v>81</v>
      </c>
      <c r="BW136" t="s" s="0">
        <v>81</v>
      </c>
      <c r="BX136" t="s" s="0">
        <v>124</v>
      </c>
    </row>
    <row r="137">
      <c r="A137" t="s" s="0">
        <v>77</v>
      </c>
      <c r="B137" t="s" s="0">
        <v>77</v>
      </c>
      <c r="C137" t="s" s="0">
        <v>77</v>
      </c>
      <c r="D137" t="s" s="0">
        <v>77</v>
      </c>
      <c r="E137" t="s" s="0">
        <v>3461</v>
      </c>
      <c r="F137" t="s" s="0">
        <v>3462</v>
      </c>
      <c r="G137" t="s" s="0">
        <v>3463</v>
      </c>
      <c r="H137" t="s" s="0">
        <v>81</v>
      </c>
      <c r="I137" t="s" s="0">
        <v>82</v>
      </c>
      <c r="J137" t="s" s="0">
        <v>3464</v>
      </c>
      <c r="K137" t="s" s="0">
        <v>3465</v>
      </c>
      <c r="L137" t="s" s="0">
        <v>3466</v>
      </c>
      <c r="M137" t="s" s="0">
        <v>3467</v>
      </c>
      <c r="N137" t="s" s="0">
        <v>3468</v>
      </c>
      <c r="O137" t="s" s="0">
        <v>3469</v>
      </c>
      <c r="P137" t="s" s="0">
        <v>3470</v>
      </c>
      <c r="Q137" t="s" s="0">
        <v>90</v>
      </c>
      <c r="R137" t="s" s="0">
        <v>81</v>
      </c>
      <c r="S137" t="s" s="0">
        <v>81</v>
      </c>
      <c r="T137" t="s" s="0">
        <v>81</v>
      </c>
      <c r="U137" t="s" s="0">
        <v>81</v>
      </c>
      <c r="V137" t="s" s="0">
        <v>3471</v>
      </c>
      <c r="W137" t="s" s="0">
        <v>1254</v>
      </c>
      <c r="X137" t="s" s="0">
        <v>81</v>
      </c>
      <c r="Y137" t="s" s="0">
        <v>81</v>
      </c>
      <c r="Z137" t="s" s="0">
        <v>93</v>
      </c>
      <c r="AA137" t="s" s="0">
        <v>94</v>
      </c>
      <c r="AB137" t="s" s="0">
        <v>81</v>
      </c>
      <c r="AC137" t="s" s="0">
        <v>81</v>
      </c>
      <c r="AD137" t="s" s="0">
        <v>81</v>
      </c>
      <c r="AE137" t="s" s="0">
        <v>81</v>
      </c>
      <c r="AF137" t="s" s="0">
        <v>81</v>
      </c>
      <c r="AG137" t="s" s="0">
        <v>3472</v>
      </c>
      <c r="AH137" t="s" s="0">
        <v>3473</v>
      </c>
      <c r="AI137" t="s" s="0">
        <v>81</v>
      </c>
      <c r="AJ137" t="s" s="0">
        <v>81</v>
      </c>
      <c r="AK137" t="s" s="0">
        <v>81</v>
      </c>
      <c r="AL137" t="s" s="0">
        <v>1357</v>
      </c>
      <c r="AM137" t="s" s="0">
        <v>77</v>
      </c>
      <c r="AN137" t="s" s="0">
        <v>77</v>
      </c>
      <c r="AO137" t="s" s="0">
        <v>77</v>
      </c>
      <c r="AP137" t="s" s="0">
        <v>77</v>
      </c>
      <c r="AQ137" t="s" s="0">
        <v>620</v>
      </c>
      <c r="AR137" t="s" s="0">
        <v>621</v>
      </c>
      <c r="AS137" t="s" s="0">
        <v>622</v>
      </c>
      <c r="AT137" t="s" s="0">
        <v>1256</v>
      </c>
      <c r="AU137" t="s" s="0">
        <v>1257</v>
      </c>
      <c r="AV137" t="s" s="0">
        <v>81</v>
      </c>
      <c r="AW137" t="s" s="0">
        <v>1258</v>
      </c>
      <c r="AX137" t="s" s="0">
        <v>1259</v>
      </c>
      <c r="AY137" t="s" s="0">
        <v>3474</v>
      </c>
      <c r="AZ137" t="s" s="0">
        <v>212</v>
      </c>
      <c r="BA137" t="s" s="0">
        <v>2251</v>
      </c>
      <c r="BB137" t="s" s="0">
        <v>81</v>
      </c>
      <c r="BC137" t="s" s="0">
        <v>81</v>
      </c>
      <c r="BD137" t="s" s="0">
        <v>3475</v>
      </c>
      <c r="BE137" t="s" s="0">
        <v>81</v>
      </c>
      <c r="BF137" t="s" s="0">
        <v>81</v>
      </c>
      <c r="BG137" t="s" s="0">
        <v>81</v>
      </c>
      <c r="BH137" t="s" s="0">
        <v>81</v>
      </c>
      <c r="BI137" t="s" s="0">
        <v>3476</v>
      </c>
      <c r="BJ137" t="s" s="0">
        <v>3477</v>
      </c>
      <c r="BK137" t="s" s="270">
        <f>HYPERLINK("http://dx.doi.org/10.1016/j.bspc.2026.110917","http://dx.doi.org/10.1016/j.bspc.2026.110917")</f>
        <v>3478</v>
      </c>
      <c r="BL137" t="s" s="0">
        <v>81</v>
      </c>
      <c r="BM137" t="s" s="0">
        <v>827</v>
      </c>
      <c r="BN137" t="s" s="0">
        <v>399</v>
      </c>
      <c r="BO137" t="s" s="0">
        <v>1265</v>
      </c>
      <c r="BP137" t="s" s="0">
        <v>219</v>
      </c>
      <c r="BQ137" t="s" s="0">
        <v>3479</v>
      </c>
      <c r="BR137" t="s" s="0">
        <v>81</v>
      </c>
      <c r="BS137" t="s" s="0">
        <v>3480</v>
      </c>
      <c r="BT137" t="s" s="271">
        <f>HYPERLINK("https://www.webofscience.com/wos/woscc/full-record/WOS:001818156500001","View Record in Web of Science")</f>
        <v>123</v>
      </c>
      <c r="BU137" t="s" s="0">
        <v>81</v>
      </c>
      <c r="BV137" t="s" s="0">
        <v>81</v>
      </c>
      <c r="BW137" t="s" s="0">
        <v>81</v>
      </c>
      <c r="BX137" t="s" s="0">
        <v>124</v>
      </c>
    </row>
    <row r="138">
      <c r="A138" t="s" s="0">
        <v>77</v>
      </c>
      <c r="B138" t="s" s="0">
        <v>77</v>
      </c>
      <c r="C138" t="s" s="0">
        <v>77</v>
      </c>
      <c r="D138" t="s" s="0">
        <v>77</v>
      </c>
      <c r="E138" t="s" s="0">
        <v>3481</v>
      </c>
      <c r="F138" t="s" s="0">
        <v>3482</v>
      </c>
      <c r="G138" t="s" s="0">
        <v>3483</v>
      </c>
      <c r="H138" t="s" s="0">
        <v>81</v>
      </c>
      <c r="I138" t="s" s="0">
        <v>82</v>
      </c>
      <c r="J138" t="s" s="0">
        <v>3484</v>
      </c>
      <c r="K138" t="s" s="0">
        <v>3485</v>
      </c>
      <c r="L138" t="s" s="0">
        <v>3486</v>
      </c>
      <c r="M138" t="s" s="0">
        <v>3487</v>
      </c>
      <c r="N138" t="s" s="0">
        <v>3488</v>
      </c>
      <c r="O138" t="s" s="0">
        <v>3489</v>
      </c>
      <c r="P138" t="s" s="0">
        <v>3490</v>
      </c>
      <c r="Q138" t="s" s="0">
        <v>90</v>
      </c>
      <c r="R138" t="s" s="0">
        <v>81</v>
      </c>
      <c r="S138" t="s" s="0">
        <v>81</v>
      </c>
      <c r="T138" t="s" s="0">
        <v>81</v>
      </c>
      <c r="U138" t="s" s="0">
        <v>81</v>
      </c>
      <c r="V138" t="s" s="0">
        <v>3491</v>
      </c>
      <c r="W138" t="s" s="0">
        <v>3492</v>
      </c>
      <c r="X138" t="s" s="0">
        <v>81</v>
      </c>
      <c r="Y138" t="s" s="0">
        <v>81</v>
      </c>
      <c r="Z138" t="s" s="0">
        <v>93</v>
      </c>
      <c r="AA138" t="s" s="0">
        <v>94</v>
      </c>
      <c r="AB138" t="s" s="0">
        <v>81</v>
      </c>
      <c r="AC138" t="s" s="0">
        <v>81</v>
      </c>
      <c r="AD138" t="s" s="0">
        <v>81</v>
      </c>
      <c r="AE138" t="s" s="0">
        <v>81</v>
      </c>
      <c r="AF138" t="s" s="0">
        <v>81</v>
      </c>
      <c r="AG138" t="s" s="0">
        <v>3493</v>
      </c>
      <c r="AH138" t="s" s="0">
        <v>3494</v>
      </c>
      <c r="AI138" t="s" s="0">
        <v>81</v>
      </c>
      <c r="AJ138" t="s" s="0">
        <v>81</v>
      </c>
      <c r="AK138" t="s" s="0">
        <v>81</v>
      </c>
      <c r="AL138" t="s" s="0">
        <v>1330</v>
      </c>
      <c r="AM138" t="s" s="0">
        <v>77</v>
      </c>
      <c r="AN138" t="s" s="0">
        <v>77</v>
      </c>
      <c r="AO138" t="s" s="0">
        <v>101</v>
      </c>
      <c r="AP138" t="s" s="0">
        <v>100</v>
      </c>
      <c r="AQ138" t="s" s="0">
        <v>449</v>
      </c>
      <c r="AR138" t="s" s="0">
        <v>450</v>
      </c>
      <c r="AS138" t="s" s="0">
        <v>451</v>
      </c>
      <c r="AT138" t="s" s="0">
        <v>3495</v>
      </c>
      <c r="AU138" t="s" s="0">
        <v>81</v>
      </c>
      <c r="AV138" t="s" s="0">
        <v>81</v>
      </c>
      <c r="AW138" t="s" s="0">
        <v>3496</v>
      </c>
      <c r="AX138" t="s" s="0">
        <v>3497</v>
      </c>
      <c r="AY138" t="s" s="0">
        <v>3498</v>
      </c>
      <c r="AZ138" t="s" s="0">
        <v>212</v>
      </c>
      <c r="BA138" t="s" s="0">
        <v>886</v>
      </c>
      <c r="BB138" t="s" s="0">
        <v>137</v>
      </c>
      <c r="BC138" t="s" s="0">
        <v>81</v>
      </c>
      <c r="BD138" t="s" s="0">
        <v>81</v>
      </c>
      <c r="BE138" t="s" s="0">
        <v>81</v>
      </c>
      <c r="BF138" t="s" s="0">
        <v>81</v>
      </c>
      <c r="BG138" t="s" s="0">
        <v>81</v>
      </c>
      <c r="BH138" t="s" s="0">
        <v>81</v>
      </c>
      <c r="BI138" t="s" s="0">
        <v>3499</v>
      </c>
      <c r="BJ138" t="s" s="0">
        <v>3500</v>
      </c>
      <c r="BK138" t="s" s="272">
        <f>HYPERLINK("http://dx.doi.org/10.1002/acm2.70464","http://dx.doi.org/10.1002/acm2.70464")</f>
        <v>3501</v>
      </c>
      <c r="BL138" t="s" s="0">
        <v>81</v>
      </c>
      <c r="BM138" t="s" s="0">
        <v>81</v>
      </c>
      <c r="BN138" t="s" s="0">
        <v>117</v>
      </c>
      <c r="BO138" t="s" s="0">
        <v>519</v>
      </c>
      <c r="BP138" t="s" s="0">
        <v>519</v>
      </c>
      <c r="BQ138" t="s" s="0">
        <v>3502</v>
      </c>
      <c r="BR138" t="s" s="0">
        <v>3503</v>
      </c>
      <c r="BS138" t="s" s="0">
        <v>3504</v>
      </c>
      <c r="BT138" t="s" s="273">
        <f>HYPERLINK("https://www.webofscience.com/wos/woscc/full-record/WOS:001664131700001","View Record in Web of Science")</f>
        <v>123</v>
      </c>
      <c r="BU138" t="s" s="0">
        <v>191</v>
      </c>
      <c r="BV138" t="s" s="0">
        <v>81</v>
      </c>
      <c r="BW138" t="s" s="0">
        <v>81</v>
      </c>
      <c r="BX138" t="s" s="0">
        <v>124</v>
      </c>
    </row>
    <row r="139">
      <c r="A139" t="s" s="0">
        <v>77</v>
      </c>
      <c r="B139" t="s" s="0">
        <v>77</v>
      </c>
      <c r="C139" t="s" s="0">
        <v>77</v>
      </c>
      <c r="D139" t="s" s="0">
        <v>77</v>
      </c>
      <c r="E139" t="s" s="0">
        <v>3505</v>
      </c>
      <c r="F139" t="s" s="0">
        <v>3506</v>
      </c>
      <c r="G139" t="s" s="0">
        <v>3507</v>
      </c>
      <c r="H139" t="s" s="0">
        <v>81</v>
      </c>
      <c r="I139" t="s" s="0">
        <v>82</v>
      </c>
      <c r="J139" t="s" s="0">
        <v>3508</v>
      </c>
      <c r="K139" t="s" s="0">
        <v>3509</v>
      </c>
      <c r="L139" t="s" s="0">
        <v>3510</v>
      </c>
      <c r="M139" t="s" s="0">
        <v>199</v>
      </c>
      <c r="N139" t="s" s="0">
        <v>3511</v>
      </c>
      <c r="O139" t="s" s="0">
        <v>3512</v>
      </c>
      <c r="P139" t="s" s="0">
        <v>3513</v>
      </c>
      <c r="Q139" t="s" s="0">
        <v>90</v>
      </c>
      <c r="R139" t="s" s="0">
        <v>81</v>
      </c>
      <c r="S139" t="s" s="0">
        <v>81</v>
      </c>
      <c r="T139" t="s" s="0">
        <v>81</v>
      </c>
      <c r="U139" t="s" s="0">
        <v>81</v>
      </c>
      <c r="V139" t="s" s="0">
        <v>3514</v>
      </c>
      <c r="W139" t="s" s="0">
        <v>3515</v>
      </c>
      <c r="X139" t="s" s="0">
        <v>81</v>
      </c>
      <c r="Y139" t="s" s="0">
        <v>81</v>
      </c>
      <c r="Z139" t="s" s="0">
        <v>93</v>
      </c>
      <c r="AA139" t="s" s="0">
        <v>94</v>
      </c>
      <c r="AB139" t="s" s="0">
        <v>81</v>
      </c>
      <c r="AC139" t="s" s="0">
        <v>81</v>
      </c>
      <c r="AD139" t="s" s="0">
        <v>81</v>
      </c>
      <c r="AE139" t="s" s="0">
        <v>81</v>
      </c>
      <c r="AF139" t="s" s="0">
        <v>81</v>
      </c>
      <c r="AG139" t="s" s="0">
        <v>3516</v>
      </c>
      <c r="AH139" t="s" s="0">
        <v>3517</v>
      </c>
      <c r="AI139" t="s" s="0">
        <v>3518</v>
      </c>
      <c r="AJ139" t="s" s="0">
        <v>3519</v>
      </c>
      <c r="AK139" t="s" s="0">
        <v>81</v>
      </c>
      <c r="AL139" t="s" s="0">
        <v>420</v>
      </c>
      <c r="AM139" t="s" s="0">
        <v>301</v>
      </c>
      <c r="AN139" t="s" s="0">
        <v>301</v>
      </c>
      <c r="AO139" t="s" s="0">
        <v>886</v>
      </c>
      <c r="AP139" t="s" s="0">
        <v>886</v>
      </c>
      <c r="AQ139" t="s" s="0">
        <v>3520</v>
      </c>
      <c r="AR139" t="s" s="0">
        <v>3521</v>
      </c>
      <c r="AS139" t="s" s="0">
        <v>3522</v>
      </c>
      <c r="AT139" t="s" s="0">
        <v>3523</v>
      </c>
      <c r="AU139" t="s" s="0">
        <v>3524</v>
      </c>
      <c r="AV139" t="s" s="0">
        <v>81</v>
      </c>
      <c r="AW139" t="s" s="0">
        <v>3525</v>
      </c>
      <c r="AX139" t="s" s="0">
        <v>3526</v>
      </c>
      <c r="AY139" t="s" s="0">
        <v>279</v>
      </c>
      <c r="AZ139" t="s" s="0">
        <v>212</v>
      </c>
      <c r="BA139" t="s" s="0">
        <v>1652</v>
      </c>
      <c r="BB139" t="s" s="0">
        <v>301</v>
      </c>
      <c r="BC139" t="s" s="0">
        <v>81</v>
      </c>
      <c r="BD139" t="s" s="0">
        <v>81</v>
      </c>
      <c r="BE139" t="s" s="0">
        <v>81</v>
      </c>
      <c r="BF139" t="s" s="0">
        <v>81</v>
      </c>
      <c r="BG139" t="s" s="0">
        <v>3527</v>
      </c>
      <c r="BH139" t="s" s="0">
        <v>3528</v>
      </c>
      <c r="BI139" t="s" s="0">
        <v>81</v>
      </c>
      <c r="BJ139" t="s" s="0">
        <v>3529</v>
      </c>
      <c r="BK139" t="s" s="274">
        <f>HYPERLINK("http://dx.doi.org/10.1177/00037028261424291","http://dx.doi.org/10.1177/00037028261424291")</f>
        <v>3530</v>
      </c>
      <c r="BL139" t="s" s="0">
        <v>81</v>
      </c>
      <c r="BM139" t="s" s="0">
        <v>279</v>
      </c>
      <c r="BN139" t="s" s="0">
        <v>102</v>
      </c>
      <c r="BO139" t="s" s="0">
        <v>3531</v>
      </c>
      <c r="BP139" t="s" s="0">
        <v>3531</v>
      </c>
      <c r="BQ139" t="s" s="0">
        <v>3532</v>
      </c>
      <c r="BR139" t="s" s="0">
        <v>3533</v>
      </c>
      <c r="BS139" t="s" s="0">
        <v>3534</v>
      </c>
      <c r="BT139" t="s" s="275">
        <f>HYPERLINK("https://www.webofscience.com/wos/woscc/full-record/WOS:001704628900001","View Record in Web of Science")</f>
        <v>123</v>
      </c>
      <c r="BU139" t="s" s="0">
        <v>81</v>
      </c>
      <c r="BV139" t="s" s="0">
        <v>81</v>
      </c>
      <c r="BW139" t="s" s="0">
        <v>81</v>
      </c>
      <c r="BX139" t="s" s="0">
        <v>124</v>
      </c>
    </row>
    <row r="140">
      <c r="A140" t="s" s="0">
        <v>77</v>
      </c>
      <c r="B140" t="s" s="0">
        <v>77</v>
      </c>
      <c r="C140" t="s" s="0">
        <v>77</v>
      </c>
      <c r="D140" t="s" s="0">
        <v>77</v>
      </c>
      <c r="E140" t="s" s="0">
        <v>3535</v>
      </c>
      <c r="F140" t="s" s="0">
        <v>3536</v>
      </c>
      <c r="G140" t="s" s="0">
        <v>3537</v>
      </c>
      <c r="H140" t="s" s="0">
        <v>81</v>
      </c>
      <c r="I140" t="s" s="0">
        <v>82</v>
      </c>
      <c r="J140" t="s" s="0">
        <v>3538</v>
      </c>
      <c r="K140" t="s" s="0">
        <v>3539</v>
      </c>
      <c r="L140" t="s" s="0">
        <v>81</v>
      </c>
      <c r="M140" t="s" s="0">
        <v>81</v>
      </c>
      <c r="N140" t="s" s="0">
        <v>81</v>
      </c>
      <c r="O140" t="s" s="0">
        <v>3540</v>
      </c>
      <c r="P140" t="s" s="0">
        <v>3541</v>
      </c>
      <c r="Q140" t="s" s="0">
        <v>90</v>
      </c>
      <c r="R140" t="s" s="0">
        <v>81</v>
      </c>
      <c r="S140" t="s" s="0">
        <v>81</v>
      </c>
      <c r="T140" t="s" s="0">
        <v>81</v>
      </c>
      <c r="U140" t="s" s="0">
        <v>81</v>
      </c>
      <c r="V140" t="s" s="0">
        <v>3542</v>
      </c>
      <c r="W140" t="s" s="0">
        <v>296</v>
      </c>
      <c r="X140" t="s" s="0">
        <v>81</v>
      </c>
      <c r="Y140" t="s" s="0">
        <v>81</v>
      </c>
      <c r="Z140" t="s" s="0">
        <v>93</v>
      </c>
      <c r="AA140" t="s" s="0">
        <v>94</v>
      </c>
      <c r="AB140" t="s" s="0">
        <v>81</v>
      </c>
      <c r="AC140" t="s" s="0">
        <v>81</v>
      </c>
      <c r="AD140" t="s" s="0">
        <v>81</v>
      </c>
      <c r="AE140" t="s" s="0">
        <v>81</v>
      </c>
      <c r="AF140" t="s" s="0">
        <v>81</v>
      </c>
      <c r="AG140" t="s" s="0">
        <v>3543</v>
      </c>
      <c r="AH140" t="s" s="0">
        <v>81</v>
      </c>
      <c r="AI140" t="s" s="0">
        <v>81</v>
      </c>
      <c r="AJ140" t="s" s="0">
        <v>3544</v>
      </c>
      <c r="AK140" t="s" s="0">
        <v>81</v>
      </c>
      <c r="AL140" t="s" s="0">
        <v>275</v>
      </c>
      <c r="AM140" t="s" s="0">
        <v>77</v>
      </c>
      <c r="AN140" t="s" s="0">
        <v>77</v>
      </c>
      <c r="AO140" t="s" s="0">
        <v>101</v>
      </c>
      <c r="AP140" t="s" s="0">
        <v>101</v>
      </c>
      <c r="AQ140" t="s" s="0">
        <v>302</v>
      </c>
      <c r="AR140" t="s" s="0">
        <v>303</v>
      </c>
      <c r="AS140" t="s" s="0">
        <v>304</v>
      </c>
      <c r="AT140" t="s" s="0">
        <v>305</v>
      </c>
      <c r="AU140" t="s" s="0">
        <v>81</v>
      </c>
      <c r="AV140" t="s" s="0">
        <v>81</v>
      </c>
      <c r="AW140" t="s" s="0">
        <v>306</v>
      </c>
      <c r="AX140" t="s" s="0">
        <v>307</v>
      </c>
      <c r="AY140" t="s" s="0">
        <v>2250</v>
      </c>
      <c r="AZ140" t="s" s="0">
        <v>212</v>
      </c>
      <c r="BA140" t="s" s="0">
        <v>1110</v>
      </c>
      <c r="BB140" t="s" s="0">
        <v>137</v>
      </c>
      <c r="BC140" t="s" s="0">
        <v>81</v>
      </c>
      <c r="BD140" t="s" s="0">
        <v>81</v>
      </c>
      <c r="BE140" t="s" s="0">
        <v>81</v>
      </c>
      <c r="BF140" t="s" s="0">
        <v>81</v>
      </c>
      <c r="BG140" t="s" s="0">
        <v>81</v>
      </c>
      <c r="BH140" t="s" s="0">
        <v>81</v>
      </c>
      <c r="BI140" t="s" s="0">
        <v>3545</v>
      </c>
      <c r="BJ140" t="s" s="0">
        <v>3546</v>
      </c>
      <c r="BK140" t="s" s="276">
        <f>HYPERLINK("http://dx.doi.org/10.1038/s41598-026-41250-7","http://dx.doi.org/10.1038/s41598-026-41250-7")</f>
        <v>3547</v>
      </c>
      <c r="BL140" t="s" s="0">
        <v>81</v>
      </c>
      <c r="BM140" t="s" s="0">
        <v>279</v>
      </c>
      <c r="BN140" t="s" s="0">
        <v>102</v>
      </c>
      <c r="BO140" t="s" s="0">
        <v>313</v>
      </c>
      <c r="BP140" t="s" s="0">
        <v>314</v>
      </c>
      <c r="BQ140" t="s" s="0">
        <v>3548</v>
      </c>
      <c r="BR140" t="s" s="0">
        <v>3549</v>
      </c>
      <c r="BS140" t="s" s="0">
        <v>3550</v>
      </c>
      <c r="BT140" t="s" s="277">
        <f>HYPERLINK("https://www.webofscience.com/wos/woscc/full-record/WOS:001768310700017","View Record in Web of Science")</f>
        <v>123</v>
      </c>
      <c r="BU140" t="s" s="0">
        <v>191</v>
      </c>
      <c r="BV140" t="s" s="0">
        <v>81</v>
      </c>
      <c r="BW140" t="s" s="0">
        <v>81</v>
      </c>
      <c r="BX140" t="s" s="0">
        <v>124</v>
      </c>
    </row>
    <row r="141">
      <c r="A141" t="s" s="0">
        <v>137</v>
      </c>
      <c r="B141" t="s" s="0">
        <v>77</v>
      </c>
      <c r="C141" t="s" s="0">
        <v>77</v>
      </c>
      <c r="D141" t="s" s="0">
        <v>77</v>
      </c>
      <c r="E141" t="s" s="0">
        <v>3551</v>
      </c>
      <c r="F141" t="s" s="0">
        <v>3552</v>
      </c>
      <c r="G141" t="s" s="0">
        <v>3553</v>
      </c>
      <c r="H141" t="s" s="0">
        <v>81</v>
      </c>
      <c r="I141" t="s" s="0">
        <v>82</v>
      </c>
      <c r="J141" t="s" s="0">
        <v>3554</v>
      </c>
      <c r="K141" t="s" s="0">
        <v>3555</v>
      </c>
      <c r="L141" t="s" s="0">
        <v>3556</v>
      </c>
      <c r="M141" t="s" s="0">
        <v>3557</v>
      </c>
      <c r="N141" t="s" s="0">
        <v>3558</v>
      </c>
      <c r="O141" t="s" s="0">
        <v>3559</v>
      </c>
      <c r="P141" t="s" s="0">
        <v>3560</v>
      </c>
      <c r="Q141" t="s" s="0">
        <v>90</v>
      </c>
      <c r="R141" t="s" s="0">
        <v>81</v>
      </c>
      <c r="S141" t="s" s="0">
        <v>81</v>
      </c>
      <c r="T141" t="s" s="0">
        <v>81</v>
      </c>
      <c r="U141" t="s" s="0">
        <v>81</v>
      </c>
      <c r="V141" t="s" s="0">
        <v>3561</v>
      </c>
      <c r="W141" t="s" s="0">
        <v>3562</v>
      </c>
      <c r="X141" t="s" s="0">
        <v>81</v>
      </c>
      <c r="Y141" t="s" s="0">
        <v>81</v>
      </c>
      <c r="Z141" t="s" s="0">
        <v>93</v>
      </c>
      <c r="AA141" t="s" s="0">
        <v>94</v>
      </c>
      <c r="AB141" t="s" s="0">
        <v>81</v>
      </c>
      <c r="AC141" t="s" s="0">
        <v>81</v>
      </c>
      <c r="AD141" t="s" s="0">
        <v>81</v>
      </c>
      <c r="AE141" t="s" s="0">
        <v>81</v>
      </c>
      <c r="AF141" t="s" s="0">
        <v>81</v>
      </c>
      <c r="AG141" t="s" s="0">
        <v>3563</v>
      </c>
      <c r="AH141" t="s" s="0">
        <v>81</v>
      </c>
      <c r="AI141" t="s" s="0">
        <v>81</v>
      </c>
      <c r="AJ141" t="s" s="0">
        <v>3564</v>
      </c>
      <c r="AK141" t="s" s="0">
        <v>81</v>
      </c>
      <c r="AL141" t="s" s="0">
        <v>1217</v>
      </c>
      <c r="AM141" t="s" s="0">
        <v>267</v>
      </c>
      <c r="AN141" t="s" s="0">
        <v>267</v>
      </c>
      <c r="AO141" t="s" s="0">
        <v>652</v>
      </c>
      <c r="AP141" t="s" s="0">
        <v>239</v>
      </c>
      <c r="AQ141" t="s" s="0">
        <v>588</v>
      </c>
      <c r="AR141" t="s" s="0">
        <v>589</v>
      </c>
      <c r="AS141" t="s" s="0">
        <v>590</v>
      </c>
      <c r="AT141" t="s" s="0">
        <v>3565</v>
      </c>
      <c r="AU141" t="s" s="0">
        <v>3566</v>
      </c>
      <c r="AV141" t="s" s="0">
        <v>81</v>
      </c>
      <c r="AW141" t="s" s="0">
        <v>3567</v>
      </c>
      <c r="AX141" t="s" s="0">
        <v>3568</v>
      </c>
      <c r="AY141" t="s" s="0">
        <v>1861</v>
      </c>
      <c r="AZ141" t="s" s="0">
        <v>111</v>
      </c>
      <c r="BA141" t="s" s="0">
        <v>1110</v>
      </c>
      <c r="BB141" t="s" s="0">
        <v>101</v>
      </c>
      <c r="BC141" t="s" s="0">
        <v>81</v>
      </c>
      <c r="BD141" t="s" s="0">
        <v>81</v>
      </c>
      <c r="BE141" t="s" s="0">
        <v>81</v>
      </c>
      <c r="BF141" t="s" s="0">
        <v>81</v>
      </c>
      <c r="BG141" t="s" s="0">
        <v>3569</v>
      </c>
      <c r="BH141" t="s" s="0">
        <v>3570</v>
      </c>
      <c r="BI141" t="s" s="0">
        <v>81</v>
      </c>
      <c r="BJ141" t="s" s="0">
        <v>3571</v>
      </c>
      <c r="BK141" t="s" s="278">
        <f>HYPERLINK("http://dx.doi.org/10.1109/TSTE.2024.3494266","http://dx.doi.org/10.1109/TSTE.2024.3494266")</f>
        <v>3572</v>
      </c>
      <c r="BL141" t="s" s="0">
        <v>81</v>
      </c>
      <c r="BM141" t="s" s="0">
        <v>81</v>
      </c>
      <c r="BN141" t="s" s="0">
        <v>152</v>
      </c>
      <c r="BO141" t="s" s="0">
        <v>3573</v>
      </c>
      <c r="BP141" t="s" s="0">
        <v>3574</v>
      </c>
      <c r="BQ141" t="s" s="0">
        <v>3575</v>
      </c>
      <c r="BR141" t="s" s="0">
        <v>81</v>
      </c>
      <c r="BS141" t="s" s="0">
        <v>3576</v>
      </c>
      <c r="BT141" t="s" s="279">
        <f>HYPERLINK("https://www.webofscience.com/wos/woscc/full-record/WOS:001449690500010","View Record in Web of Science")</f>
        <v>123</v>
      </c>
      <c r="BU141" t="s" s="0">
        <v>81</v>
      </c>
      <c r="BV141" t="s" s="0">
        <v>81</v>
      </c>
      <c r="BW141" t="s" s="0">
        <v>81</v>
      </c>
      <c r="BX141" t="s" s="0">
        <v>124</v>
      </c>
    </row>
    <row r="142">
      <c r="A142" t="s" s="0">
        <v>77</v>
      </c>
      <c r="B142" t="s" s="0">
        <v>77</v>
      </c>
      <c r="C142" t="s" s="0">
        <v>77</v>
      </c>
      <c r="D142" t="s" s="0">
        <v>77</v>
      </c>
      <c r="E142" t="s" s="0">
        <v>3577</v>
      </c>
      <c r="F142" t="s" s="0">
        <v>3578</v>
      </c>
      <c r="G142" t="s" s="0">
        <v>3579</v>
      </c>
      <c r="H142" t="s" s="0">
        <v>81</v>
      </c>
      <c r="I142" t="s" s="0">
        <v>82</v>
      </c>
      <c r="J142" t="s" s="0">
        <v>3580</v>
      </c>
      <c r="K142" t="s" s="0">
        <v>3581</v>
      </c>
      <c r="L142" t="s" s="0">
        <v>496</v>
      </c>
      <c r="M142" t="s" s="0">
        <v>199</v>
      </c>
      <c r="N142" t="s" s="0">
        <v>3582</v>
      </c>
      <c r="O142" t="s" s="0">
        <v>3583</v>
      </c>
      <c r="P142" t="s" s="0">
        <v>3584</v>
      </c>
      <c r="Q142" t="s" s="0">
        <v>90</v>
      </c>
      <c r="R142" t="s" s="0">
        <v>81</v>
      </c>
      <c r="S142" t="s" s="0">
        <v>81</v>
      </c>
      <c r="T142" t="s" s="0">
        <v>81</v>
      </c>
      <c r="U142" t="s" s="0">
        <v>81</v>
      </c>
      <c r="V142" t="s" s="0">
        <v>3585</v>
      </c>
      <c r="W142" t="s" s="0">
        <v>3586</v>
      </c>
      <c r="X142" t="s" s="0">
        <v>81</v>
      </c>
      <c r="Y142" t="s" s="0">
        <v>81</v>
      </c>
      <c r="Z142" t="s" s="0">
        <v>93</v>
      </c>
      <c r="AA142" t="s" s="0">
        <v>94</v>
      </c>
      <c r="AB142" t="s" s="0">
        <v>81</v>
      </c>
      <c r="AC142" t="s" s="0">
        <v>81</v>
      </c>
      <c r="AD142" t="s" s="0">
        <v>81</v>
      </c>
      <c r="AE142" t="s" s="0">
        <v>81</v>
      </c>
      <c r="AF142" t="s" s="0">
        <v>81</v>
      </c>
      <c r="AG142" t="s" s="0">
        <v>3587</v>
      </c>
      <c r="AH142" t="s" s="0">
        <v>81</v>
      </c>
      <c r="AI142" t="s" s="0">
        <v>81</v>
      </c>
      <c r="AJ142" t="s" s="0">
        <v>81</v>
      </c>
      <c r="AK142" t="s" s="0">
        <v>81</v>
      </c>
      <c r="AL142" t="s" s="0">
        <v>513</v>
      </c>
      <c r="AM142" t="s" s="0">
        <v>77</v>
      </c>
      <c r="AN142" t="s" s="0">
        <v>77</v>
      </c>
      <c r="AO142" t="s" s="0">
        <v>137</v>
      </c>
      <c r="AP142" t="s" s="0">
        <v>137</v>
      </c>
      <c r="AQ142" t="s" s="0">
        <v>421</v>
      </c>
      <c r="AR142" t="s" s="0">
        <v>422</v>
      </c>
      <c r="AS142" t="s" s="0">
        <v>423</v>
      </c>
      <c r="AT142" t="s" s="0">
        <v>81</v>
      </c>
      <c r="AU142" t="s" s="0">
        <v>3588</v>
      </c>
      <c r="AV142" t="s" s="0">
        <v>81</v>
      </c>
      <c r="AW142" t="s" s="0">
        <v>3589</v>
      </c>
      <c r="AX142" t="s" s="0">
        <v>3590</v>
      </c>
      <c r="AY142" t="s" s="0">
        <v>3591</v>
      </c>
      <c r="AZ142" t="s" s="0">
        <v>212</v>
      </c>
      <c r="BA142" t="s" s="0">
        <v>117</v>
      </c>
      <c r="BB142" t="s" s="0">
        <v>81</v>
      </c>
      <c r="BC142" t="s" s="0">
        <v>81</v>
      </c>
      <c r="BD142" t="s" s="0">
        <v>81</v>
      </c>
      <c r="BE142" t="s" s="0">
        <v>81</v>
      </c>
      <c r="BF142" t="s" s="0">
        <v>81</v>
      </c>
      <c r="BG142" t="s" s="0">
        <v>81</v>
      </c>
      <c r="BH142" t="s" s="0">
        <v>81</v>
      </c>
      <c r="BI142" t="s" s="0">
        <v>3592</v>
      </c>
      <c r="BJ142" t="s" s="0">
        <v>3593</v>
      </c>
      <c r="BK142" t="s" s="280">
        <f>HYPERLINK("http://dx.doi.org/10.3389/fmed.2026.1829629","http://dx.doi.org/10.3389/fmed.2026.1829629")</f>
        <v>3594</v>
      </c>
      <c r="BL142" t="s" s="0">
        <v>81</v>
      </c>
      <c r="BM142" t="s" s="0">
        <v>1174</v>
      </c>
      <c r="BN142" t="s" s="0">
        <v>172</v>
      </c>
      <c r="BO142" t="s" s="0">
        <v>3184</v>
      </c>
      <c r="BP142" t="s" s="0">
        <v>3185</v>
      </c>
      <c r="BQ142" t="s" s="0">
        <v>3595</v>
      </c>
      <c r="BR142" t="s" s="0">
        <v>3596</v>
      </c>
      <c r="BS142" t="s" s="0">
        <v>3597</v>
      </c>
      <c r="BT142" t="s" s="281">
        <f>HYPERLINK("https://www.webofscience.com/wos/woscc/full-record/WOS:001772435300001","View Record in Web of Science")</f>
        <v>123</v>
      </c>
      <c r="BU142" t="s" s="0">
        <v>191</v>
      </c>
      <c r="BV142" t="s" s="0">
        <v>81</v>
      </c>
      <c r="BW142" t="s" s="0">
        <v>81</v>
      </c>
      <c r="BX142" t="s" s="0">
        <v>124</v>
      </c>
    </row>
    <row r="143">
      <c r="A143" t="s" s="0">
        <v>77</v>
      </c>
      <c r="B143" t="s" s="0">
        <v>77</v>
      </c>
      <c r="C143" t="s" s="0">
        <v>77</v>
      </c>
      <c r="D143" t="s" s="0">
        <v>77</v>
      </c>
      <c r="E143" t="s" s="0">
        <v>3598</v>
      </c>
      <c r="F143" t="s" s="0">
        <v>3599</v>
      </c>
      <c r="G143" t="s" s="0">
        <v>3600</v>
      </c>
      <c r="H143" t="s" s="0">
        <v>81</v>
      </c>
      <c r="I143" t="s" s="0">
        <v>82</v>
      </c>
      <c r="J143" t="s" s="0">
        <v>3601</v>
      </c>
      <c r="K143" t="s" s="0">
        <v>3602</v>
      </c>
      <c r="L143" t="s" s="0">
        <v>3603</v>
      </c>
      <c r="M143" t="s" s="0">
        <v>3604</v>
      </c>
      <c r="N143" t="s" s="0">
        <v>3605</v>
      </c>
      <c r="O143" t="s" s="0">
        <v>3606</v>
      </c>
      <c r="P143" t="s" s="0">
        <v>3607</v>
      </c>
      <c r="Q143" t="s" s="0">
        <v>90</v>
      </c>
      <c r="R143" t="s" s="0">
        <v>81</v>
      </c>
      <c r="S143" t="s" s="0">
        <v>81</v>
      </c>
      <c r="T143" t="s" s="0">
        <v>81</v>
      </c>
      <c r="U143" t="s" s="0">
        <v>81</v>
      </c>
      <c r="V143" t="s" s="0">
        <v>3608</v>
      </c>
      <c r="W143" t="s" s="0">
        <v>3609</v>
      </c>
      <c r="X143" t="s" s="0">
        <v>81</v>
      </c>
      <c r="Y143" t="s" s="0">
        <v>81</v>
      </c>
      <c r="Z143" t="s" s="0">
        <v>93</v>
      </c>
      <c r="AA143" t="s" s="0">
        <v>94</v>
      </c>
      <c r="AB143" t="s" s="0">
        <v>81</v>
      </c>
      <c r="AC143" t="s" s="0">
        <v>81</v>
      </c>
      <c r="AD143" t="s" s="0">
        <v>81</v>
      </c>
      <c r="AE143" t="s" s="0">
        <v>81</v>
      </c>
      <c r="AF143" t="s" s="0">
        <v>81</v>
      </c>
      <c r="AG143" t="s" s="0">
        <v>3610</v>
      </c>
      <c r="AH143" t="s" s="0">
        <v>3611</v>
      </c>
      <c r="AI143" t="s" s="0">
        <v>81</v>
      </c>
      <c r="AJ143" t="s" s="0">
        <v>81</v>
      </c>
      <c r="AK143" t="s" s="0">
        <v>81</v>
      </c>
      <c r="AL143" t="s" s="0">
        <v>785</v>
      </c>
      <c r="AM143" t="s" s="0">
        <v>137</v>
      </c>
      <c r="AN143" t="s" s="0">
        <v>137</v>
      </c>
      <c r="AO143" t="s" s="0">
        <v>138</v>
      </c>
      <c r="AP143" t="s" s="0">
        <v>138</v>
      </c>
      <c r="AQ143" t="s" s="0">
        <v>449</v>
      </c>
      <c r="AR143" t="s" s="0">
        <v>450</v>
      </c>
      <c r="AS143" t="s" s="0">
        <v>451</v>
      </c>
      <c r="AT143" t="s" s="0">
        <v>3612</v>
      </c>
      <c r="AU143" t="s" s="0">
        <v>3613</v>
      </c>
      <c r="AV143" t="s" s="0">
        <v>81</v>
      </c>
      <c r="AW143" t="s" s="0">
        <v>3614</v>
      </c>
      <c r="AX143" t="s" s="0">
        <v>3615</v>
      </c>
      <c r="AY143" t="s" s="0">
        <v>279</v>
      </c>
      <c r="AZ143" t="s" s="0">
        <v>212</v>
      </c>
      <c r="BA143" t="s" s="0">
        <v>1331</v>
      </c>
      <c r="BB143" t="s" s="0">
        <v>301</v>
      </c>
      <c r="BC143" t="s" s="0">
        <v>81</v>
      </c>
      <c r="BD143" t="s" s="0">
        <v>81</v>
      </c>
      <c r="BE143" t="s" s="0">
        <v>81</v>
      </c>
      <c r="BF143" t="s" s="0">
        <v>81</v>
      </c>
      <c r="BG143" t="s" s="0">
        <v>81</v>
      </c>
      <c r="BH143" t="s" s="0">
        <v>81</v>
      </c>
      <c r="BI143" t="s" s="0">
        <v>3616</v>
      </c>
      <c r="BJ143" t="s" s="0">
        <v>3617</v>
      </c>
      <c r="BK143" t="s" s="282">
        <f>HYPERLINK("http://dx.doi.org/10.1111/exsy.70216","http://dx.doi.org/10.1111/exsy.70216")</f>
        <v>3618</v>
      </c>
      <c r="BL143" t="s" s="0">
        <v>81</v>
      </c>
      <c r="BM143" t="s" s="0">
        <v>81</v>
      </c>
      <c r="BN143" t="s" s="0">
        <v>652</v>
      </c>
      <c r="BO143" t="s" s="0">
        <v>249</v>
      </c>
      <c r="BP143" t="s" s="0">
        <v>250</v>
      </c>
      <c r="BQ143" t="s" s="0">
        <v>3619</v>
      </c>
      <c r="BR143" t="s" s="0">
        <v>81</v>
      </c>
      <c r="BS143" t="s" s="0">
        <v>3620</v>
      </c>
      <c r="BT143" t="s" s="283">
        <f>HYPERLINK("https://www.webofscience.com/wos/woscc/full-record/WOS:001719130200008","View Record in Web of Science")</f>
        <v>123</v>
      </c>
      <c r="BU143" t="s" s="0">
        <v>81</v>
      </c>
      <c r="BV143" t="s" s="0">
        <v>81</v>
      </c>
      <c r="BW143" t="s" s="0">
        <v>81</v>
      </c>
      <c r="BX143" t="s" s="0">
        <v>124</v>
      </c>
    </row>
    <row r="144">
      <c r="A144" t="s" s="0">
        <v>77</v>
      </c>
      <c r="B144" t="s" s="0">
        <v>77</v>
      </c>
      <c r="C144" t="s" s="0">
        <v>77</v>
      </c>
      <c r="D144" t="s" s="0">
        <v>77</v>
      </c>
      <c r="E144" t="s" s="0">
        <v>3621</v>
      </c>
      <c r="F144" t="s" s="0">
        <v>3622</v>
      </c>
      <c r="G144" t="s" s="0">
        <v>3623</v>
      </c>
      <c r="H144" t="s" s="0">
        <v>81</v>
      </c>
      <c r="I144" t="s" s="0">
        <v>82</v>
      </c>
      <c r="J144" t="s" s="0">
        <v>3624</v>
      </c>
      <c r="K144" t="s" s="0">
        <v>3625</v>
      </c>
      <c r="L144" t="s" s="0">
        <v>3626</v>
      </c>
      <c r="M144" t="s" s="0">
        <v>3626</v>
      </c>
      <c r="N144" t="s" s="0">
        <v>3627</v>
      </c>
      <c r="O144" t="s" s="0">
        <v>3628</v>
      </c>
      <c r="P144" t="s" s="0">
        <v>3629</v>
      </c>
      <c r="Q144" t="s" s="0">
        <v>90</v>
      </c>
      <c r="R144" t="s" s="0">
        <v>81</v>
      </c>
      <c r="S144" t="s" s="0">
        <v>81</v>
      </c>
      <c r="T144" t="s" s="0">
        <v>81</v>
      </c>
      <c r="U144" t="s" s="0">
        <v>81</v>
      </c>
      <c r="V144" t="s" s="0">
        <v>3630</v>
      </c>
      <c r="W144" t="s" s="0">
        <v>296</v>
      </c>
      <c r="X144" t="s" s="0">
        <v>81</v>
      </c>
      <c r="Y144" t="s" s="0">
        <v>81</v>
      </c>
      <c r="Z144" t="s" s="0">
        <v>93</v>
      </c>
      <c r="AA144" t="s" s="0">
        <v>94</v>
      </c>
      <c r="AB144" t="s" s="0">
        <v>81</v>
      </c>
      <c r="AC144" t="s" s="0">
        <v>81</v>
      </c>
      <c r="AD144" t="s" s="0">
        <v>81</v>
      </c>
      <c r="AE144" t="s" s="0">
        <v>81</v>
      </c>
      <c r="AF144" t="s" s="0">
        <v>81</v>
      </c>
      <c r="AG144" t="s" s="0">
        <v>3631</v>
      </c>
      <c r="AH144" t="s" s="0">
        <v>2245</v>
      </c>
      <c r="AI144" t="s" s="0">
        <v>3632</v>
      </c>
      <c r="AJ144" t="s" s="0">
        <v>81</v>
      </c>
      <c r="AK144" t="s" s="0">
        <v>81</v>
      </c>
      <c r="AL144" t="s" s="0">
        <v>390</v>
      </c>
      <c r="AM144" t="s" s="0">
        <v>137</v>
      </c>
      <c r="AN144" t="s" s="0">
        <v>137</v>
      </c>
      <c r="AO144" t="s" s="0">
        <v>137</v>
      </c>
      <c r="AP144" t="s" s="0">
        <v>137</v>
      </c>
      <c r="AQ144" t="s" s="0">
        <v>302</v>
      </c>
      <c r="AR144" t="s" s="0">
        <v>303</v>
      </c>
      <c r="AS144" t="s" s="0">
        <v>304</v>
      </c>
      <c r="AT144" t="s" s="0">
        <v>305</v>
      </c>
      <c r="AU144" t="s" s="0">
        <v>81</v>
      </c>
      <c r="AV144" t="s" s="0">
        <v>81</v>
      </c>
      <c r="AW144" t="s" s="0">
        <v>306</v>
      </c>
      <c r="AX144" t="s" s="0">
        <v>307</v>
      </c>
      <c r="AY144" t="s" s="0">
        <v>3633</v>
      </c>
      <c r="AZ144" t="s" s="0">
        <v>212</v>
      </c>
      <c r="BA144" t="s" s="0">
        <v>1110</v>
      </c>
      <c r="BB144" t="s" s="0">
        <v>137</v>
      </c>
      <c r="BC144" t="s" s="0">
        <v>81</v>
      </c>
      <c r="BD144" t="s" s="0">
        <v>81</v>
      </c>
      <c r="BE144" t="s" s="0">
        <v>81</v>
      </c>
      <c r="BF144" t="s" s="0">
        <v>81</v>
      </c>
      <c r="BG144" t="s" s="0">
        <v>81</v>
      </c>
      <c r="BH144" t="s" s="0">
        <v>81</v>
      </c>
      <c r="BI144" t="s" s="0">
        <v>3634</v>
      </c>
      <c r="BJ144" t="s" s="0">
        <v>3635</v>
      </c>
      <c r="BK144" t="s" s="284">
        <f>HYPERLINK("http://dx.doi.org/10.1038/s41598-026-42207-6","http://dx.doi.org/10.1038/s41598-026-42207-6")</f>
        <v>3636</v>
      </c>
      <c r="BL144" t="s" s="0">
        <v>81</v>
      </c>
      <c r="BM144" t="s" s="0">
        <v>279</v>
      </c>
      <c r="BN144" t="s" s="0">
        <v>405</v>
      </c>
      <c r="BO144" t="s" s="0">
        <v>313</v>
      </c>
      <c r="BP144" t="s" s="0">
        <v>314</v>
      </c>
      <c r="BQ144" t="s" s="0">
        <v>3637</v>
      </c>
      <c r="BR144" t="s" s="0">
        <v>3638</v>
      </c>
      <c r="BS144" t="s" s="0">
        <v>3639</v>
      </c>
      <c r="BT144" t="s" s="285">
        <f>HYPERLINK("https://www.webofscience.com/wos/woscc/full-record/WOS:001772754500001","View Record in Web of Science")</f>
        <v>123</v>
      </c>
      <c r="BU144" t="s" s="0">
        <v>191</v>
      </c>
      <c r="BV144" t="s" s="0">
        <v>81</v>
      </c>
      <c r="BW144" t="s" s="0">
        <v>81</v>
      </c>
      <c r="BX144" t="s" s="0">
        <v>124</v>
      </c>
    </row>
    <row r="145">
      <c r="A145" t="s" s="0">
        <v>77</v>
      </c>
      <c r="B145" t="s" s="0">
        <v>77</v>
      </c>
      <c r="C145" t="s" s="0">
        <v>77</v>
      </c>
      <c r="D145" t="s" s="0">
        <v>77</v>
      </c>
      <c r="E145" t="s" s="0">
        <v>3640</v>
      </c>
      <c r="F145" t="s" s="0">
        <v>3641</v>
      </c>
      <c r="G145" t="s" s="0">
        <v>3642</v>
      </c>
      <c r="H145" t="s" s="0">
        <v>81</v>
      </c>
      <c r="I145" t="s" s="0">
        <v>2724</v>
      </c>
      <c r="J145" t="s" s="0">
        <v>3643</v>
      </c>
      <c r="K145" t="s" s="0">
        <v>3644</v>
      </c>
      <c r="L145" t="s" s="0">
        <v>81</v>
      </c>
      <c r="M145" t="s" s="0">
        <v>81</v>
      </c>
      <c r="N145" t="s" s="0">
        <v>81</v>
      </c>
      <c r="O145" t="s" s="0">
        <v>3645</v>
      </c>
      <c r="P145" t="s" s="0">
        <v>3646</v>
      </c>
      <c r="Q145" t="s" s="0">
        <v>90</v>
      </c>
      <c r="R145" t="s" s="0">
        <v>81</v>
      </c>
      <c r="S145" t="s" s="0">
        <v>81</v>
      </c>
      <c r="T145" t="s" s="0">
        <v>81</v>
      </c>
      <c r="U145" t="s" s="0">
        <v>81</v>
      </c>
      <c r="V145" t="s" s="0">
        <v>3647</v>
      </c>
      <c r="W145" t="s" s="0">
        <v>2733</v>
      </c>
      <c r="X145" t="s" s="0">
        <v>81</v>
      </c>
      <c r="Y145" t="s" s="0">
        <v>81</v>
      </c>
      <c r="Z145" t="s" s="0">
        <v>93</v>
      </c>
      <c r="AA145" t="s" s="0">
        <v>94</v>
      </c>
      <c r="AB145" t="s" s="0">
        <v>81</v>
      </c>
      <c r="AC145" t="s" s="0">
        <v>81</v>
      </c>
      <c r="AD145" t="s" s="0">
        <v>81</v>
      </c>
      <c r="AE145" t="s" s="0">
        <v>81</v>
      </c>
      <c r="AF145" t="s" s="0">
        <v>81</v>
      </c>
      <c r="AG145" t="s" s="0">
        <v>3648</v>
      </c>
      <c r="AH145" t="s" s="0">
        <v>3649</v>
      </c>
      <c r="AI145" t="s" s="0">
        <v>81</v>
      </c>
      <c r="AJ145" t="s" s="0">
        <v>81</v>
      </c>
      <c r="AK145" t="s" s="0">
        <v>81</v>
      </c>
      <c r="AL145" t="s" s="0">
        <v>703</v>
      </c>
      <c r="AM145" t="s" s="0">
        <v>137</v>
      </c>
      <c r="AN145" t="s" s="0">
        <v>101</v>
      </c>
      <c r="AO145" t="s" s="0">
        <v>137</v>
      </c>
      <c r="AP145" t="s" s="0">
        <v>333</v>
      </c>
      <c r="AQ145" t="s" s="0">
        <v>421</v>
      </c>
      <c r="AR145" t="s" s="0">
        <v>422</v>
      </c>
      <c r="AS145" t="s" s="0">
        <v>423</v>
      </c>
      <c r="AT145" t="s" s="0">
        <v>81</v>
      </c>
      <c r="AU145" t="s" s="0">
        <v>2737</v>
      </c>
      <c r="AV145" t="s" s="0">
        <v>81</v>
      </c>
      <c r="AW145" t="s" s="0">
        <v>2738</v>
      </c>
      <c r="AX145" t="s" s="0">
        <v>2739</v>
      </c>
      <c r="AY145" t="s" s="0">
        <v>3650</v>
      </c>
      <c r="AZ145" t="s" s="0">
        <v>111</v>
      </c>
      <c r="BA145" t="s" s="0">
        <v>182</v>
      </c>
      <c r="BB145" t="s" s="0">
        <v>81</v>
      </c>
      <c r="BC145" t="s" s="0">
        <v>81</v>
      </c>
      <c r="BD145" t="s" s="0">
        <v>81</v>
      </c>
      <c r="BE145" t="s" s="0">
        <v>81</v>
      </c>
      <c r="BF145" t="s" s="0">
        <v>81</v>
      </c>
      <c r="BG145" t="s" s="0">
        <v>81</v>
      </c>
      <c r="BH145" t="s" s="0">
        <v>81</v>
      </c>
      <c r="BI145" t="s" s="0">
        <v>3651</v>
      </c>
      <c r="BJ145" t="s" s="0">
        <v>3652</v>
      </c>
      <c r="BK145" t="s" s="286">
        <f>HYPERLINK("http://dx.doi.org/10.3389/fpubh.2024.1369041","http://dx.doi.org/10.3389/fpubh.2024.1369041")</f>
        <v>3653</v>
      </c>
      <c r="BL145" t="s" s="0">
        <v>81</v>
      </c>
      <c r="BM145" t="s" s="0">
        <v>81</v>
      </c>
      <c r="BN145" t="s" s="0">
        <v>1110</v>
      </c>
      <c r="BO145" t="s" s="0">
        <v>2744</v>
      </c>
      <c r="BP145" t="s" s="0">
        <v>2744</v>
      </c>
      <c r="BQ145" t="s" s="0">
        <v>3654</v>
      </c>
      <c r="BR145" t="s" s="0">
        <v>3655</v>
      </c>
      <c r="BS145" t="s" s="0">
        <v>3656</v>
      </c>
      <c r="BT145" t="s" s="287">
        <f>HYPERLINK("https://www.webofscience.com/wos/woscc/full-record/WOS:001400536200001","View Record in Web of Science")</f>
        <v>123</v>
      </c>
      <c r="BU145" t="s" s="0">
        <v>191</v>
      </c>
      <c r="BV145" t="s" s="0">
        <v>81</v>
      </c>
      <c r="BW145" t="s" s="0">
        <v>81</v>
      </c>
      <c r="BX145" t="s" s="0">
        <v>124</v>
      </c>
    </row>
    <row r="146">
      <c r="A146" t="s" s="0">
        <v>77</v>
      </c>
      <c r="B146" t="s" s="0">
        <v>77</v>
      </c>
      <c r="C146" t="s" s="0">
        <v>137</v>
      </c>
      <c r="D146" t="s" s="0">
        <v>77</v>
      </c>
      <c r="E146" t="s" s="0">
        <v>3657</v>
      </c>
      <c r="F146" t="s" s="0">
        <v>3658</v>
      </c>
      <c r="G146" t="s" s="0">
        <v>3659</v>
      </c>
      <c r="H146" t="s" s="0">
        <v>81</v>
      </c>
      <c r="I146" t="s" s="0">
        <v>82</v>
      </c>
      <c r="J146" t="s" s="0">
        <v>3660</v>
      </c>
      <c r="K146" t="s" s="0">
        <v>3661</v>
      </c>
      <c r="L146" t="s" s="0">
        <v>3662</v>
      </c>
      <c r="M146" t="s" s="0">
        <v>3663</v>
      </c>
      <c r="N146" t="s" s="0">
        <v>3664</v>
      </c>
      <c r="O146" t="s" s="0">
        <v>3665</v>
      </c>
      <c r="P146" t="s" s="0">
        <v>3666</v>
      </c>
      <c r="Q146" t="s" s="0">
        <v>90</v>
      </c>
      <c r="R146" t="s" s="0">
        <v>81</v>
      </c>
      <c r="S146" t="s" s="0">
        <v>81</v>
      </c>
      <c r="T146" t="s" s="0">
        <v>81</v>
      </c>
      <c r="U146" t="s" s="0">
        <v>81</v>
      </c>
      <c r="V146" t="s" s="0">
        <v>3667</v>
      </c>
      <c r="W146" t="s" s="0">
        <v>3668</v>
      </c>
      <c r="X146" t="s" s="0">
        <v>81</v>
      </c>
      <c r="Y146" t="s" s="0">
        <v>81</v>
      </c>
      <c r="Z146" t="s" s="0">
        <v>93</v>
      </c>
      <c r="AA146" t="s" s="0">
        <v>94</v>
      </c>
      <c r="AB146" t="s" s="0">
        <v>81</v>
      </c>
      <c r="AC146" t="s" s="0">
        <v>81</v>
      </c>
      <c r="AD146" t="s" s="0">
        <v>81</v>
      </c>
      <c r="AE146" t="s" s="0">
        <v>81</v>
      </c>
      <c r="AF146" t="s" s="0">
        <v>81</v>
      </c>
      <c r="AG146" t="s" s="0">
        <v>3669</v>
      </c>
      <c r="AH146" t="s" s="0">
        <v>3670</v>
      </c>
      <c r="AI146" t="s" s="0">
        <v>3671</v>
      </c>
      <c r="AJ146" t="s" s="0">
        <v>81</v>
      </c>
      <c r="AK146" t="s" s="0">
        <v>81</v>
      </c>
      <c r="AL146" t="s" s="0">
        <v>390</v>
      </c>
      <c r="AM146" t="s" s="0">
        <v>301</v>
      </c>
      <c r="AN146" t="s" s="0">
        <v>158</v>
      </c>
      <c r="AO146" t="s" s="0">
        <v>399</v>
      </c>
      <c r="AP146" t="s" s="0">
        <v>895</v>
      </c>
      <c r="AQ146" t="s" s="0">
        <v>3672</v>
      </c>
      <c r="AR146" t="s" s="0">
        <v>3673</v>
      </c>
      <c r="AS146" t="s" s="0">
        <v>3674</v>
      </c>
      <c r="AT146" t="s" s="0">
        <v>3675</v>
      </c>
      <c r="AU146" t="s" s="0">
        <v>3676</v>
      </c>
      <c r="AV146" t="s" s="0">
        <v>81</v>
      </c>
      <c r="AW146" t="s" s="0">
        <v>3677</v>
      </c>
      <c r="AX146" t="s" s="0">
        <v>3678</v>
      </c>
      <c r="AY146" t="s" s="0">
        <v>309</v>
      </c>
      <c r="AZ146" t="s" s="0">
        <v>309</v>
      </c>
      <c r="BA146" t="s" s="0">
        <v>3679</v>
      </c>
      <c r="BB146" t="s" s="0">
        <v>100</v>
      </c>
      <c r="BC146" t="s" s="0">
        <v>81</v>
      </c>
      <c r="BD146" t="s" s="0">
        <v>81</v>
      </c>
      <c r="BE146" t="s" s="0">
        <v>81</v>
      </c>
      <c r="BF146" t="s" s="0">
        <v>81</v>
      </c>
      <c r="BG146" t="s" s="0">
        <v>3680</v>
      </c>
      <c r="BH146" t="s" s="0">
        <v>3681</v>
      </c>
      <c r="BI146" t="s" s="0">
        <v>81</v>
      </c>
      <c r="BJ146" t="s" s="0">
        <v>3682</v>
      </c>
      <c r="BK146" t="s" s="288">
        <f>HYPERLINK("http://dx.doi.org/10.32604/cmc.2024.056666","http://dx.doi.org/10.32604/cmc.2024.056666")</f>
        <v>3683</v>
      </c>
      <c r="BL146" t="s" s="0">
        <v>81</v>
      </c>
      <c r="BM146" t="s" s="0">
        <v>81</v>
      </c>
      <c r="BN146" t="s" s="0">
        <v>895</v>
      </c>
      <c r="BO146" t="s" s="0">
        <v>3684</v>
      </c>
      <c r="BP146" t="s" s="0">
        <v>3685</v>
      </c>
      <c r="BQ146" t="s" s="0">
        <v>3686</v>
      </c>
      <c r="BR146" t="s" s="0">
        <v>81</v>
      </c>
      <c r="BS146" t="s" s="0">
        <v>3687</v>
      </c>
      <c r="BT146" t="s" s="289">
        <f>HYPERLINK("https://www.webofscience.com/wos/woscc/full-record/WOS:001385235800001","View Record in Web of Science")</f>
        <v>123</v>
      </c>
      <c r="BU146" t="s" s="0">
        <v>222</v>
      </c>
      <c r="BV146" t="s" s="0">
        <v>81</v>
      </c>
      <c r="BW146" t="s" s="0">
        <v>81</v>
      </c>
      <c r="BX146" t="s" s="0">
        <v>124</v>
      </c>
    </row>
    <row r="147">
      <c r="A147" t="s" s="0">
        <v>77</v>
      </c>
      <c r="B147" t="s" s="0">
        <v>77</v>
      </c>
      <c r="C147" t="s" s="0">
        <v>101</v>
      </c>
      <c r="D147" t="s" s="0">
        <v>77</v>
      </c>
      <c r="E147" t="s" s="0">
        <v>3688</v>
      </c>
      <c r="F147" t="s" s="0">
        <v>3689</v>
      </c>
      <c r="G147" t="s" s="0">
        <v>3690</v>
      </c>
      <c r="H147" t="s" s="0">
        <v>81</v>
      </c>
      <c r="I147" t="s" s="0">
        <v>82</v>
      </c>
      <c r="J147" t="s" s="0">
        <v>3691</v>
      </c>
      <c r="K147" t="s" s="0">
        <v>3692</v>
      </c>
      <c r="L147" t="s" s="0">
        <v>3693</v>
      </c>
      <c r="M147" t="s" s="0">
        <v>3694</v>
      </c>
      <c r="N147" t="s" s="0">
        <v>3695</v>
      </c>
      <c r="O147" t="s" s="0">
        <v>3696</v>
      </c>
      <c r="P147" t="s" s="0">
        <v>3697</v>
      </c>
      <c r="Q147" t="s" s="0">
        <v>90</v>
      </c>
      <c r="R147" t="s" s="0">
        <v>81</v>
      </c>
      <c r="S147" t="s" s="0">
        <v>81</v>
      </c>
      <c r="T147" t="s" s="0">
        <v>81</v>
      </c>
      <c r="U147" t="s" s="0">
        <v>81</v>
      </c>
      <c r="V147" t="s" s="0">
        <v>3698</v>
      </c>
      <c r="W147" t="s" s="0">
        <v>3699</v>
      </c>
      <c r="X147" t="s" s="0">
        <v>81</v>
      </c>
      <c r="Y147" t="s" s="0">
        <v>81</v>
      </c>
      <c r="Z147" t="s" s="0">
        <v>93</v>
      </c>
      <c r="AA147" t="s" s="0">
        <v>94</v>
      </c>
      <c r="AB147" t="s" s="0">
        <v>81</v>
      </c>
      <c r="AC147" t="s" s="0">
        <v>81</v>
      </c>
      <c r="AD147" t="s" s="0">
        <v>81</v>
      </c>
      <c r="AE147" t="s" s="0">
        <v>81</v>
      </c>
      <c r="AF147" t="s" s="0">
        <v>81</v>
      </c>
      <c r="AG147" t="s" s="0">
        <v>3700</v>
      </c>
      <c r="AH147" t="s" s="0">
        <v>81</v>
      </c>
      <c r="AI147" t="s" s="0">
        <v>3701</v>
      </c>
      <c r="AJ147" t="s" s="0">
        <v>81</v>
      </c>
      <c r="AK147" t="s" s="0">
        <v>81</v>
      </c>
      <c r="AL147" t="s" s="0">
        <v>361</v>
      </c>
      <c r="AM147" t="s" s="0">
        <v>301</v>
      </c>
      <c r="AN147" t="s" s="0">
        <v>301</v>
      </c>
      <c r="AO147" t="s" s="0">
        <v>182</v>
      </c>
      <c r="AP147" t="s" s="0">
        <v>1085</v>
      </c>
      <c r="AQ147" t="s" s="0">
        <v>421</v>
      </c>
      <c r="AR147" t="s" s="0">
        <v>422</v>
      </c>
      <c r="AS147" t="s" s="0">
        <v>423</v>
      </c>
      <c r="AT147" t="s" s="0">
        <v>3702</v>
      </c>
      <c r="AU147" t="s" s="0">
        <v>81</v>
      </c>
      <c r="AV147" t="s" s="0">
        <v>81</v>
      </c>
      <c r="AW147" t="s" s="0">
        <v>3703</v>
      </c>
      <c r="AX147" t="s" s="0">
        <v>3704</v>
      </c>
      <c r="AY147" t="s" s="0">
        <v>3705</v>
      </c>
      <c r="AZ147" t="s" s="0">
        <v>111</v>
      </c>
      <c r="BA147" t="s" s="0">
        <v>405</v>
      </c>
      <c r="BB147" t="s" s="0">
        <v>81</v>
      </c>
      <c r="BC147" t="s" s="0">
        <v>81</v>
      </c>
      <c r="BD147" t="s" s="0">
        <v>81</v>
      </c>
      <c r="BE147" t="s" s="0">
        <v>81</v>
      </c>
      <c r="BF147" t="s" s="0">
        <v>81</v>
      </c>
      <c r="BG147" t="s" s="0">
        <v>81</v>
      </c>
      <c r="BH147" t="s" s="0">
        <v>81</v>
      </c>
      <c r="BI147" t="s" s="0">
        <v>3706</v>
      </c>
      <c r="BJ147" t="s" s="0">
        <v>3707</v>
      </c>
      <c r="BK147" t="s" s="290">
        <f>HYPERLINK("http://dx.doi.org/10.3389/fonc.2025.1622426","http://dx.doi.org/10.3389/fonc.2025.1622426")</f>
        <v>3708</v>
      </c>
      <c r="BL147" t="s" s="0">
        <v>81</v>
      </c>
      <c r="BM147" t="s" s="0">
        <v>81</v>
      </c>
      <c r="BN147" t="s" s="0">
        <v>652</v>
      </c>
      <c r="BO147" t="s" s="0">
        <v>1047</v>
      </c>
      <c r="BP147" t="s" s="0">
        <v>1047</v>
      </c>
      <c r="BQ147" t="s" s="0">
        <v>3709</v>
      </c>
      <c r="BR147" t="s" s="0">
        <v>3710</v>
      </c>
      <c r="BS147" t="s" s="0">
        <v>3711</v>
      </c>
      <c r="BT147" t="s" s="291">
        <f>HYPERLINK("https://www.webofscience.com/wos/woscc/full-record/WOS:001540907700001","View Record in Web of Science")</f>
        <v>123</v>
      </c>
      <c r="BU147" t="s" s="0">
        <v>191</v>
      </c>
      <c r="BV147" t="s" s="0">
        <v>81</v>
      </c>
      <c r="BW147" t="s" s="0">
        <v>81</v>
      </c>
      <c r="BX147" t="s" s="0">
        <v>124</v>
      </c>
    </row>
    <row r="148">
      <c r="A148" t="s" s="0">
        <v>77</v>
      </c>
      <c r="B148" t="s" s="0">
        <v>77</v>
      </c>
      <c r="C148" t="s" s="0">
        <v>77</v>
      </c>
      <c r="D148" t="s" s="0">
        <v>77</v>
      </c>
      <c r="E148" t="s" s="0">
        <v>3712</v>
      </c>
      <c r="F148" t="s" s="0">
        <v>3713</v>
      </c>
      <c r="G148" t="s" s="0">
        <v>3714</v>
      </c>
      <c r="H148" t="s" s="0">
        <v>81</v>
      </c>
      <c r="I148" t="s" s="0">
        <v>82</v>
      </c>
      <c r="J148" t="s" s="0">
        <v>3715</v>
      </c>
      <c r="K148" t="s" s="0">
        <v>3716</v>
      </c>
      <c r="L148" t="s" s="0">
        <v>3717</v>
      </c>
      <c r="M148" t="s" s="0">
        <v>3718</v>
      </c>
      <c r="N148" t="s" s="0">
        <v>3719</v>
      </c>
      <c r="O148" t="s" s="0">
        <v>3720</v>
      </c>
      <c r="P148" t="s" s="0">
        <v>3721</v>
      </c>
      <c r="Q148" t="s" s="0">
        <v>90</v>
      </c>
      <c r="R148" t="s" s="0">
        <v>81</v>
      </c>
      <c r="S148" t="s" s="0">
        <v>81</v>
      </c>
      <c r="T148" t="s" s="0">
        <v>81</v>
      </c>
      <c r="U148" t="s" s="0">
        <v>81</v>
      </c>
      <c r="V148" t="s" s="0">
        <v>3722</v>
      </c>
      <c r="W148" t="s" s="0">
        <v>2082</v>
      </c>
      <c r="X148" t="s" s="0">
        <v>81</v>
      </c>
      <c r="Y148" t="s" s="0">
        <v>81</v>
      </c>
      <c r="Z148" t="s" s="0">
        <v>93</v>
      </c>
      <c r="AA148" t="s" s="0">
        <v>94</v>
      </c>
      <c r="AB148" t="s" s="0">
        <v>81</v>
      </c>
      <c r="AC148" t="s" s="0">
        <v>81</v>
      </c>
      <c r="AD148" t="s" s="0">
        <v>81</v>
      </c>
      <c r="AE148" t="s" s="0">
        <v>81</v>
      </c>
      <c r="AF148" t="s" s="0">
        <v>81</v>
      </c>
      <c r="AG148" t="s" s="0">
        <v>3723</v>
      </c>
      <c r="AH148" t="s" s="0">
        <v>81</v>
      </c>
      <c r="AI148" t="s" s="0">
        <v>3724</v>
      </c>
      <c r="AJ148" t="s" s="0">
        <v>3725</v>
      </c>
      <c r="AK148" t="s" s="0">
        <v>81</v>
      </c>
      <c r="AL148" t="s" s="0">
        <v>851</v>
      </c>
      <c r="AM148" t="s" s="0">
        <v>137</v>
      </c>
      <c r="AN148" t="s" s="0">
        <v>137</v>
      </c>
      <c r="AO148" t="s" s="0">
        <v>77</v>
      </c>
      <c r="AP148" t="s" s="0">
        <v>100</v>
      </c>
      <c r="AQ148" t="s" s="0">
        <v>588</v>
      </c>
      <c r="AR148" t="s" s="0">
        <v>589</v>
      </c>
      <c r="AS148" t="s" s="0">
        <v>590</v>
      </c>
      <c r="AT148" t="s" s="0">
        <v>2087</v>
      </c>
      <c r="AU148" t="s" s="0">
        <v>81</v>
      </c>
      <c r="AV148" t="s" s="0">
        <v>81</v>
      </c>
      <c r="AW148" t="s" s="0">
        <v>2082</v>
      </c>
      <c r="AX148" t="s" s="0">
        <v>2088</v>
      </c>
      <c r="AY148" t="s" s="0">
        <v>111</v>
      </c>
      <c r="AZ148" t="s" s="0">
        <v>111</v>
      </c>
      <c r="BA148" t="s" s="0">
        <v>117</v>
      </c>
      <c r="BB148" t="s" s="0">
        <v>81</v>
      </c>
      <c r="BC148" t="s" s="0">
        <v>81</v>
      </c>
      <c r="BD148" t="s" s="0">
        <v>81</v>
      </c>
      <c r="BE148" t="s" s="0">
        <v>81</v>
      </c>
      <c r="BF148" t="s" s="0">
        <v>81</v>
      </c>
      <c r="BG148" t="s" s="0">
        <v>3726</v>
      </c>
      <c r="BH148" t="s" s="0">
        <v>3727</v>
      </c>
      <c r="BI148" t="s" s="0">
        <v>81</v>
      </c>
      <c r="BJ148" t="s" s="0">
        <v>3728</v>
      </c>
      <c r="BK148" t="s" s="292">
        <f>HYPERLINK("http://dx.doi.org/10.1109/ACCESS.2025.3571440","http://dx.doi.org/10.1109/ACCESS.2025.3571440")</f>
        <v>3729</v>
      </c>
      <c r="BL148" t="s" s="0">
        <v>81</v>
      </c>
      <c r="BM148" t="s" s="0">
        <v>81</v>
      </c>
      <c r="BN148" t="s" s="0">
        <v>399</v>
      </c>
      <c r="BO148" t="s" s="0">
        <v>712</v>
      </c>
      <c r="BP148" t="s" s="0">
        <v>713</v>
      </c>
      <c r="BQ148" t="s" s="0">
        <v>3730</v>
      </c>
      <c r="BR148" t="s" s="0">
        <v>81</v>
      </c>
      <c r="BS148" t="s" s="0">
        <v>3731</v>
      </c>
      <c r="BT148" t="s" s="293">
        <f>HYPERLINK("https://www.webofscience.com/wos/woscc/full-record/WOS:001494088800009","View Record in Web of Science")</f>
        <v>123</v>
      </c>
      <c r="BU148" t="s" s="0">
        <v>191</v>
      </c>
      <c r="BV148" t="s" s="0">
        <v>81</v>
      </c>
      <c r="BW148" t="s" s="0">
        <v>81</v>
      </c>
      <c r="BX148" t="s" s="0">
        <v>124</v>
      </c>
    </row>
    <row r="149">
      <c r="A149" t="s" s="0">
        <v>77</v>
      </c>
      <c r="B149" t="s" s="0">
        <v>77</v>
      </c>
      <c r="C149" t="s" s="0">
        <v>77</v>
      </c>
      <c r="D149" t="s" s="0">
        <v>77</v>
      </c>
      <c r="E149" t="s" s="0">
        <v>3732</v>
      </c>
      <c r="F149" t="s" s="0">
        <v>3733</v>
      </c>
      <c r="G149" t="s" s="0">
        <v>3734</v>
      </c>
      <c r="H149" t="s" s="0">
        <v>81</v>
      </c>
      <c r="I149" t="s" s="0">
        <v>195</v>
      </c>
      <c r="J149" t="s" s="0">
        <v>3735</v>
      </c>
      <c r="K149" t="s" s="0">
        <v>3736</v>
      </c>
      <c r="L149" t="s" s="0">
        <v>3737</v>
      </c>
      <c r="M149" t="s" s="0">
        <v>3738</v>
      </c>
      <c r="N149" t="s" s="0">
        <v>3739</v>
      </c>
      <c r="O149" t="s" s="0">
        <v>3740</v>
      </c>
      <c r="P149" t="s" s="0">
        <v>3741</v>
      </c>
      <c r="Q149" t="s" s="0">
        <v>90</v>
      </c>
      <c r="R149" t="s" s="0">
        <v>81</v>
      </c>
      <c r="S149" t="s" s="0">
        <v>81</v>
      </c>
      <c r="T149" t="s" s="0">
        <v>81</v>
      </c>
      <c r="U149" t="s" s="0">
        <v>81</v>
      </c>
      <c r="V149" t="s" s="0">
        <v>3742</v>
      </c>
      <c r="W149" t="s" s="0">
        <v>3743</v>
      </c>
      <c r="X149" t="s" s="0">
        <v>81</v>
      </c>
      <c r="Y149" t="s" s="0">
        <v>81</v>
      </c>
      <c r="Z149" t="s" s="0">
        <v>93</v>
      </c>
      <c r="AA149" t="s" s="0">
        <v>94</v>
      </c>
      <c r="AB149" t="s" s="0">
        <v>81</v>
      </c>
      <c r="AC149" t="s" s="0">
        <v>81</v>
      </c>
      <c r="AD149" t="s" s="0">
        <v>81</v>
      </c>
      <c r="AE149" t="s" s="0">
        <v>81</v>
      </c>
      <c r="AF149" t="s" s="0">
        <v>81</v>
      </c>
      <c r="AG149" t="s" s="0">
        <v>3744</v>
      </c>
      <c r="AH149" t="s" s="0">
        <v>1163</v>
      </c>
      <c r="AI149" t="s" s="0">
        <v>3745</v>
      </c>
      <c r="AJ149" t="s" s="0">
        <v>3746</v>
      </c>
      <c r="AK149" t="s" s="0">
        <v>81</v>
      </c>
      <c r="AL149" t="s" s="0">
        <v>960</v>
      </c>
      <c r="AM149" t="s" s="0">
        <v>137</v>
      </c>
      <c r="AN149" t="s" s="0">
        <v>137</v>
      </c>
      <c r="AO149" t="s" s="0">
        <v>333</v>
      </c>
      <c r="AP149" t="s" s="0">
        <v>117</v>
      </c>
      <c r="AQ149" t="s" s="0">
        <v>1569</v>
      </c>
      <c r="AR149" t="s" s="0">
        <v>1570</v>
      </c>
      <c r="AS149" t="s" s="0">
        <v>1571</v>
      </c>
      <c r="AT149" t="s" s="0">
        <v>3747</v>
      </c>
      <c r="AU149" t="s" s="0">
        <v>81</v>
      </c>
      <c r="AV149" t="s" s="0">
        <v>81</v>
      </c>
      <c r="AW149" t="s" s="0">
        <v>3748</v>
      </c>
      <c r="AX149" t="s" s="0">
        <v>3749</v>
      </c>
      <c r="AY149" t="s" s="0">
        <v>3750</v>
      </c>
      <c r="AZ149" t="s" s="0">
        <v>111</v>
      </c>
      <c r="BA149" t="s" s="0">
        <v>183</v>
      </c>
      <c r="BB149" t="s" s="0">
        <v>301</v>
      </c>
      <c r="BC149" t="s" s="0">
        <v>81</v>
      </c>
      <c r="BD149" t="s" s="0">
        <v>81</v>
      </c>
      <c r="BE149" t="s" s="0">
        <v>81</v>
      </c>
      <c r="BF149" t="s" s="0">
        <v>81</v>
      </c>
      <c r="BG149" t="s" s="0">
        <v>81</v>
      </c>
      <c r="BH149" t="s" s="0">
        <v>81</v>
      </c>
      <c r="BI149" t="s" s="0">
        <v>3751</v>
      </c>
      <c r="BJ149" t="s" s="0">
        <v>3752</v>
      </c>
      <c r="BK149" t="s" s="294">
        <f>HYPERLINK("http://dx.doi.org/10.1088/2631-8695/ae1278","http://dx.doi.org/10.1088/2631-8695/ae1278")</f>
        <v>3753</v>
      </c>
      <c r="BL149" t="s" s="0">
        <v>81</v>
      </c>
      <c r="BM149" t="s" s="0">
        <v>81</v>
      </c>
      <c r="BN149" t="s" s="0">
        <v>595</v>
      </c>
      <c r="BO149" t="s" s="0">
        <v>218</v>
      </c>
      <c r="BP149" t="s" s="0">
        <v>219</v>
      </c>
      <c r="BQ149" t="s" s="0">
        <v>3754</v>
      </c>
      <c r="BR149" t="s" s="0">
        <v>81</v>
      </c>
      <c r="BS149" t="s" s="0">
        <v>3755</v>
      </c>
      <c r="BT149" t="s" s="295">
        <f>HYPERLINK("https://www.webofscience.com/wos/woscc/full-record/WOS:001599546600001","View Record in Web of Science")</f>
        <v>123</v>
      </c>
      <c r="BU149" t="s" s="0">
        <v>81</v>
      </c>
      <c r="BV149" t="s" s="0">
        <v>81</v>
      </c>
      <c r="BW149" t="s" s="0">
        <v>81</v>
      </c>
      <c r="BX149" t="s" s="0">
        <v>124</v>
      </c>
    </row>
    <row r="150">
      <c r="A150" t="s" s="0">
        <v>77</v>
      </c>
      <c r="B150" t="s" s="0">
        <v>77</v>
      </c>
      <c r="C150" t="s" s="0">
        <v>77</v>
      </c>
      <c r="D150" t="s" s="0">
        <v>77</v>
      </c>
      <c r="E150" t="s" s="0">
        <v>3756</v>
      </c>
      <c r="F150" t="s" s="0">
        <v>3757</v>
      </c>
      <c r="G150" t="s" s="0">
        <v>3758</v>
      </c>
      <c r="H150" t="s" s="0">
        <v>81</v>
      </c>
      <c r="I150" t="s" s="0">
        <v>82</v>
      </c>
      <c r="J150" t="s" s="0">
        <v>3759</v>
      </c>
      <c r="K150" t="s" s="0">
        <v>3760</v>
      </c>
      <c r="L150" t="s" s="0">
        <v>3761</v>
      </c>
      <c r="M150" t="s" s="0">
        <v>3762</v>
      </c>
      <c r="N150" t="s" s="0">
        <v>3763</v>
      </c>
      <c r="O150" t="s" s="0">
        <v>3764</v>
      </c>
      <c r="P150" t="s" s="0">
        <v>3765</v>
      </c>
      <c r="Q150" t="s" s="0">
        <v>90</v>
      </c>
      <c r="R150" t="s" s="0">
        <v>81</v>
      </c>
      <c r="S150" t="s" s="0">
        <v>81</v>
      </c>
      <c r="T150" t="s" s="0">
        <v>81</v>
      </c>
      <c r="U150" t="s" s="0">
        <v>81</v>
      </c>
      <c r="V150" t="s" s="0">
        <v>3766</v>
      </c>
      <c r="W150" t="s" s="0">
        <v>3767</v>
      </c>
      <c r="X150" t="s" s="0">
        <v>81</v>
      </c>
      <c r="Y150" t="s" s="0">
        <v>81</v>
      </c>
      <c r="Z150" t="s" s="0">
        <v>93</v>
      </c>
      <c r="AA150" t="s" s="0">
        <v>94</v>
      </c>
      <c r="AB150" t="s" s="0">
        <v>81</v>
      </c>
      <c r="AC150" t="s" s="0">
        <v>81</v>
      </c>
      <c r="AD150" t="s" s="0">
        <v>81</v>
      </c>
      <c r="AE150" t="s" s="0">
        <v>81</v>
      </c>
      <c r="AF150" t="s" s="0">
        <v>81</v>
      </c>
      <c r="AG150" t="s" s="0">
        <v>3768</v>
      </c>
      <c r="AH150" t="s" s="0">
        <v>3769</v>
      </c>
      <c r="AI150" t="s" s="0">
        <v>81</v>
      </c>
      <c r="AJ150" t="s" s="0">
        <v>81</v>
      </c>
      <c r="AK150" t="s" s="0">
        <v>81</v>
      </c>
      <c r="AL150" t="s" s="0">
        <v>275</v>
      </c>
      <c r="AM150" t="s" s="0">
        <v>137</v>
      </c>
      <c r="AN150" t="s" s="0">
        <v>137</v>
      </c>
      <c r="AO150" t="s" s="0">
        <v>183</v>
      </c>
      <c r="AP150" t="s" s="0">
        <v>183</v>
      </c>
      <c r="AQ150" t="s" s="0">
        <v>268</v>
      </c>
      <c r="AR150" t="s" s="0">
        <v>269</v>
      </c>
      <c r="AS150" t="s" s="0">
        <v>270</v>
      </c>
      <c r="AT150" t="s" s="0">
        <v>81</v>
      </c>
      <c r="AU150" t="s" s="0">
        <v>3770</v>
      </c>
      <c r="AV150" t="s" s="0">
        <v>81</v>
      </c>
      <c r="AW150" t="s" s="0">
        <v>3771</v>
      </c>
      <c r="AX150" t="s" s="0">
        <v>3772</v>
      </c>
      <c r="AY150" t="s" s="0">
        <v>274</v>
      </c>
      <c r="AZ150" t="s" s="0">
        <v>212</v>
      </c>
      <c r="BA150" t="s" s="0">
        <v>1443</v>
      </c>
      <c r="BB150" t="s" s="0">
        <v>137</v>
      </c>
      <c r="BC150" t="s" s="0">
        <v>81</v>
      </c>
      <c r="BD150" t="s" s="0">
        <v>81</v>
      </c>
      <c r="BE150" t="s" s="0">
        <v>81</v>
      </c>
      <c r="BF150" t="s" s="0">
        <v>81</v>
      </c>
      <c r="BG150" t="s" s="0">
        <v>81</v>
      </c>
      <c r="BH150" t="s" s="0">
        <v>81</v>
      </c>
      <c r="BI150" t="s" s="0">
        <v>3773</v>
      </c>
      <c r="BJ150" t="s" s="0">
        <v>3774</v>
      </c>
      <c r="BK150" t="s" s="296">
        <f>HYPERLINK("http://dx.doi.org/10.1186/s12874-026-02845-w","http://dx.doi.org/10.1186/s12874-026-02845-w")</f>
        <v>3775</v>
      </c>
      <c r="BL150" t="s" s="0">
        <v>81</v>
      </c>
      <c r="BM150" t="s" s="0">
        <v>279</v>
      </c>
      <c r="BN150" t="s" s="0">
        <v>182</v>
      </c>
      <c r="BO150" t="s" s="0">
        <v>3776</v>
      </c>
      <c r="BP150" t="s" s="0">
        <v>3776</v>
      </c>
      <c r="BQ150" t="s" s="0">
        <v>3777</v>
      </c>
      <c r="BR150" t="s" s="0">
        <v>3778</v>
      </c>
      <c r="BS150" t="s" s="0">
        <v>3779</v>
      </c>
      <c r="BT150" t="s" s="297">
        <f>HYPERLINK("https://www.webofscience.com/wos/woscc/full-record/WOS:001764747700001","View Record in Web of Science")</f>
        <v>123</v>
      </c>
      <c r="BU150" t="s" s="0">
        <v>191</v>
      </c>
      <c r="BV150" t="s" s="0">
        <v>81</v>
      </c>
      <c r="BW150" t="s" s="0">
        <v>81</v>
      </c>
      <c r="BX150" t="s" s="0">
        <v>124</v>
      </c>
    </row>
    <row r="151">
      <c r="A151" t="s" s="0">
        <v>77</v>
      </c>
      <c r="B151" t="s" s="0">
        <v>77</v>
      </c>
      <c r="C151" t="s" s="0">
        <v>77</v>
      </c>
      <c r="D151" t="s" s="0">
        <v>77</v>
      </c>
      <c r="E151" t="s" s="0">
        <v>3780</v>
      </c>
      <c r="F151" t="s" s="0">
        <v>3781</v>
      </c>
      <c r="G151" t="s" s="0">
        <v>3782</v>
      </c>
      <c r="H151" t="s" s="0">
        <v>81</v>
      </c>
      <c r="I151" t="s" s="0">
        <v>195</v>
      </c>
      <c r="J151" t="s" s="0">
        <v>3783</v>
      </c>
      <c r="K151" t="s" s="0">
        <v>81</v>
      </c>
      <c r="L151" t="s" s="0">
        <v>81</v>
      </c>
      <c r="M151" t="s" s="0">
        <v>81</v>
      </c>
      <c r="N151" t="s" s="0">
        <v>81</v>
      </c>
      <c r="O151" t="s" s="0">
        <v>3784</v>
      </c>
      <c r="P151" t="s" s="0">
        <v>81</v>
      </c>
      <c r="Q151" t="s" s="0">
        <v>90</v>
      </c>
      <c r="R151" t="s" s="0">
        <v>81</v>
      </c>
      <c r="S151" t="s" s="0">
        <v>81</v>
      </c>
      <c r="T151" t="s" s="0">
        <v>81</v>
      </c>
      <c r="U151" t="s" s="0">
        <v>81</v>
      </c>
      <c r="V151" t="s" s="0">
        <v>3785</v>
      </c>
      <c r="W151" t="s" s="0">
        <v>3272</v>
      </c>
      <c r="X151" t="s" s="0">
        <v>81</v>
      </c>
      <c r="Y151" t="s" s="0">
        <v>81</v>
      </c>
      <c r="Z151" t="s" s="0">
        <v>93</v>
      </c>
      <c r="AA151" t="s" s="0">
        <v>94</v>
      </c>
      <c r="AB151" t="s" s="0">
        <v>81</v>
      </c>
      <c r="AC151" t="s" s="0">
        <v>81</v>
      </c>
      <c r="AD151" t="s" s="0">
        <v>81</v>
      </c>
      <c r="AE151" t="s" s="0">
        <v>81</v>
      </c>
      <c r="AF151" t="s" s="0">
        <v>81</v>
      </c>
      <c r="AG151" t="s" s="0">
        <v>3786</v>
      </c>
      <c r="AH151" t="s" s="0">
        <v>81</v>
      </c>
      <c r="AI151" t="s" s="0">
        <v>81</v>
      </c>
      <c r="AJ151" t="s" s="0">
        <v>3787</v>
      </c>
      <c r="AK151" t="s" s="0">
        <v>81</v>
      </c>
      <c r="AL151" t="s" s="0">
        <v>267</v>
      </c>
      <c r="AM151" t="s" s="0">
        <v>77</v>
      </c>
      <c r="AN151" t="s" s="0">
        <v>77</v>
      </c>
      <c r="AO151" t="s" s="0">
        <v>77</v>
      </c>
      <c r="AP151" t="s" s="0">
        <v>77</v>
      </c>
      <c r="AQ151" t="s" s="0">
        <v>3277</v>
      </c>
      <c r="AR151" t="s" s="0">
        <v>3788</v>
      </c>
      <c r="AS151" t="s" s="0">
        <v>3789</v>
      </c>
      <c r="AT151" t="s" s="0">
        <v>3280</v>
      </c>
      <c r="AU151" t="s" s="0">
        <v>3281</v>
      </c>
      <c r="AV151" t="s" s="0">
        <v>81</v>
      </c>
      <c r="AW151" t="s" s="0">
        <v>3282</v>
      </c>
      <c r="AX151" t="s" s="0">
        <v>3283</v>
      </c>
      <c r="AY151" t="s" s="0">
        <v>111</v>
      </c>
      <c r="AZ151" t="s" s="0">
        <v>111</v>
      </c>
      <c r="BA151" t="s" s="0">
        <v>1110</v>
      </c>
      <c r="BB151" t="s" s="0">
        <v>172</v>
      </c>
      <c r="BC151" t="s" s="0">
        <v>81</v>
      </c>
      <c r="BD151" t="s" s="0">
        <v>81</v>
      </c>
      <c r="BE151" t="s" s="0">
        <v>81</v>
      </c>
      <c r="BF151" t="s" s="0">
        <v>81</v>
      </c>
      <c r="BG151" t="s" s="0">
        <v>3790</v>
      </c>
      <c r="BH151" t="s" s="0">
        <v>3791</v>
      </c>
      <c r="BI151" t="s" s="0">
        <v>81</v>
      </c>
      <c r="BJ151" t="s" s="0">
        <v>81</v>
      </c>
      <c r="BK151" t="s" s="0">
        <v>81</v>
      </c>
      <c r="BL151" t="s" s="0">
        <v>81</v>
      </c>
      <c r="BM151" t="s" s="0">
        <v>81</v>
      </c>
      <c r="BN151" t="s" s="0">
        <v>138</v>
      </c>
      <c r="BO151" t="s" s="0">
        <v>3286</v>
      </c>
      <c r="BP151" t="s" s="0">
        <v>250</v>
      </c>
      <c r="BQ151" t="s" s="0">
        <v>3792</v>
      </c>
      <c r="BR151" t="s" s="0">
        <v>81</v>
      </c>
      <c r="BS151" t="s" s="0">
        <v>3793</v>
      </c>
      <c r="BT151" t="s" s="298">
        <f>HYPERLINK("https://www.webofscience.com/wos/woscc/full-record/WOS:001638671300001","View Record in Web of Science")</f>
        <v>123</v>
      </c>
      <c r="BU151" t="s" s="0">
        <v>81</v>
      </c>
      <c r="BV151" t="s" s="0">
        <v>81</v>
      </c>
      <c r="BW151" t="s" s="0">
        <v>81</v>
      </c>
      <c r="BX151" t="s" s="0">
        <v>124</v>
      </c>
    </row>
    <row r="152">
      <c r="A152" t="s" s="0">
        <v>77</v>
      </c>
      <c r="B152" t="s" s="0">
        <v>77</v>
      </c>
      <c r="C152" t="s" s="0">
        <v>77</v>
      </c>
      <c r="D152" t="s" s="0">
        <v>77</v>
      </c>
      <c r="E152" t="s" s="0">
        <v>3794</v>
      </c>
      <c r="F152" t="s" s="0">
        <v>3795</v>
      </c>
      <c r="G152" t="s" s="0">
        <v>3796</v>
      </c>
      <c r="H152" t="s" s="0">
        <v>81</v>
      </c>
      <c r="I152" t="s" s="0">
        <v>82</v>
      </c>
      <c r="J152" t="s" s="0">
        <v>3797</v>
      </c>
      <c r="K152" t="s" s="0">
        <v>3798</v>
      </c>
      <c r="L152" t="s" s="0">
        <v>3799</v>
      </c>
      <c r="M152" t="s" s="0">
        <v>3800</v>
      </c>
      <c r="N152" t="s" s="0">
        <v>3801</v>
      </c>
      <c r="O152" t="s" s="0">
        <v>3802</v>
      </c>
      <c r="P152" t="s" s="0">
        <v>3803</v>
      </c>
      <c r="Q152" t="s" s="0">
        <v>90</v>
      </c>
      <c r="R152" t="s" s="0">
        <v>81</v>
      </c>
      <c r="S152" t="s" s="0">
        <v>81</v>
      </c>
      <c r="T152" t="s" s="0">
        <v>81</v>
      </c>
      <c r="U152" t="s" s="0">
        <v>81</v>
      </c>
      <c r="V152" t="s" s="0">
        <v>3804</v>
      </c>
      <c r="W152" t="s" s="0">
        <v>1792</v>
      </c>
      <c r="X152" t="s" s="0">
        <v>81</v>
      </c>
      <c r="Y152" t="s" s="0">
        <v>81</v>
      </c>
      <c r="Z152" t="s" s="0">
        <v>93</v>
      </c>
      <c r="AA152" t="s" s="0">
        <v>94</v>
      </c>
      <c r="AB152" t="s" s="0">
        <v>81</v>
      </c>
      <c r="AC152" t="s" s="0">
        <v>81</v>
      </c>
      <c r="AD152" t="s" s="0">
        <v>81</v>
      </c>
      <c r="AE152" t="s" s="0">
        <v>81</v>
      </c>
      <c r="AF152" t="s" s="0">
        <v>81</v>
      </c>
      <c r="AG152" t="s" s="0">
        <v>3805</v>
      </c>
      <c r="AH152" t="s" s="0">
        <v>81</v>
      </c>
      <c r="AI152" t="s" s="0">
        <v>81</v>
      </c>
      <c r="AJ152" t="s" s="0">
        <v>81</v>
      </c>
      <c r="AK152" t="s" s="0">
        <v>81</v>
      </c>
      <c r="AL152" t="s" s="0">
        <v>886</v>
      </c>
      <c r="AM152" t="s" s="0">
        <v>77</v>
      </c>
      <c r="AN152" t="s" s="0">
        <v>77</v>
      </c>
      <c r="AO152" t="s" s="0">
        <v>213</v>
      </c>
      <c r="AP152" t="s" s="0">
        <v>213</v>
      </c>
      <c r="AQ152" t="s" s="0">
        <v>786</v>
      </c>
      <c r="AR152" t="s" s="0">
        <v>787</v>
      </c>
      <c r="AS152" t="s" s="0">
        <v>788</v>
      </c>
      <c r="AT152" t="s" s="0">
        <v>1796</v>
      </c>
      <c r="AU152" t="s" s="0">
        <v>1797</v>
      </c>
      <c r="AV152" t="s" s="0">
        <v>81</v>
      </c>
      <c r="AW152" t="s" s="0">
        <v>1798</v>
      </c>
      <c r="AX152" t="s" s="0">
        <v>1799</v>
      </c>
      <c r="AY152" t="s" s="0">
        <v>3806</v>
      </c>
      <c r="AZ152" t="s" s="0">
        <v>212</v>
      </c>
      <c r="BA152" t="s" s="0">
        <v>484</v>
      </c>
      <c r="BB152" t="s" s="0">
        <v>81</v>
      </c>
      <c r="BC152" t="s" s="0">
        <v>81</v>
      </c>
      <c r="BD152" t="s" s="0">
        <v>81</v>
      </c>
      <c r="BE152" t="s" s="0">
        <v>81</v>
      </c>
      <c r="BF152" t="s" s="0">
        <v>81</v>
      </c>
      <c r="BG152" t="s" s="0">
        <v>81</v>
      </c>
      <c r="BH152" t="s" s="0">
        <v>81</v>
      </c>
      <c r="BI152" t="s" s="0">
        <v>3807</v>
      </c>
      <c r="BJ152" t="s" s="0">
        <v>3808</v>
      </c>
      <c r="BK152" t="s" s="299">
        <f>HYPERLINK("http://dx.doi.org/10.1016/j.eswa.2026.132425","http://dx.doi.org/10.1016/j.eswa.2026.132425")</f>
        <v>3809</v>
      </c>
      <c r="BL152" t="s" s="0">
        <v>81</v>
      </c>
      <c r="BM152" t="s" s="0">
        <v>81</v>
      </c>
      <c r="BN152" t="s" s="0">
        <v>213</v>
      </c>
      <c r="BO152" t="s" s="0">
        <v>1805</v>
      </c>
      <c r="BP152" t="s" s="0">
        <v>1806</v>
      </c>
      <c r="BQ152" t="s" s="0">
        <v>3810</v>
      </c>
      <c r="BR152" t="s" s="0">
        <v>81</v>
      </c>
      <c r="BS152" t="s" s="0">
        <v>3811</v>
      </c>
      <c r="BT152" t="s" s="300">
        <f>HYPERLINK("https://www.webofscience.com/wos/woscc/full-record/WOS:001750825500001","View Record in Web of Science")</f>
        <v>123</v>
      </c>
      <c r="BU152" t="s" s="0">
        <v>81</v>
      </c>
      <c r="BV152" t="s" s="0">
        <v>81</v>
      </c>
      <c r="BW152" t="s" s="0">
        <v>81</v>
      </c>
      <c r="BX152" t="s" s="0">
        <v>124</v>
      </c>
    </row>
    <row r="153">
      <c r="A153" t="s" s="0">
        <v>77</v>
      </c>
      <c r="B153" t="s" s="0">
        <v>77</v>
      </c>
      <c r="C153" t="s" s="0">
        <v>137</v>
      </c>
      <c r="D153" t="s" s="0">
        <v>77</v>
      </c>
      <c r="E153" t="s" s="0">
        <v>3812</v>
      </c>
      <c r="F153" t="s" s="0">
        <v>3813</v>
      </c>
      <c r="G153" t="s" s="0">
        <v>3814</v>
      </c>
      <c r="H153" t="s" s="0">
        <v>81</v>
      </c>
      <c r="I153" t="s" s="0">
        <v>82</v>
      </c>
      <c r="J153" t="s" s="0">
        <v>3815</v>
      </c>
      <c r="K153" t="s" s="0">
        <v>3816</v>
      </c>
      <c r="L153" t="s" s="0">
        <v>3817</v>
      </c>
      <c r="M153" t="s" s="0">
        <v>3818</v>
      </c>
      <c r="N153" t="s" s="0">
        <v>3819</v>
      </c>
      <c r="O153" t="s" s="0">
        <v>3820</v>
      </c>
      <c r="P153" t="s" s="0">
        <v>3821</v>
      </c>
      <c r="Q153" t="s" s="0">
        <v>90</v>
      </c>
      <c r="R153" t="s" s="0">
        <v>81</v>
      </c>
      <c r="S153" t="s" s="0">
        <v>81</v>
      </c>
      <c r="T153" t="s" s="0">
        <v>81</v>
      </c>
      <c r="U153" t="s" s="0">
        <v>81</v>
      </c>
      <c r="V153" t="s" s="0">
        <v>3822</v>
      </c>
      <c r="W153" t="s" s="0">
        <v>3823</v>
      </c>
      <c r="X153" t="s" s="0">
        <v>81</v>
      </c>
      <c r="Y153" t="s" s="0">
        <v>81</v>
      </c>
      <c r="Z153" t="s" s="0">
        <v>93</v>
      </c>
      <c r="AA153" t="s" s="0">
        <v>94</v>
      </c>
      <c r="AB153" t="s" s="0">
        <v>81</v>
      </c>
      <c r="AC153" t="s" s="0">
        <v>81</v>
      </c>
      <c r="AD153" t="s" s="0">
        <v>81</v>
      </c>
      <c r="AE153" t="s" s="0">
        <v>81</v>
      </c>
      <c r="AF153" t="s" s="0">
        <v>81</v>
      </c>
      <c r="AG153" t="s" s="0">
        <v>3824</v>
      </c>
      <c r="AH153" t="s" s="0">
        <v>81</v>
      </c>
      <c r="AI153" t="s" s="0">
        <v>3825</v>
      </c>
      <c r="AJ153" t="s" s="0">
        <v>3826</v>
      </c>
      <c r="AK153" t="s" s="0">
        <v>81</v>
      </c>
      <c r="AL153" t="s" s="0">
        <v>1330</v>
      </c>
      <c r="AM153" t="s" s="0">
        <v>158</v>
      </c>
      <c r="AN153" t="s" s="0">
        <v>158</v>
      </c>
      <c r="AO153" t="s" s="0">
        <v>183</v>
      </c>
      <c r="AP153" t="s" s="0">
        <v>173</v>
      </c>
      <c r="AQ153" t="s" s="0">
        <v>786</v>
      </c>
      <c r="AR153" t="s" s="0">
        <v>787</v>
      </c>
      <c r="AS153" t="s" s="0">
        <v>788</v>
      </c>
      <c r="AT153" t="s" s="0">
        <v>3827</v>
      </c>
      <c r="AU153" t="s" s="0">
        <v>3828</v>
      </c>
      <c r="AV153" t="s" s="0">
        <v>81</v>
      </c>
      <c r="AW153" t="s" s="0">
        <v>3823</v>
      </c>
      <c r="AX153" t="s" s="0">
        <v>3829</v>
      </c>
      <c r="AY153" t="s" s="0">
        <v>343</v>
      </c>
      <c r="AZ153" t="s" s="0">
        <v>212</v>
      </c>
      <c r="BA153" t="s" s="0">
        <v>3830</v>
      </c>
      <c r="BB153" t="s" s="0">
        <v>81</v>
      </c>
      <c r="BC153" t="s" s="0">
        <v>81</v>
      </c>
      <c r="BD153" t="s" s="0">
        <v>81</v>
      </c>
      <c r="BE153" t="s" s="0">
        <v>81</v>
      </c>
      <c r="BF153" t="s" s="0">
        <v>81</v>
      </c>
      <c r="BG153" t="s" s="0">
        <v>81</v>
      </c>
      <c r="BH153" t="s" s="0">
        <v>81</v>
      </c>
      <c r="BI153" t="s" s="0">
        <v>3831</v>
      </c>
      <c r="BJ153" t="s" s="0">
        <v>3832</v>
      </c>
      <c r="BK153" t="s" s="301">
        <f>HYPERLINK("http://dx.doi.org/10.1016/j.neunet.2025.108257","http://dx.doi.org/10.1016/j.neunet.2025.108257")</f>
        <v>3833</v>
      </c>
      <c r="BL153" t="s" s="0">
        <v>81</v>
      </c>
      <c r="BM153" t="s" s="0">
        <v>1526</v>
      </c>
      <c r="BN153" t="s" s="0">
        <v>213</v>
      </c>
      <c r="BO153" t="s" s="0">
        <v>3834</v>
      </c>
      <c r="BP153" t="s" s="0">
        <v>3835</v>
      </c>
      <c r="BQ153" t="s" s="0">
        <v>3836</v>
      </c>
      <c r="BR153" t="s" s="0">
        <v>3837</v>
      </c>
      <c r="BS153" t="s" s="0">
        <v>3838</v>
      </c>
      <c r="BT153" t="s" s="302">
        <f>HYPERLINK("https://www.webofscience.com/wos/woscc/full-record/WOS:001613161500002","View Record in Web of Science")</f>
        <v>123</v>
      </c>
      <c r="BU153" t="s" s="0">
        <v>81</v>
      </c>
      <c r="BV153" t="s" s="0">
        <v>81</v>
      </c>
      <c r="BW153" t="s" s="0">
        <v>81</v>
      </c>
      <c r="BX153" t="s" s="0">
        <v>124</v>
      </c>
    </row>
    <row r="154">
      <c r="A154" t="s" s="0">
        <v>77</v>
      </c>
      <c r="B154" t="s" s="0">
        <v>77</v>
      </c>
      <c r="C154" t="s" s="0">
        <v>77</v>
      </c>
      <c r="D154" t="s" s="0">
        <v>77</v>
      </c>
      <c r="E154" t="s" s="0">
        <v>3839</v>
      </c>
      <c r="F154" t="s" s="0">
        <v>3840</v>
      </c>
      <c r="G154" t="s" s="0">
        <v>3841</v>
      </c>
      <c r="H154" t="s" s="0">
        <v>81</v>
      </c>
      <c r="I154" t="s" s="0">
        <v>82</v>
      </c>
      <c r="J154" t="s" s="0">
        <v>3842</v>
      </c>
      <c r="K154" t="s" s="0">
        <v>3843</v>
      </c>
      <c r="L154" t="s" s="0">
        <v>3844</v>
      </c>
      <c r="M154" t="s" s="0">
        <v>3845</v>
      </c>
      <c r="N154" t="s" s="0">
        <v>3846</v>
      </c>
      <c r="O154" t="s" s="0">
        <v>3847</v>
      </c>
      <c r="P154" t="s" s="0">
        <v>3848</v>
      </c>
      <c r="Q154" t="s" s="0">
        <v>90</v>
      </c>
      <c r="R154" t="s" s="0">
        <v>81</v>
      </c>
      <c r="S154" t="s" s="0">
        <v>81</v>
      </c>
      <c r="T154" t="s" s="0">
        <v>81</v>
      </c>
      <c r="U154" t="s" s="0">
        <v>81</v>
      </c>
      <c r="V154" t="s" s="0">
        <v>3849</v>
      </c>
      <c r="W154" t="s" s="0">
        <v>1254</v>
      </c>
      <c r="X154" t="s" s="0">
        <v>81</v>
      </c>
      <c r="Y154" t="s" s="0">
        <v>81</v>
      </c>
      <c r="Z154" t="s" s="0">
        <v>93</v>
      </c>
      <c r="AA154" t="s" s="0">
        <v>94</v>
      </c>
      <c r="AB154" t="s" s="0">
        <v>81</v>
      </c>
      <c r="AC154" t="s" s="0">
        <v>81</v>
      </c>
      <c r="AD154" t="s" s="0">
        <v>81</v>
      </c>
      <c r="AE154" t="s" s="0">
        <v>81</v>
      </c>
      <c r="AF154" t="s" s="0">
        <v>81</v>
      </c>
      <c r="AG154" t="s" s="0">
        <v>3850</v>
      </c>
      <c r="AH154" t="s" s="0">
        <v>3851</v>
      </c>
      <c r="AI154" t="s" s="0">
        <v>3852</v>
      </c>
      <c r="AJ154" t="s" s="0">
        <v>3853</v>
      </c>
      <c r="AK154" t="s" s="0">
        <v>81</v>
      </c>
      <c r="AL154" t="s" s="0">
        <v>1217</v>
      </c>
      <c r="AM154" t="s" s="0">
        <v>137</v>
      </c>
      <c r="AN154" t="s" s="0">
        <v>137</v>
      </c>
      <c r="AO154" t="s" s="0">
        <v>399</v>
      </c>
      <c r="AP154" t="s" s="0">
        <v>390</v>
      </c>
      <c r="AQ154" t="s" s="0">
        <v>620</v>
      </c>
      <c r="AR154" t="s" s="0">
        <v>621</v>
      </c>
      <c r="AS154" t="s" s="0">
        <v>622</v>
      </c>
      <c r="AT154" t="s" s="0">
        <v>1256</v>
      </c>
      <c r="AU154" t="s" s="0">
        <v>1257</v>
      </c>
      <c r="AV154" t="s" s="0">
        <v>81</v>
      </c>
      <c r="AW154" t="s" s="0">
        <v>1258</v>
      </c>
      <c r="AX154" t="s" s="0">
        <v>1259</v>
      </c>
      <c r="AY154" t="s" s="0">
        <v>1221</v>
      </c>
      <c r="AZ154" t="s" s="0">
        <v>212</v>
      </c>
      <c r="BA154" t="s" s="0">
        <v>3773</v>
      </c>
      <c r="BB154" t="s" s="0">
        <v>81</v>
      </c>
      <c r="BC154" t="s" s="0">
        <v>81</v>
      </c>
      <c r="BD154" t="s" s="0">
        <v>628</v>
      </c>
      <c r="BE154" t="s" s="0">
        <v>81</v>
      </c>
      <c r="BF154" t="s" s="0">
        <v>81</v>
      </c>
      <c r="BG154" t="s" s="0">
        <v>81</v>
      </c>
      <c r="BH154" t="s" s="0">
        <v>81</v>
      </c>
      <c r="BI154" t="s" s="0">
        <v>3854</v>
      </c>
      <c r="BJ154" t="s" s="0">
        <v>3855</v>
      </c>
      <c r="BK154" t="s" s="303">
        <f>HYPERLINK("http://dx.doi.org/10.1016/j.bspc.2025.108538","http://dx.doi.org/10.1016/j.bspc.2025.108538")</f>
        <v>3856</v>
      </c>
      <c r="BL154" t="s" s="0">
        <v>81</v>
      </c>
      <c r="BM154" t="s" s="0">
        <v>547</v>
      </c>
      <c r="BN154" t="s" s="0">
        <v>399</v>
      </c>
      <c r="BO154" t="s" s="0">
        <v>1265</v>
      </c>
      <c r="BP154" t="s" s="0">
        <v>219</v>
      </c>
      <c r="BQ154" t="s" s="0">
        <v>3857</v>
      </c>
      <c r="BR154" t="s" s="0">
        <v>81</v>
      </c>
      <c r="BS154" t="s" s="0">
        <v>3858</v>
      </c>
      <c r="BT154" t="s" s="304">
        <f>HYPERLINK("https://www.webofscience.com/wos/woscc/full-record/WOS:001562848800002","View Record in Web of Science")</f>
        <v>123</v>
      </c>
      <c r="BU154" t="s" s="0">
        <v>81</v>
      </c>
      <c r="BV154" t="s" s="0">
        <v>81</v>
      </c>
      <c r="BW154" t="s" s="0">
        <v>81</v>
      </c>
      <c r="BX154" t="s" s="0">
        <v>124</v>
      </c>
    </row>
    <row r="155">
      <c r="A155" t="s" s="0">
        <v>77</v>
      </c>
      <c r="B155" t="s" s="0">
        <v>77</v>
      </c>
      <c r="C155" t="s" s="0">
        <v>77</v>
      </c>
      <c r="D155" t="s" s="0">
        <v>77</v>
      </c>
      <c r="E155" t="s" s="0">
        <v>3859</v>
      </c>
      <c r="F155" t="s" s="0">
        <v>3860</v>
      </c>
      <c r="G155" t="s" s="0">
        <v>3861</v>
      </c>
      <c r="H155" t="s" s="0">
        <v>81</v>
      </c>
      <c r="I155" t="s" s="0">
        <v>82</v>
      </c>
      <c r="J155" t="s" s="0">
        <v>3862</v>
      </c>
      <c r="K155" t="s" s="0">
        <v>3863</v>
      </c>
      <c r="L155" t="s" s="0">
        <v>3864</v>
      </c>
      <c r="M155" t="s" s="0">
        <v>3865</v>
      </c>
      <c r="N155" t="s" s="0">
        <v>3866</v>
      </c>
      <c r="O155" t="s" s="0">
        <v>3867</v>
      </c>
      <c r="P155" t="s" s="0">
        <v>3868</v>
      </c>
      <c r="Q155" t="s" s="0">
        <v>90</v>
      </c>
      <c r="R155" t="s" s="0">
        <v>81</v>
      </c>
      <c r="S155" t="s" s="0">
        <v>81</v>
      </c>
      <c r="T155" t="s" s="0">
        <v>81</v>
      </c>
      <c r="U155" t="s" s="0">
        <v>81</v>
      </c>
      <c r="V155" t="s" s="0">
        <v>3869</v>
      </c>
      <c r="W155" t="s" s="0">
        <v>3870</v>
      </c>
      <c r="X155" t="s" s="0">
        <v>81</v>
      </c>
      <c r="Y155" t="s" s="0">
        <v>81</v>
      </c>
      <c r="Z155" t="s" s="0">
        <v>93</v>
      </c>
      <c r="AA155" t="s" s="0">
        <v>94</v>
      </c>
      <c r="AB155" t="s" s="0">
        <v>81</v>
      </c>
      <c r="AC155" t="s" s="0">
        <v>81</v>
      </c>
      <c r="AD155" t="s" s="0">
        <v>81</v>
      </c>
      <c r="AE155" t="s" s="0">
        <v>81</v>
      </c>
      <c r="AF155" t="s" s="0">
        <v>81</v>
      </c>
      <c r="AG155" t="s" s="0">
        <v>3871</v>
      </c>
      <c r="AH155" t="s" s="0">
        <v>81</v>
      </c>
      <c r="AI155" t="s" s="0">
        <v>81</v>
      </c>
      <c r="AJ155" t="s" s="0">
        <v>81</v>
      </c>
      <c r="AK155" t="s" s="0">
        <v>81</v>
      </c>
      <c r="AL155" t="s" s="0">
        <v>448</v>
      </c>
      <c r="AM155" t="s" s="0">
        <v>137</v>
      </c>
      <c r="AN155" t="s" s="0">
        <v>137</v>
      </c>
      <c r="AO155" t="s" s="0">
        <v>77</v>
      </c>
      <c r="AP155" t="s" s="0">
        <v>77</v>
      </c>
      <c r="AQ155" t="s" s="0">
        <v>3872</v>
      </c>
      <c r="AR155" t="s" s="0">
        <v>3873</v>
      </c>
      <c r="AS155" t="s" s="0">
        <v>3874</v>
      </c>
      <c r="AT155" t="s" s="0">
        <v>3875</v>
      </c>
      <c r="AU155" t="s" s="0">
        <v>3876</v>
      </c>
      <c r="AV155" t="s" s="0">
        <v>81</v>
      </c>
      <c r="AW155" t="s" s="0">
        <v>3877</v>
      </c>
      <c r="AX155" t="s" s="0">
        <v>3878</v>
      </c>
      <c r="AY155" t="s" s="0">
        <v>1174</v>
      </c>
      <c r="AZ155" t="s" s="0">
        <v>212</v>
      </c>
      <c r="BA155" t="s" s="0">
        <v>1443</v>
      </c>
      <c r="BB155" t="s" s="0">
        <v>3879</v>
      </c>
      <c r="BC155" t="s" s="0">
        <v>81</v>
      </c>
      <c r="BD155" t="s" s="0">
        <v>81</v>
      </c>
      <c r="BE155" t="s" s="0">
        <v>81</v>
      </c>
      <c r="BF155" t="s" s="0">
        <v>81</v>
      </c>
      <c r="BG155" t="s" s="0">
        <v>81</v>
      </c>
      <c r="BH155" t="s" s="0">
        <v>81</v>
      </c>
      <c r="BI155" t="s" s="0">
        <v>81</v>
      </c>
      <c r="BJ155" t="s" s="0">
        <v>3880</v>
      </c>
      <c r="BK155" t="s" s="305">
        <f>HYPERLINK("http://dx.doi.org/10.1142/S0219519426400373","http://dx.doi.org/10.1142/S0219519426400373")</f>
        <v>3881</v>
      </c>
      <c r="BL155" t="s" s="0">
        <v>81</v>
      </c>
      <c r="BM155" t="s" s="0">
        <v>343</v>
      </c>
      <c r="BN155" t="s" s="0">
        <v>217</v>
      </c>
      <c r="BO155" t="s" s="0">
        <v>3882</v>
      </c>
      <c r="BP155" t="s" s="0">
        <v>3883</v>
      </c>
      <c r="BQ155" t="s" s="0">
        <v>3884</v>
      </c>
      <c r="BR155" t="s" s="0">
        <v>81</v>
      </c>
      <c r="BS155" t="s" s="0">
        <v>3885</v>
      </c>
      <c r="BT155" t="s" s="306">
        <f>HYPERLINK("https://www.webofscience.com/wos/woscc/full-record/WOS:001721872700001","View Record in Web of Science")</f>
        <v>123</v>
      </c>
      <c r="BU155" t="s" s="0">
        <v>81</v>
      </c>
      <c r="BV155" t="s" s="0">
        <v>81</v>
      </c>
      <c r="BW155" t="s" s="0">
        <v>81</v>
      </c>
      <c r="BX155" t="s" s="0">
        <v>124</v>
      </c>
    </row>
    <row r="156">
      <c r="A156" t="s" s="0">
        <v>77</v>
      </c>
      <c r="B156" t="s" s="0">
        <v>77</v>
      </c>
      <c r="C156" t="s" s="0">
        <v>77</v>
      </c>
      <c r="D156" t="s" s="0">
        <v>77</v>
      </c>
      <c r="E156" t="s" s="0">
        <v>3886</v>
      </c>
      <c r="F156" t="s" s="0">
        <v>3887</v>
      </c>
      <c r="G156" t="s" s="0">
        <v>3888</v>
      </c>
      <c r="H156" t="s" s="0">
        <v>81</v>
      </c>
      <c r="I156" t="s" s="0">
        <v>82</v>
      </c>
      <c r="J156" t="s" s="0">
        <v>3889</v>
      </c>
      <c r="K156" t="s" s="0">
        <v>3890</v>
      </c>
      <c r="L156" t="s" s="0">
        <v>3891</v>
      </c>
      <c r="M156" t="s" s="0">
        <v>3892</v>
      </c>
      <c r="N156" t="s" s="0">
        <v>3893</v>
      </c>
      <c r="O156" t="s" s="0">
        <v>3894</v>
      </c>
      <c r="P156" t="s" s="0">
        <v>3895</v>
      </c>
      <c r="Q156" t="s" s="0">
        <v>90</v>
      </c>
      <c r="R156" t="s" s="0">
        <v>81</v>
      </c>
      <c r="S156" t="s" s="0">
        <v>81</v>
      </c>
      <c r="T156" t="s" s="0">
        <v>81</v>
      </c>
      <c r="U156" t="s" s="0">
        <v>81</v>
      </c>
      <c r="V156" t="s" s="0">
        <v>3896</v>
      </c>
      <c r="W156" t="s" s="0">
        <v>3897</v>
      </c>
      <c r="X156" t="s" s="0">
        <v>81</v>
      </c>
      <c r="Y156" t="s" s="0">
        <v>81</v>
      </c>
      <c r="Z156" t="s" s="0">
        <v>93</v>
      </c>
      <c r="AA156" t="s" s="0">
        <v>94</v>
      </c>
      <c r="AB156" t="s" s="0">
        <v>81</v>
      </c>
      <c r="AC156" t="s" s="0">
        <v>81</v>
      </c>
      <c r="AD156" t="s" s="0">
        <v>81</v>
      </c>
      <c r="AE156" t="s" s="0">
        <v>81</v>
      </c>
      <c r="AF156" t="s" s="0">
        <v>81</v>
      </c>
      <c r="AG156" t="s" s="0">
        <v>3898</v>
      </c>
      <c r="AH156" t="s" s="0">
        <v>3899</v>
      </c>
      <c r="AI156" t="s" s="0">
        <v>81</v>
      </c>
      <c r="AJ156" t="s" s="0">
        <v>81</v>
      </c>
      <c r="AK156" t="s" s="0">
        <v>81</v>
      </c>
      <c r="AL156" t="s" s="0">
        <v>1747</v>
      </c>
      <c r="AM156" t="s" s="0">
        <v>77</v>
      </c>
      <c r="AN156" t="s" s="0">
        <v>77</v>
      </c>
      <c r="AO156" t="s" s="0">
        <v>101</v>
      </c>
      <c r="AP156" t="s" s="0">
        <v>101</v>
      </c>
      <c r="AQ156" t="s" s="0">
        <v>449</v>
      </c>
      <c r="AR156" t="s" s="0">
        <v>450</v>
      </c>
      <c r="AS156" t="s" s="0">
        <v>451</v>
      </c>
      <c r="AT156" t="s" s="0">
        <v>3900</v>
      </c>
      <c r="AU156" t="s" s="0">
        <v>3901</v>
      </c>
      <c r="AV156" t="s" s="0">
        <v>81</v>
      </c>
      <c r="AW156" t="s" s="0">
        <v>3902</v>
      </c>
      <c r="AX156" t="s" s="0">
        <v>3903</v>
      </c>
      <c r="AY156" t="s" s="0">
        <v>279</v>
      </c>
      <c r="AZ156" t="s" s="0">
        <v>212</v>
      </c>
      <c r="BA156" t="s" s="0">
        <v>851</v>
      </c>
      <c r="BB156" t="s" s="0">
        <v>183</v>
      </c>
      <c r="BC156" t="s" s="0">
        <v>81</v>
      </c>
      <c r="BD156" t="s" s="0">
        <v>81</v>
      </c>
      <c r="BE156" t="s" s="0">
        <v>81</v>
      </c>
      <c r="BF156" t="s" s="0">
        <v>81</v>
      </c>
      <c r="BG156" t="s" s="0">
        <v>81</v>
      </c>
      <c r="BH156" t="s" s="0">
        <v>81</v>
      </c>
      <c r="BI156" t="s" s="0">
        <v>3904</v>
      </c>
      <c r="BJ156" t="s" s="0">
        <v>3905</v>
      </c>
      <c r="BK156" t="s" s="307">
        <f>HYPERLINK("http://dx.doi.org/10.1002/cpe.70657","http://dx.doi.org/10.1002/cpe.70657")</f>
        <v>3906</v>
      </c>
      <c r="BL156" t="s" s="0">
        <v>81</v>
      </c>
      <c r="BM156" t="s" s="0">
        <v>81</v>
      </c>
      <c r="BN156" t="s" s="0">
        <v>182</v>
      </c>
      <c r="BO156" t="s" s="0">
        <v>3907</v>
      </c>
      <c r="BP156" t="s" s="0">
        <v>250</v>
      </c>
      <c r="BQ156" t="s" s="0">
        <v>3908</v>
      </c>
      <c r="BR156" t="s" s="0">
        <v>81</v>
      </c>
      <c r="BS156" t="s" s="0">
        <v>3909</v>
      </c>
      <c r="BT156" t="s" s="308">
        <f>HYPERLINK("https://www.webofscience.com/wos/woscc/full-record/WOS:001738036900019","View Record in Web of Science")</f>
        <v>123</v>
      </c>
      <c r="BU156" t="s" s="0">
        <v>81</v>
      </c>
      <c r="BV156" t="s" s="0">
        <v>81</v>
      </c>
      <c r="BW156" t="s" s="0">
        <v>81</v>
      </c>
      <c r="BX156" t="s" s="0">
        <v>124</v>
      </c>
    </row>
    <row r="157">
      <c r="A157" t="s" s="0">
        <v>77</v>
      </c>
      <c r="B157" t="s" s="0">
        <v>77</v>
      </c>
      <c r="C157" t="s" s="0">
        <v>77</v>
      </c>
      <c r="D157" t="s" s="0">
        <v>77</v>
      </c>
      <c r="E157" t="s" s="0">
        <v>3910</v>
      </c>
      <c r="F157" t="s" s="0">
        <v>3911</v>
      </c>
      <c r="G157" t="s" s="0">
        <v>3912</v>
      </c>
      <c r="H157" t="s" s="0">
        <v>81</v>
      </c>
      <c r="I157" t="s" s="0">
        <v>82</v>
      </c>
      <c r="J157" t="s" s="0">
        <v>3913</v>
      </c>
      <c r="K157" t="s" s="0">
        <v>3914</v>
      </c>
      <c r="L157" t="s" s="0">
        <v>3915</v>
      </c>
      <c r="M157" t="s" s="0">
        <v>199</v>
      </c>
      <c r="N157" t="s" s="0">
        <v>3916</v>
      </c>
      <c r="O157" t="s" s="0">
        <v>3917</v>
      </c>
      <c r="P157" t="s" s="0">
        <v>3918</v>
      </c>
      <c r="Q157" t="s" s="0">
        <v>90</v>
      </c>
      <c r="R157" t="s" s="0">
        <v>81</v>
      </c>
      <c r="S157" t="s" s="0">
        <v>81</v>
      </c>
      <c r="T157" t="s" s="0">
        <v>81</v>
      </c>
      <c r="U157" t="s" s="0">
        <v>81</v>
      </c>
      <c r="V157" t="s" s="0">
        <v>3919</v>
      </c>
      <c r="W157" t="s" s="0">
        <v>3920</v>
      </c>
      <c r="X157" t="s" s="0">
        <v>81</v>
      </c>
      <c r="Y157" t="s" s="0">
        <v>81</v>
      </c>
      <c r="Z157" t="s" s="0">
        <v>93</v>
      </c>
      <c r="AA157" t="s" s="0">
        <v>94</v>
      </c>
      <c r="AB157" t="s" s="0">
        <v>81</v>
      </c>
      <c r="AC157" t="s" s="0">
        <v>81</v>
      </c>
      <c r="AD157" t="s" s="0">
        <v>81</v>
      </c>
      <c r="AE157" t="s" s="0">
        <v>81</v>
      </c>
      <c r="AF157" t="s" s="0">
        <v>81</v>
      </c>
      <c r="AG157" t="s" s="0">
        <v>3921</v>
      </c>
      <c r="AH157" t="s" s="0">
        <v>81</v>
      </c>
      <c r="AI157" t="s" s="0">
        <v>3922</v>
      </c>
      <c r="AJ157" t="s" s="0">
        <v>81</v>
      </c>
      <c r="AK157" t="s" s="0">
        <v>81</v>
      </c>
      <c r="AL157" t="s" s="0">
        <v>851</v>
      </c>
      <c r="AM157" t="s" s="0">
        <v>77</v>
      </c>
      <c r="AN157" t="s" s="0">
        <v>77</v>
      </c>
      <c r="AO157" t="s" s="0">
        <v>101</v>
      </c>
      <c r="AP157" t="s" s="0">
        <v>101</v>
      </c>
      <c r="AQ157" t="s" s="0">
        <v>268</v>
      </c>
      <c r="AR157" t="s" s="0">
        <v>269</v>
      </c>
      <c r="AS157" t="s" s="0">
        <v>270</v>
      </c>
      <c r="AT157" t="s" s="0">
        <v>81</v>
      </c>
      <c r="AU157" t="s" s="0">
        <v>3923</v>
      </c>
      <c r="AV157" t="s" s="0">
        <v>81</v>
      </c>
      <c r="AW157" t="s" s="0">
        <v>3920</v>
      </c>
      <c r="AX157" t="s" s="0">
        <v>3924</v>
      </c>
      <c r="AY157" t="s" s="0">
        <v>3591</v>
      </c>
      <c r="AZ157" t="s" s="0">
        <v>212</v>
      </c>
      <c r="BA157" t="s" s="0">
        <v>1443</v>
      </c>
      <c r="BB157" t="s" s="0">
        <v>137</v>
      </c>
      <c r="BC157" t="s" s="0">
        <v>81</v>
      </c>
      <c r="BD157" t="s" s="0">
        <v>81</v>
      </c>
      <c r="BE157" t="s" s="0">
        <v>81</v>
      </c>
      <c r="BF157" t="s" s="0">
        <v>81</v>
      </c>
      <c r="BG157" t="s" s="0">
        <v>81</v>
      </c>
      <c r="BH157" t="s" s="0">
        <v>81</v>
      </c>
      <c r="BI157" t="s" s="0">
        <v>3925</v>
      </c>
      <c r="BJ157" t="s" s="0">
        <v>3926</v>
      </c>
      <c r="BK157" t="s" s="309">
        <f>HYPERLINK("http://dx.doi.org/10.1186/s12885-026-16116-w","http://dx.doi.org/10.1186/s12885-026-16116-w")</f>
        <v>3927</v>
      </c>
      <c r="BL157" t="s" s="0">
        <v>81</v>
      </c>
      <c r="BM157" t="s" s="0">
        <v>1174</v>
      </c>
      <c r="BN157" t="s" s="0">
        <v>1110</v>
      </c>
      <c r="BO157" t="s" s="0">
        <v>1047</v>
      </c>
      <c r="BP157" t="s" s="0">
        <v>1047</v>
      </c>
      <c r="BQ157" t="s" s="0">
        <v>3928</v>
      </c>
      <c r="BR157" t="s" s="0">
        <v>3929</v>
      </c>
      <c r="BS157" t="s" s="0">
        <v>3930</v>
      </c>
      <c r="BT157" t="s" s="310">
        <f>HYPERLINK("https://www.webofscience.com/wos/woscc/full-record/WOS:001810951600001","View Record in Web of Science")</f>
        <v>123</v>
      </c>
      <c r="BU157" t="s" s="0">
        <v>191</v>
      </c>
      <c r="BV157" t="s" s="0">
        <v>81</v>
      </c>
      <c r="BW157" t="s" s="0">
        <v>81</v>
      </c>
      <c r="BX157" t="s" s="0">
        <v>124</v>
      </c>
    </row>
    <row r="158">
      <c r="A158" t="s" s="0">
        <v>77</v>
      </c>
      <c r="B158" t="s" s="0">
        <v>77</v>
      </c>
      <c r="C158" t="s" s="0">
        <v>77</v>
      </c>
      <c r="D158" t="s" s="0">
        <v>77</v>
      </c>
      <c r="E158" t="s" s="0">
        <v>3931</v>
      </c>
      <c r="F158" t="s" s="0">
        <v>3932</v>
      </c>
      <c r="G158" t="s" s="0">
        <v>3933</v>
      </c>
      <c r="H158" t="s" s="0">
        <v>81</v>
      </c>
      <c r="I158" t="s" s="0">
        <v>195</v>
      </c>
      <c r="J158" t="s" s="0">
        <v>3934</v>
      </c>
      <c r="K158" t="s" s="0">
        <v>3935</v>
      </c>
      <c r="L158" t="s" s="0">
        <v>81</v>
      </c>
      <c r="M158" t="s" s="0">
        <v>81</v>
      </c>
      <c r="N158" t="s" s="0">
        <v>81</v>
      </c>
      <c r="O158" t="s" s="0">
        <v>3936</v>
      </c>
      <c r="P158" t="s" s="0">
        <v>3937</v>
      </c>
      <c r="Q158" t="s" s="0">
        <v>90</v>
      </c>
      <c r="R158" t="s" s="0">
        <v>81</v>
      </c>
      <c r="S158" t="s" s="0">
        <v>81</v>
      </c>
      <c r="T158" t="s" s="0">
        <v>81</v>
      </c>
      <c r="U158" t="s" s="0">
        <v>81</v>
      </c>
      <c r="V158" t="s" s="0">
        <v>3938</v>
      </c>
      <c r="W158" t="s" s="0">
        <v>3939</v>
      </c>
      <c r="X158" t="s" s="0">
        <v>81</v>
      </c>
      <c r="Y158" t="s" s="0">
        <v>81</v>
      </c>
      <c r="Z158" t="s" s="0">
        <v>93</v>
      </c>
      <c r="AA158" t="s" s="0">
        <v>94</v>
      </c>
      <c r="AB158" t="s" s="0">
        <v>81</v>
      </c>
      <c r="AC158" t="s" s="0">
        <v>81</v>
      </c>
      <c r="AD158" t="s" s="0">
        <v>81</v>
      </c>
      <c r="AE158" t="s" s="0">
        <v>81</v>
      </c>
      <c r="AF158" t="s" s="0">
        <v>81</v>
      </c>
      <c r="AG158" t="s" s="0">
        <v>3940</v>
      </c>
      <c r="AH158" t="s" s="0">
        <v>81</v>
      </c>
      <c r="AI158" t="s" s="0">
        <v>81</v>
      </c>
      <c r="AJ158" t="s" s="0">
        <v>81</v>
      </c>
      <c r="AK158" t="s" s="0">
        <v>81</v>
      </c>
      <c r="AL158" t="s" s="0">
        <v>171</v>
      </c>
      <c r="AM158" t="s" s="0">
        <v>301</v>
      </c>
      <c r="AN158" t="s" s="0">
        <v>301</v>
      </c>
      <c r="AO158" t="s" s="0">
        <v>77</v>
      </c>
      <c r="AP158" t="s" s="0">
        <v>77</v>
      </c>
      <c r="AQ158" t="s" s="0">
        <v>449</v>
      </c>
      <c r="AR158" t="s" s="0">
        <v>450</v>
      </c>
      <c r="AS158" t="s" s="0">
        <v>451</v>
      </c>
      <c r="AT158" t="s" s="0">
        <v>81</v>
      </c>
      <c r="AU158" t="s" s="0">
        <v>3941</v>
      </c>
      <c r="AV158" t="s" s="0">
        <v>81</v>
      </c>
      <c r="AW158" t="s" s="0">
        <v>3942</v>
      </c>
      <c r="AX158" t="s" s="0">
        <v>3943</v>
      </c>
      <c r="AY158" t="s" s="0">
        <v>1861</v>
      </c>
      <c r="AZ158" t="s" s="0">
        <v>111</v>
      </c>
      <c r="BA158" t="s" s="0">
        <v>183</v>
      </c>
      <c r="BB158" t="s" s="0">
        <v>301</v>
      </c>
      <c r="BC158" t="s" s="0">
        <v>81</v>
      </c>
      <c r="BD158" t="s" s="0">
        <v>81</v>
      </c>
      <c r="BE158" t="s" s="0">
        <v>81</v>
      </c>
      <c r="BF158" t="s" s="0">
        <v>81</v>
      </c>
      <c r="BG158" t="s" s="0">
        <v>81</v>
      </c>
      <c r="BH158" t="s" s="0">
        <v>81</v>
      </c>
      <c r="BI158" t="s" s="0">
        <v>3944</v>
      </c>
      <c r="BJ158" t="s" s="0">
        <v>3945</v>
      </c>
      <c r="BK158" t="s" s="311">
        <f>HYPERLINK("http://dx.doi.org/10.1002/eng2.70139","http://dx.doi.org/10.1002/eng2.70139")</f>
        <v>3946</v>
      </c>
      <c r="BL158" t="s" s="0">
        <v>81</v>
      </c>
      <c r="BM158" t="s" s="0">
        <v>81</v>
      </c>
      <c r="BN158" t="s" s="0">
        <v>217</v>
      </c>
      <c r="BO158" t="s" s="0">
        <v>3947</v>
      </c>
      <c r="BP158" t="s" s="0">
        <v>3948</v>
      </c>
      <c r="BQ158" t="s" s="0">
        <v>3949</v>
      </c>
      <c r="BR158" t="s" s="0">
        <v>81</v>
      </c>
      <c r="BS158" t="s" s="0">
        <v>3950</v>
      </c>
      <c r="BT158" t="s" s="312">
        <f>HYPERLINK("https://www.webofscience.com/wos/woscc/full-record/WOS:001477505800009","View Record in Web of Science")</f>
        <v>123</v>
      </c>
      <c r="BU158" t="s" s="0">
        <v>191</v>
      </c>
      <c r="BV158" t="s" s="0">
        <v>81</v>
      </c>
      <c r="BW158" t="s" s="0">
        <v>81</v>
      </c>
      <c r="BX158" t="s" s="0">
        <v>124</v>
      </c>
    </row>
    <row r="159">
      <c r="A159" t="s" s="0">
        <v>77</v>
      </c>
      <c r="B159" t="s" s="0">
        <v>77</v>
      </c>
      <c r="C159" t="s" s="0">
        <v>77</v>
      </c>
      <c r="D159" t="s" s="0">
        <v>77</v>
      </c>
      <c r="E159" t="s" s="0">
        <v>3951</v>
      </c>
      <c r="F159" t="s" s="0">
        <v>3952</v>
      </c>
      <c r="G159" t="s" s="0">
        <v>3953</v>
      </c>
      <c r="H159" t="s" s="0">
        <v>81</v>
      </c>
      <c r="I159" t="s" s="0">
        <v>82</v>
      </c>
      <c r="J159" t="s" s="0">
        <v>3954</v>
      </c>
      <c r="K159" t="s" s="0">
        <v>3955</v>
      </c>
      <c r="L159" t="s" s="0">
        <v>3956</v>
      </c>
      <c r="M159" t="s" s="0">
        <v>3957</v>
      </c>
      <c r="N159" t="s" s="0">
        <v>3958</v>
      </c>
      <c r="O159" t="s" s="0">
        <v>3959</v>
      </c>
      <c r="P159" t="s" s="0">
        <v>3960</v>
      </c>
      <c r="Q159" t="s" s="0">
        <v>90</v>
      </c>
      <c r="R159" t="s" s="0">
        <v>81</v>
      </c>
      <c r="S159" t="s" s="0">
        <v>81</v>
      </c>
      <c r="T159" t="s" s="0">
        <v>81</v>
      </c>
      <c r="U159" t="s" s="0">
        <v>81</v>
      </c>
      <c r="V159" t="s" s="0">
        <v>3961</v>
      </c>
      <c r="W159" t="s" s="0">
        <v>3962</v>
      </c>
      <c r="X159" t="s" s="0">
        <v>81</v>
      </c>
      <c r="Y159" t="s" s="0">
        <v>81</v>
      </c>
      <c r="Z159" t="s" s="0">
        <v>93</v>
      </c>
      <c r="AA159" t="s" s="0">
        <v>94</v>
      </c>
      <c r="AB159" t="s" s="0">
        <v>81</v>
      </c>
      <c r="AC159" t="s" s="0">
        <v>81</v>
      </c>
      <c r="AD159" t="s" s="0">
        <v>81</v>
      </c>
      <c r="AE159" t="s" s="0">
        <v>81</v>
      </c>
      <c r="AF159" t="s" s="0">
        <v>81</v>
      </c>
      <c r="AG159" t="s" s="0">
        <v>3963</v>
      </c>
      <c r="AH159" t="s" s="0">
        <v>3964</v>
      </c>
      <c r="AI159" t="s" s="0">
        <v>3965</v>
      </c>
      <c r="AJ159" t="s" s="0">
        <v>3966</v>
      </c>
      <c r="AK159" t="s" s="0">
        <v>81</v>
      </c>
      <c r="AL159" t="s" s="0">
        <v>513</v>
      </c>
      <c r="AM159" t="s" s="0">
        <v>77</v>
      </c>
      <c r="AN159" t="s" s="0">
        <v>77</v>
      </c>
      <c r="AO159" t="s" s="0">
        <v>100</v>
      </c>
      <c r="AP159" t="s" s="0">
        <v>183</v>
      </c>
      <c r="AQ159" t="s" s="0">
        <v>588</v>
      </c>
      <c r="AR159" t="s" s="0">
        <v>589</v>
      </c>
      <c r="AS159" t="s" s="0">
        <v>590</v>
      </c>
      <c r="AT159" t="s" s="0">
        <v>3967</v>
      </c>
      <c r="AU159" t="s" s="0">
        <v>3968</v>
      </c>
      <c r="AV159" t="s" s="0">
        <v>81</v>
      </c>
      <c r="AW159" t="s" s="0">
        <v>3969</v>
      </c>
      <c r="AX159" t="s" s="0">
        <v>3970</v>
      </c>
      <c r="AY159" t="s" s="0">
        <v>3971</v>
      </c>
      <c r="AZ159" t="s" s="0">
        <v>111</v>
      </c>
      <c r="BA159" t="s" s="0">
        <v>267</v>
      </c>
      <c r="BB159" t="s" s="0">
        <v>217</v>
      </c>
      <c r="BC159" t="s" s="0">
        <v>81</v>
      </c>
      <c r="BD159" t="s" s="0">
        <v>81</v>
      </c>
      <c r="BE159" t="s" s="0">
        <v>81</v>
      </c>
      <c r="BF159" t="s" s="0">
        <v>81</v>
      </c>
      <c r="BG159" t="s" s="0">
        <v>3972</v>
      </c>
      <c r="BH159" t="s" s="0">
        <v>3973</v>
      </c>
      <c r="BI159" t="s" s="0">
        <v>81</v>
      </c>
      <c r="BJ159" t="s" s="0">
        <v>3974</v>
      </c>
      <c r="BK159" t="s" s="313">
        <f>HYPERLINK("http://dx.doi.org/10.1109/JSEN.2025.3607313","http://dx.doi.org/10.1109/JSEN.2025.3607313")</f>
        <v>3975</v>
      </c>
      <c r="BL159" t="s" s="0">
        <v>81</v>
      </c>
      <c r="BM159" t="s" s="0">
        <v>81</v>
      </c>
      <c r="BN159" t="s" s="0">
        <v>152</v>
      </c>
      <c r="BO159" t="s" s="0">
        <v>3976</v>
      </c>
      <c r="BP159" t="s" s="0">
        <v>3977</v>
      </c>
      <c r="BQ159" t="s" s="0">
        <v>3978</v>
      </c>
      <c r="BR159" t="s" s="0">
        <v>81</v>
      </c>
      <c r="BS159" t="s" s="0">
        <v>3979</v>
      </c>
      <c r="BT159" t="s" s="314">
        <f>HYPERLINK("https://www.webofscience.com/wos/woscc/full-record/WOS:001594911000034","View Record in Web of Science")</f>
        <v>123</v>
      </c>
      <c r="BU159" t="s" s="0">
        <v>81</v>
      </c>
      <c r="BV159" t="s" s="0">
        <v>81</v>
      </c>
      <c r="BW159" t="s" s="0">
        <v>81</v>
      </c>
      <c r="BX159" t="s" s="0">
        <v>124</v>
      </c>
    </row>
    <row r="160">
      <c r="A160" t="s" s="0">
        <v>137</v>
      </c>
      <c r="B160" t="s" s="0">
        <v>77</v>
      </c>
      <c r="C160" t="s" s="0">
        <v>100</v>
      </c>
      <c r="D160" t="s" s="0">
        <v>77</v>
      </c>
      <c r="E160" t="s" s="0">
        <v>3980</v>
      </c>
      <c r="F160" t="s" s="0">
        <v>3981</v>
      </c>
      <c r="G160" t="s" s="0">
        <v>3982</v>
      </c>
      <c r="H160" t="s" s="0">
        <v>81</v>
      </c>
      <c r="I160" t="s" s="0">
        <v>82</v>
      </c>
      <c r="J160" t="s" s="0">
        <v>3983</v>
      </c>
      <c r="K160" t="s" s="0">
        <v>3984</v>
      </c>
      <c r="L160" t="s" s="0">
        <v>3985</v>
      </c>
      <c r="M160" t="s" s="0">
        <v>3986</v>
      </c>
      <c r="N160" t="s" s="0">
        <v>3987</v>
      </c>
      <c r="O160" t="s" s="0">
        <v>3988</v>
      </c>
      <c r="P160" t="s" s="0">
        <v>3989</v>
      </c>
      <c r="Q160" t="s" s="0">
        <v>90</v>
      </c>
      <c r="R160" t="s" s="0">
        <v>81</v>
      </c>
      <c r="S160" t="s" s="0">
        <v>81</v>
      </c>
      <c r="T160" t="s" s="0">
        <v>81</v>
      </c>
      <c r="U160" t="s" s="0">
        <v>81</v>
      </c>
      <c r="V160" t="s" s="0">
        <v>3990</v>
      </c>
      <c r="W160" t="s" s="0">
        <v>3991</v>
      </c>
      <c r="X160" t="s" s="0">
        <v>81</v>
      </c>
      <c r="Y160" t="s" s="0">
        <v>81</v>
      </c>
      <c r="Z160" t="s" s="0">
        <v>93</v>
      </c>
      <c r="AA160" t="s" s="0">
        <v>94</v>
      </c>
      <c r="AB160" t="s" s="0">
        <v>81</v>
      </c>
      <c r="AC160" t="s" s="0">
        <v>81</v>
      </c>
      <c r="AD160" t="s" s="0">
        <v>81</v>
      </c>
      <c r="AE160" t="s" s="0">
        <v>81</v>
      </c>
      <c r="AF160" t="s" s="0">
        <v>81</v>
      </c>
      <c r="AG160" t="s" s="0">
        <v>3992</v>
      </c>
      <c r="AH160" t="s" s="0">
        <v>3993</v>
      </c>
      <c r="AI160" t="s" s="0">
        <v>3994</v>
      </c>
      <c r="AJ160" t="s" s="0">
        <v>3995</v>
      </c>
      <c r="AK160" t="s" s="0">
        <v>81</v>
      </c>
      <c r="AL160" t="s" s="0">
        <v>587</v>
      </c>
      <c r="AM160" t="s" s="0">
        <v>333</v>
      </c>
      <c r="AN160" t="s" s="0">
        <v>333</v>
      </c>
      <c r="AO160" t="s" s="0">
        <v>333</v>
      </c>
      <c r="AP160" t="s" s="0">
        <v>448</v>
      </c>
      <c r="AQ160" t="s" s="0">
        <v>140</v>
      </c>
      <c r="AR160" t="s" s="0">
        <v>141</v>
      </c>
      <c r="AS160" t="s" s="0">
        <v>142</v>
      </c>
      <c r="AT160" t="s" s="0">
        <v>3996</v>
      </c>
      <c r="AU160" t="s" s="0">
        <v>3997</v>
      </c>
      <c r="AV160" t="s" s="0">
        <v>81</v>
      </c>
      <c r="AW160" t="s" s="0">
        <v>3998</v>
      </c>
      <c r="AX160" t="s" s="0">
        <v>3999</v>
      </c>
      <c r="AY160" t="s" s="0">
        <v>147</v>
      </c>
      <c r="AZ160" t="s" s="0">
        <v>111</v>
      </c>
      <c r="BA160" t="s" s="0">
        <v>4000</v>
      </c>
      <c r="BB160" t="s" s="0">
        <v>81</v>
      </c>
      <c r="BC160" t="s" s="0">
        <v>81</v>
      </c>
      <c r="BD160" t="s" s="0">
        <v>81</v>
      </c>
      <c r="BE160" t="s" s="0">
        <v>81</v>
      </c>
      <c r="BF160" t="s" s="0">
        <v>81</v>
      </c>
      <c r="BG160" t="s" s="0">
        <v>81</v>
      </c>
      <c r="BH160" t="s" s="0">
        <v>81</v>
      </c>
      <c r="BI160" t="s" s="0">
        <v>4001</v>
      </c>
      <c r="BJ160" t="s" s="0">
        <v>4002</v>
      </c>
      <c r="BK160" t="s" s="315">
        <f>HYPERLINK("http://dx.doi.org/10.1016/j.future.2025.107784","http://dx.doi.org/10.1016/j.future.2025.107784")</f>
        <v>4003</v>
      </c>
      <c r="BL160" t="s" s="0">
        <v>81</v>
      </c>
      <c r="BM160" t="s" s="0">
        <v>1474</v>
      </c>
      <c r="BN160" t="s" s="0">
        <v>182</v>
      </c>
      <c r="BO160" t="s" s="0">
        <v>3286</v>
      </c>
      <c r="BP160" t="s" s="0">
        <v>250</v>
      </c>
      <c r="BQ160" t="s" s="0">
        <v>4004</v>
      </c>
      <c r="BR160" t="s" s="0">
        <v>81</v>
      </c>
      <c r="BS160" t="s" s="0">
        <v>4005</v>
      </c>
      <c r="BT160" t="s" s="316">
        <f>HYPERLINK("https://www.webofscience.com/wos/woscc/full-record/WOS:001441474100001","View Record in Web of Science")</f>
        <v>123</v>
      </c>
      <c r="BU160" t="s" s="0">
        <v>81</v>
      </c>
      <c r="BV160" t="s" s="0">
        <v>81</v>
      </c>
      <c r="BW160" t="s" s="0">
        <v>81</v>
      </c>
      <c r="BX160" t="s" s="0">
        <v>124</v>
      </c>
    </row>
    <row r="161">
      <c r="A161" t="s" s="0">
        <v>77</v>
      </c>
      <c r="B161" t="s" s="0">
        <v>77</v>
      </c>
      <c r="C161" t="s" s="0">
        <v>77</v>
      </c>
      <c r="D161" t="s" s="0">
        <v>77</v>
      </c>
      <c r="E161" t="s" s="0">
        <v>4006</v>
      </c>
      <c r="F161" t="s" s="0">
        <v>4007</v>
      </c>
      <c r="G161" t="s" s="0">
        <v>4008</v>
      </c>
      <c r="H161" t="s" s="0">
        <v>81</v>
      </c>
      <c r="I161" t="s" s="0">
        <v>82</v>
      </c>
      <c r="J161" t="s" s="0">
        <v>4009</v>
      </c>
      <c r="K161" t="s" s="0">
        <v>4010</v>
      </c>
      <c r="L161" t="s" s="0">
        <v>81</v>
      </c>
      <c r="M161" t="s" s="0">
        <v>81</v>
      </c>
      <c r="N161" t="s" s="0">
        <v>81</v>
      </c>
      <c r="O161" t="s" s="0">
        <v>4011</v>
      </c>
      <c r="P161" t="s" s="0">
        <v>4012</v>
      </c>
      <c r="Q161" t="s" s="0">
        <v>90</v>
      </c>
      <c r="R161" t="s" s="0">
        <v>81</v>
      </c>
      <c r="S161" t="s" s="0">
        <v>81</v>
      </c>
      <c r="T161" t="s" s="0">
        <v>81</v>
      </c>
      <c r="U161" t="s" s="0">
        <v>81</v>
      </c>
      <c r="V161" t="s" s="0">
        <v>4013</v>
      </c>
      <c r="W161" t="s" s="0">
        <v>1792</v>
      </c>
      <c r="X161" t="s" s="0">
        <v>81</v>
      </c>
      <c r="Y161" t="s" s="0">
        <v>81</v>
      </c>
      <c r="Z161" t="s" s="0">
        <v>93</v>
      </c>
      <c r="AA161" t="s" s="0">
        <v>94</v>
      </c>
      <c r="AB161" t="s" s="0">
        <v>81</v>
      </c>
      <c r="AC161" t="s" s="0">
        <v>81</v>
      </c>
      <c r="AD161" t="s" s="0">
        <v>81</v>
      </c>
      <c r="AE161" t="s" s="0">
        <v>81</v>
      </c>
      <c r="AF161" t="s" s="0">
        <v>81</v>
      </c>
      <c r="AG161" t="s" s="0">
        <v>4014</v>
      </c>
      <c r="AH161" t="s" s="0">
        <v>4015</v>
      </c>
      <c r="AI161" t="s" s="0">
        <v>4016</v>
      </c>
      <c r="AJ161" t="s" s="0">
        <v>81</v>
      </c>
      <c r="AK161" t="s" s="0">
        <v>81</v>
      </c>
      <c r="AL161" t="s" s="0">
        <v>1330</v>
      </c>
      <c r="AM161" t="s" s="0">
        <v>77</v>
      </c>
      <c r="AN161" t="s" s="0">
        <v>77</v>
      </c>
      <c r="AO161" t="s" s="0">
        <v>77</v>
      </c>
      <c r="AP161" t="s" s="0">
        <v>77</v>
      </c>
      <c r="AQ161" t="s" s="0">
        <v>786</v>
      </c>
      <c r="AR161" t="s" s="0">
        <v>787</v>
      </c>
      <c r="AS161" t="s" s="0">
        <v>788</v>
      </c>
      <c r="AT161" t="s" s="0">
        <v>1796</v>
      </c>
      <c r="AU161" t="s" s="0">
        <v>1797</v>
      </c>
      <c r="AV161" t="s" s="0">
        <v>81</v>
      </c>
      <c r="AW161" t="s" s="0">
        <v>1798</v>
      </c>
      <c r="AX161" t="s" s="0">
        <v>1799</v>
      </c>
      <c r="AY161" t="s" s="0">
        <v>4017</v>
      </c>
      <c r="AZ161" t="s" s="0">
        <v>4018</v>
      </c>
      <c r="BA161" t="s" s="0">
        <v>4019</v>
      </c>
      <c r="BB161" t="s" s="0">
        <v>81</v>
      </c>
      <c r="BC161" t="s" s="0">
        <v>81</v>
      </c>
      <c r="BD161" t="s" s="0">
        <v>2620</v>
      </c>
      <c r="BE161" t="s" s="0">
        <v>81</v>
      </c>
      <c r="BF161" t="s" s="0">
        <v>81</v>
      </c>
      <c r="BG161" t="s" s="0">
        <v>81</v>
      </c>
      <c r="BH161" t="s" s="0">
        <v>81</v>
      </c>
      <c r="BI161" t="s" s="0">
        <v>4020</v>
      </c>
      <c r="BJ161" t="s" s="0">
        <v>4021</v>
      </c>
      <c r="BK161" t="s" s="317">
        <f>HYPERLINK("http://dx.doi.org/10.1016/j.eswa.2026.133628","http://dx.doi.org/10.1016/j.eswa.2026.133628")</f>
        <v>4022</v>
      </c>
      <c r="BL161" t="s" s="0">
        <v>81</v>
      </c>
      <c r="BM161" t="s" s="0">
        <v>81</v>
      </c>
      <c r="BN161" t="s" s="0">
        <v>217</v>
      </c>
      <c r="BO161" t="s" s="0">
        <v>1805</v>
      </c>
      <c r="BP161" t="s" s="0">
        <v>1806</v>
      </c>
      <c r="BQ161" t="s" s="0">
        <v>4023</v>
      </c>
      <c r="BR161" t="s" s="0">
        <v>81</v>
      </c>
      <c r="BS161" t="s" s="0">
        <v>4024</v>
      </c>
      <c r="BT161" t="s" s="318">
        <f>HYPERLINK("https://www.webofscience.com/wos/woscc/full-record/WOS:001828828100001","View Record in Web of Science")</f>
        <v>123</v>
      </c>
      <c r="BU161" t="s" s="0">
        <v>81</v>
      </c>
      <c r="BV161" t="s" s="0">
        <v>81</v>
      </c>
      <c r="BW161" t="s" s="0">
        <v>81</v>
      </c>
      <c r="BX161" t="s" s="0">
        <v>124</v>
      </c>
    </row>
    <row r="162">
      <c r="A162" t="s" s="0">
        <v>77</v>
      </c>
      <c r="B162" t="s" s="0">
        <v>77</v>
      </c>
      <c r="C162" t="s" s="0">
        <v>101</v>
      </c>
      <c r="D162" t="s" s="0">
        <v>77</v>
      </c>
      <c r="E162" t="s" s="0">
        <v>4025</v>
      </c>
      <c r="F162" t="s" s="0">
        <v>4026</v>
      </c>
      <c r="G162" t="s" s="0">
        <v>4027</v>
      </c>
      <c r="H162" t="s" s="0">
        <v>81</v>
      </c>
      <c r="I162" t="s" s="0">
        <v>82</v>
      </c>
      <c r="J162" t="s" s="0">
        <v>4028</v>
      </c>
      <c r="K162" t="s" s="0">
        <v>4029</v>
      </c>
      <c r="L162" t="s" s="0">
        <v>4030</v>
      </c>
      <c r="M162" t="s" s="0">
        <v>4031</v>
      </c>
      <c r="N162" t="s" s="0">
        <v>4032</v>
      </c>
      <c r="O162" t="s" s="0">
        <v>4033</v>
      </c>
      <c r="P162" t="s" s="0">
        <v>4034</v>
      </c>
      <c r="Q162" t="s" s="0">
        <v>90</v>
      </c>
      <c r="R162" t="s" s="0">
        <v>81</v>
      </c>
      <c r="S162" t="s" s="0">
        <v>81</v>
      </c>
      <c r="T162" t="s" s="0">
        <v>81</v>
      </c>
      <c r="U162" t="s" s="0">
        <v>81</v>
      </c>
      <c r="V162" t="s" s="0">
        <v>4035</v>
      </c>
      <c r="W162" t="s" s="0">
        <v>417</v>
      </c>
      <c r="X162" t="s" s="0">
        <v>81</v>
      </c>
      <c r="Y162" t="s" s="0">
        <v>81</v>
      </c>
      <c r="Z162" t="s" s="0">
        <v>93</v>
      </c>
      <c r="AA162" t="s" s="0">
        <v>94</v>
      </c>
      <c r="AB162" t="s" s="0">
        <v>81</v>
      </c>
      <c r="AC162" t="s" s="0">
        <v>81</v>
      </c>
      <c r="AD162" t="s" s="0">
        <v>81</v>
      </c>
      <c r="AE162" t="s" s="0">
        <v>81</v>
      </c>
      <c r="AF162" t="s" s="0">
        <v>81</v>
      </c>
      <c r="AG162" t="s" s="0">
        <v>4036</v>
      </c>
      <c r="AH162" t="s" s="0">
        <v>4037</v>
      </c>
      <c r="AI162" t="s" s="0">
        <v>81</v>
      </c>
      <c r="AJ162" t="s" s="0">
        <v>81</v>
      </c>
      <c r="AK162" t="s" s="0">
        <v>81</v>
      </c>
      <c r="AL162" t="s" s="0">
        <v>1357</v>
      </c>
      <c r="AM162" t="s" s="0">
        <v>301</v>
      </c>
      <c r="AN162" t="s" s="0">
        <v>301</v>
      </c>
      <c r="AO162" t="s" s="0">
        <v>183</v>
      </c>
      <c r="AP162" t="s" s="0">
        <v>183</v>
      </c>
      <c r="AQ162" t="s" s="0">
        <v>421</v>
      </c>
      <c r="AR162" t="s" s="0">
        <v>422</v>
      </c>
      <c r="AS162" t="s" s="0">
        <v>423</v>
      </c>
      <c r="AT162" t="s" s="0">
        <v>424</v>
      </c>
      <c r="AU162" t="s" s="0">
        <v>81</v>
      </c>
      <c r="AV162" t="s" s="0">
        <v>81</v>
      </c>
      <c r="AW162" t="s" s="0">
        <v>425</v>
      </c>
      <c r="AX162" t="s" s="0">
        <v>426</v>
      </c>
      <c r="AY162" t="s" s="0">
        <v>4038</v>
      </c>
      <c r="AZ162" t="s" s="0">
        <v>212</v>
      </c>
      <c r="BA162" t="s" s="0">
        <v>102</v>
      </c>
      <c r="BB162" t="s" s="0">
        <v>81</v>
      </c>
      <c r="BC162" t="s" s="0">
        <v>81</v>
      </c>
      <c r="BD162" t="s" s="0">
        <v>81</v>
      </c>
      <c r="BE162" t="s" s="0">
        <v>81</v>
      </c>
      <c r="BF162" t="s" s="0">
        <v>81</v>
      </c>
      <c r="BG162" t="s" s="0">
        <v>81</v>
      </c>
      <c r="BH162" t="s" s="0">
        <v>81</v>
      </c>
      <c r="BI162" t="s" s="0">
        <v>4039</v>
      </c>
      <c r="BJ162" t="s" s="0">
        <v>4040</v>
      </c>
      <c r="BK162" t="s" s="319">
        <f>HYPERLINK("http://dx.doi.org/10.3389/fimmu.2026.1602846","http://dx.doi.org/10.3389/fimmu.2026.1602846")</f>
        <v>4041</v>
      </c>
      <c r="BL162" t="s" s="0">
        <v>81</v>
      </c>
      <c r="BM162" t="s" s="0">
        <v>81</v>
      </c>
      <c r="BN162" t="s" s="0">
        <v>117</v>
      </c>
      <c r="BO162" t="s" s="0">
        <v>431</v>
      </c>
      <c r="BP162" t="s" s="0">
        <v>431</v>
      </c>
      <c r="BQ162" t="s" s="0">
        <v>4042</v>
      </c>
      <c r="BR162" t="s" s="0">
        <v>4043</v>
      </c>
      <c r="BS162" t="s" s="0">
        <v>4044</v>
      </c>
      <c r="BT162" t="s" s="320">
        <f>HYPERLINK("https://www.webofscience.com/wos/woscc/full-record/WOS:001697538000001","View Record in Web of Science")</f>
        <v>123</v>
      </c>
      <c r="BU162" t="s" s="0">
        <v>191</v>
      </c>
      <c r="BV162" t="s" s="0">
        <v>81</v>
      </c>
      <c r="BW162" t="s" s="0">
        <v>81</v>
      </c>
      <c r="BX162" t="s" s="0">
        <v>124</v>
      </c>
    </row>
    <row r="163">
      <c r="A163" t="s" s="0">
        <v>77</v>
      </c>
      <c r="B163" t="s" s="0">
        <v>77</v>
      </c>
      <c r="C163" t="s" s="0">
        <v>77</v>
      </c>
      <c r="D163" t="s" s="0">
        <v>77</v>
      </c>
      <c r="E163" t="s" s="0">
        <v>4045</v>
      </c>
      <c r="F163" t="s" s="0">
        <v>4046</v>
      </c>
      <c r="G163" t="s" s="0">
        <v>4047</v>
      </c>
      <c r="H163" t="s" s="0">
        <v>81</v>
      </c>
      <c r="I163" t="s" s="0">
        <v>82</v>
      </c>
      <c r="J163" t="s" s="0">
        <v>4048</v>
      </c>
      <c r="K163" t="s" s="0">
        <v>4049</v>
      </c>
      <c r="L163" t="s" s="0">
        <v>4050</v>
      </c>
      <c r="M163" t="s" s="0">
        <v>4051</v>
      </c>
      <c r="N163" t="s" s="0">
        <v>4052</v>
      </c>
      <c r="O163" t="s" s="0">
        <v>4053</v>
      </c>
      <c r="P163" t="s" s="0">
        <v>4054</v>
      </c>
      <c r="Q163" t="s" s="0">
        <v>90</v>
      </c>
      <c r="R163" t="s" s="0">
        <v>81</v>
      </c>
      <c r="S163" t="s" s="0">
        <v>81</v>
      </c>
      <c r="T163" t="s" s="0">
        <v>81</v>
      </c>
      <c r="U163" t="s" s="0">
        <v>81</v>
      </c>
      <c r="V163" t="s" s="0">
        <v>4055</v>
      </c>
      <c r="W163" t="s" s="0">
        <v>615</v>
      </c>
      <c r="X163" t="s" s="0">
        <v>81</v>
      </c>
      <c r="Y163" t="s" s="0">
        <v>81</v>
      </c>
      <c r="Z163" t="s" s="0">
        <v>93</v>
      </c>
      <c r="AA163" t="s" s="0">
        <v>94</v>
      </c>
      <c r="AB163" t="s" s="0">
        <v>81</v>
      </c>
      <c r="AC163" t="s" s="0">
        <v>81</v>
      </c>
      <c r="AD163" t="s" s="0">
        <v>81</v>
      </c>
      <c r="AE163" t="s" s="0">
        <v>81</v>
      </c>
      <c r="AF163" t="s" s="0">
        <v>81</v>
      </c>
      <c r="AG163" t="s" s="0">
        <v>4056</v>
      </c>
      <c r="AH163" t="s" s="0">
        <v>4057</v>
      </c>
      <c r="AI163" t="s" s="0">
        <v>4058</v>
      </c>
      <c r="AJ163" t="s" s="0">
        <v>81</v>
      </c>
      <c r="AK163" t="s" s="0">
        <v>81</v>
      </c>
      <c r="AL163" t="s" s="0">
        <v>2596</v>
      </c>
      <c r="AM163" t="s" s="0">
        <v>77</v>
      </c>
      <c r="AN163" t="s" s="0">
        <v>77</v>
      </c>
      <c r="AO163" t="s" s="0">
        <v>77</v>
      </c>
      <c r="AP163" t="s" s="0">
        <v>77</v>
      </c>
      <c r="AQ163" t="s" s="0">
        <v>620</v>
      </c>
      <c r="AR163" t="s" s="0">
        <v>621</v>
      </c>
      <c r="AS163" t="s" s="0">
        <v>622</v>
      </c>
      <c r="AT163" t="s" s="0">
        <v>623</v>
      </c>
      <c r="AU163" t="s" s="0">
        <v>624</v>
      </c>
      <c r="AV163" t="s" s="0">
        <v>81</v>
      </c>
      <c r="AW163" t="s" s="0">
        <v>625</v>
      </c>
      <c r="AX163" t="s" s="0">
        <v>626</v>
      </c>
      <c r="AY163" t="s" s="0">
        <v>938</v>
      </c>
      <c r="AZ163" t="s" s="0">
        <v>212</v>
      </c>
      <c r="BA163" t="s" s="0">
        <v>939</v>
      </c>
      <c r="BB163" t="s" s="0">
        <v>81</v>
      </c>
      <c r="BC163" t="s" s="0">
        <v>81</v>
      </c>
      <c r="BD163" t="s" s="0">
        <v>940</v>
      </c>
      <c r="BE163" t="s" s="0">
        <v>81</v>
      </c>
      <c r="BF163" t="s" s="0">
        <v>81</v>
      </c>
      <c r="BG163" t="s" s="0">
        <v>81</v>
      </c>
      <c r="BH163" t="s" s="0">
        <v>81</v>
      </c>
      <c r="BI163" t="s" s="0">
        <v>4059</v>
      </c>
      <c r="BJ163" t="s" s="0">
        <v>4060</v>
      </c>
      <c r="BK163" t="s" s="321">
        <f>HYPERLINK("http://dx.doi.org/10.1016/j.patcog.2026.114394","http://dx.doi.org/10.1016/j.patcog.2026.114394")</f>
        <v>4061</v>
      </c>
      <c r="BL163" t="s" s="0">
        <v>81</v>
      </c>
      <c r="BM163" t="s" s="0">
        <v>827</v>
      </c>
      <c r="BN163" t="s" s="0">
        <v>182</v>
      </c>
      <c r="BO163" t="s" s="0">
        <v>632</v>
      </c>
      <c r="BP163" t="s" s="0">
        <v>633</v>
      </c>
      <c r="BQ163" t="s" s="0">
        <v>4062</v>
      </c>
      <c r="BR163" t="s" s="0">
        <v>81</v>
      </c>
      <c r="BS163" t="s" s="0">
        <v>4063</v>
      </c>
      <c r="BT163" t="s" s="322">
        <f>HYPERLINK("https://www.webofscience.com/wos/woscc/full-record/WOS:001823378200001","View Record in Web of Science")</f>
        <v>123</v>
      </c>
      <c r="BU163" t="s" s="0">
        <v>81</v>
      </c>
      <c r="BV163" t="s" s="0">
        <v>81</v>
      </c>
      <c r="BW163" t="s" s="0">
        <v>81</v>
      </c>
      <c r="BX163" t="s" s="0">
        <v>124</v>
      </c>
    </row>
    <row r="164">
      <c r="A164" t="s" s="0">
        <v>77</v>
      </c>
      <c r="B164" t="s" s="0">
        <v>77</v>
      </c>
      <c r="C164" t="s" s="0">
        <v>77</v>
      </c>
      <c r="D164" t="s" s="0">
        <v>77</v>
      </c>
      <c r="E164" t="s" s="0">
        <v>4064</v>
      </c>
      <c r="F164" t="s" s="0">
        <v>4065</v>
      </c>
      <c r="G164" t="s" s="0">
        <v>4066</v>
      </c>
      <c r="H164" t="s" s="0">
        <v>81</v>
      </c>
      <c r="I164" t="s" s="0">
        <v>82</v>
      </c>
      <c r="J164" t="s" s="0">
        <v>4067</v>
      </c>
      <c r="K164" t="s" s="0">
        <v>4068</v>
      </c>
      <c r="L164" t="s" s="0">
        <v>4069</v>
      </c>
      <c r="M164" t="s" s="0">
        <v>4070</v>
      </c>
      <c r="N164" t="s" s="0">
        <v>4071</v>
      </c>
      <c r="O164" t="s" s="0">
        <v>4072</v>
      </c>
      <c r="P164" t="s" s="0">
        <v>4073</v>
      </c>
      <c r="Q164" t="s" s="0">
        <v>90</v>
      </c>
      <c r="R164" t="s" s="0">
        <v>81</v>
      </c>
      <c r="S164" t="s" s="0">
        <v>81</v>
      </c>
      <c r="T164" t="s" s="0">
        <v>81</v>
      </c>
      <c r="U164" t="s" s="0">
        <v>81</v>
      </c>
      <c r="V164" t="s" s="0">
        <v>4074</v>
      </c>
      <c r="W164" t="s" s="0">
        <v>1254</v>
      </c>
      <c r="X164" t="s" s="0">
        <v>81</v>
      </c>
      <c r="Y164" t="s" s="0">
        <v>81</v>
      </c>
      <c r="Z164" t="s" s="0">
        <v>93</v>
      </c>
      <c r="AA164" t="s" s="0">
        <v>94</v>
      </c>
      <c r="AB164" t="s" s="0">
        <v>81</v>
      </c>
      <c r="AC164" t="s" s="0">
        <v>81</v>
      </c>
      <c r="AD164" t="s" s="0">
        <v>81</v>
      </c>
      <c r="AE164" t="s" s="0">
        <v>81</v>
      </c>
      <c r="AF164" t="s" s="0">
        <v>81</v>
      </c>
      <c r="AG164" t="s" s="0">
        <v>4075</v>
      </c>
      <c r="AH164" t="s" s="0">
        <v>4076</v>
      </c>
      <c r="AI164" t="s" s="0">
        <v>4077</v>
      </c>
      <c r="AJ164" t="s" s="0">
        <v>81</v>
      </c>
      <c r="AK164" t="s" s="0">
        <v>81</v>
      </c>
      <c r="AL164" t="s" s="0">
        <v>3304</v>
      </c>
      <c r="AM164" t="s" s="0">
        <v>77</v>
      </c>
      <c r="AN164" t="s" s="0">
        <v>77</v>
      </c>
      <c r="AO164" t="s" s="0">
        <v>137</v>
      </c>
      <c r="AP164" t="s" s="0">
        <v>101</v>
      </c>
      <c r="AQ164" t="s" s="0">
        <v>620</v>
      </c>
      <c r="AR164" t="s" s="0">
        <v>621</v>
      </c>
      <c r="AS164" t="s" s="0">
        <v>622</v>
      </c>
      <c r="AT164" t="s" s="0">
        <v>1256</v>
      </c>
      <c r="AU164" t="s" s="0">
        <v>1257</v>
      </c>
      <c r="AV164" t="s" s="0">
        <v>81</v>
      </c>
      <c r="AW164" t="s" s="0">
        <v>1258</v>
      </c>
      <c r="AX164" t="s" s="0">
        <v>1259</v>
      </c>
      <c r="AY164" t="s" s="0">
        <v>4078</v>
      </c>
      <c r="AZ164" t="s" s="0">
        <v>212</v>
      </c>
      <c r="BA164" t="s" s="0">
        <v>1090</v>
      </c>
      <c r="BB164" t="s" s="0">
        <v>81</v>
      </c>
      <c r="BC164" t="s" s="0">
        <v>81</v>
      </c>
      <c r="BD164" t="s" s="0">
        <v>81</v>
      </c>
      <c r="BE164" t="s" s="0">
        <v>81</v>
      </c>
      <c r="BF164" t="s" s="0">
        <v>81</v>
      </c>
      <c r="BG164" t="s" s="0">
        <v>81</v>
      </c>
      <c r="BH164" t="s" s="0">
        <v>81</v>
      </c>
      <c r="BI164" t="s" s="0">
        <v>4079</v>
      </c>
      <c r="BJ164" t="s" s="0">
        <v>4080</v>
      </c>
      <c r="BK164" t="s" s="323">
        <f>HYPERLINK("http://dx.doi.org/10.1016/j.bspc.2026.109643","http://dx.doi.org/10.1016/j.bspc.2026.109643")</f>
        <v>4081</v>
      </c>
      <c r="BL164" t="s" s="0">
        <v>81</v>
      </c>
      <c r="BM164" t="s" s="0">
        <v>763</v>
      </c>
      <c r="BN164" t="s" s="0">
        <v>152</v>
      </c>
      <c r="BO164" t="s" s="0">
        <v>1265</v>
      </c>
      <c r="BP164" t="s" s="0">
        <v>219</v>
      </c>
      <c r="BQ164" t="s" s="0">
        <v>4082</v>
      </c>
      <c r="BR164" t="s" s="0">
        <v>81</v>
      </c>
      <c r="BS164" t="s" s="0">
        <v>4083</v>
      </c>
      <c r="BT164" t="s" s="324">
        <f>HYPERLINK("https://www.webofscience.com/wos/woscc/full-record/WOS:001677351600001","View Record in Web of Science")</f>
        <v>123</v>
      </c>
      <c r="BU164" t="s" s="0">
        <v>81</v>
      </c>
      <c r="BV164" t="s" s="0">
        <v>81</v>
      </c>
      <c r="BW164" t="s" s="0">
        <v>81</v>
      </c>
      <c r="BX164" t="s" s="0">
        <v>124</v>
      </c>
    </row>
    <row r="165">
      <c r="A165" t="s" s="0">
        <v>77</v>
      </c>
      <c r="B165" t="s" s="0">
        <v>77</v>
      </c>
      <c r="C165" t="s" s="0">
        <v>77</v>
      </c>
      <c r="D165" t="s" s="0">
        <v>77</v>
      </c>
      <c r="E165" t="s" s="0">
        <v>4084</v>
      </c>
      <c r="F165" t="s" s="0">
        <v>4085</v>
      </c>
      <c r="G165" t="s" s="0">
        <v>4086</v>
      </c>
      <c r="H165" t="s" s="0">
        <v>81</v>
      </c>
      <c r="I165" t="s" s="0">
        <v>82</v>
      </c>
      <c r="J165" t="s" s="0">
        <v>4087</v>
      </c>
      <c r="K165" t="s" s="0">
        <v>4088</v>
      </c>
      <c r="L165" t="s" s="0">
        <v>4089</v>
      </c>
      <c r="M165" t="s" s="0">
        <v>4090</v>
      </c>
      <c r="N165" t="s" s="0">
        <v>4091</v>
      </c>
      <c r="O165" t="s" s="0">
        <v>4092</v>
      </c>
      <c r="P165" t="s" s="0">
        <v>3895</v>
      </c>
      <c r="Q165" t="s" s="0">
        <v>90</v>
      </c>
      <c r="R165" t="s" s="0">
        <v>81</v>
      </c>
      <c r="S165" t="s" s="0">
        <v>81</v>
      </c>
      <c r="T165" t="s" s="0">
        <v>81</v>
      </c>
      <c r="U165" t="s" s="0">
        <v>81</v>
      </c>
      <c r="V165" t="s" s="0">
        <v>4093</v>
      </c>
      <c r="W165" t="s" s="0">
        <v>1186</v>
      </c>
      <c r="X165" t="s" s="0">
        <v>81</v>
      </c>
      <c r="Y165" t="s" s="0">
        <v>81</v>
      </c>
      <c r="Z165" t="s" s="0">
        <v>93</v>
      </c>
      <c r="AA165" t="s" s="0">
        <v>94</v>
      </c>
      <c r="AB165" t="s" s="0">
        <v>81</v>
      </c>
      <c r="AC165" t="s" s="0">
        <v>81</v>
      </c>
      <c r="AD165" t="s" s="0">
        <v>81</v>
      </c>
      <c r="AE165" t="s" s="0">
        <v>81</v>
      </c>
      <c r="AF165" t="s" s="0">
        <v>81</v>
      </c>
      <c r="AG165" t="s" s="0">
        <v>4094</v>
      </c>
      <c r="AH165" t="s" s="0">
        <v>1163</v>
      </c>
      <c r="AI165" t="s" s="0">
        <v>4095</v>
      </c>
      <c r="AJ165" t="s" s="0">
        <v>4096</v>
      </c>
      <c r="AK165" t="s" s="0">
        <v>81</v>
      </c>
      <c r="AL165" t="s" s="0">
        <v>619</v>
      </c>
      <c r="AM165" t="s" s="0">
        <v>182</v>
      </c>
      <c r="AN165" t="s" s="0">
        <v>117</v>
      </c>
      <c r="AO165" t="s" s="0">
        <v>652</v>
      </c>
      <c r="AP165" t="s" s="0">
        <v>4097</v>
      </c>
      <c r="AQ165" t="s" s="0">
        <v>174</v>
      </c>
      <c r="AR165" t="s" s="0">
        <v>175</v>
      </c>
      <c r="AS165" t="s" s="0">
        <v>208</v>
      </c>
      <c r="AT165" t="s" s="0">
        <v>81</v>
      </c>
      <c r="AU165" t="s" s="0">
        <v>1189</v>
      </c>
      <c r="AV165" t="s" s="0">
        <v>81</v>
      </c>
      <c r="AW165" t="s" s="0">
        <v>1190</v>
      </c>
      <c r="AX165" t="s" s="0">
        <v>1191</v>
      </c>
      <c r="AY165" t="s" s="0">
        <v>4098</v>
      </c>
      <c r="AZ165" t="s" s="0">
        <v>111</v>
      </c>
      <c r="BA165" t="s" s="0">
        <v>405</v>
      </c>
      <c r="BB165" t="s" s="0">
        <v>399</v>
      </c>
      <c r="BC165" t="s" s="0">
        <v>81</v>
      </c>
      <c r="BD165" t="s" s="0">
        <v>81</v>
      </c>
      <c r="BE165" t="s" s="0">
        <v>81</v>
      </c>
      <c r="BF165" t="s" s="0">
        <v>81</v>
      </c>
      <c r="BG165" t="s" s="0">
        <v>81</v>
      </c>
      <c r="BH165" t="s" s="0">
        <v>81</v>
      </c>
      <c r="BI165" t="s" s="0">
        <v>4099</v>
      </c>
      <c r="BJ165" t="s" s="0">
        <v>4100</v>
      </c>
      <c r="BK165" t="s" s="325">
        <f>HYPERLINK("http://dx.doi.org/10.3390/app15094828","http://dx.doi.org/10.3390/app15094828")</f>
        <v>4101</v>
      </c>
      <c r="BL165" t="s" s="0">
        <v>81</v>
      </c>
      <c r="BM165" t="s" s="0">
        <v>81</v>
      </c>
      <c r="BN165" t="s" s="0">
        <v>652</v>
      </c>
      <c r="BO165" t="s" s="0">
        <v>1195</v>
      </c>
      <c r="BP165" t="s" s="0">
        <v>1196</v>
      </c>
      <c r="BQ165" t="s" s="0">
        <v>4102</v>
      </c>
      <c r="BR165" t="s" s="0">
        <v>81</v>
      </c>
      <c r="BS165" t="s" s="0">
        <v>4103</v>
      </c>
      <c r="BT165" t="s" s="326">
        <f>HYPERLINK("https://www.webofscience.com/wos/woscc/full-record/WOS:001486143900001","View Record in Web of Science")</f>
        <v>123</v>
      </c>
      <c r="BU165" t="s" s="0">
        <v>191</v>
      </c>
      <c r="BV165" t="s" s="0">
        <v>81</v>
      </c>
      <c r="BW165" t="s" s="0">
        <v>81</v>
      </c>
      <c r="BX165" t="s" s="0">
        <v>124</v>
      </c>
    </row>
    <row r="166">
      <c r="A166" t="s" s="0">
        <v>77</v>
      </c>
      <c r="B166" t="s" s="0">
        <v>77</v>
      </c>
      <c r="C166" t="s" s="0">
        <v>77</v>
      </c>
      <c r="D166" t="s" s="0">
        <v>77</v>
      </c>
      <c r="E166" t="s" s="0">
        <v>4104</v>
      </c>
      <c r="F166" t="s" s="0">
        <v>4105</v>
      </c>
      <c r="G166" t="s" s="0">
        <v>4106</v>
      </c>
      <c r="H166" t="s" s="0">
        <v>81</v>
      </c>
      <c r="I166" t="s" s="0">
        <v>82</v>
      </c>
      <c r="J166" t="s" s="0">
        <v>4107</v>
      </c>
      <c r="K166" t="s" s="0">
        <v>4108</v>
      </c>
      <c r="L166" t="s" s="0">
        <v>4109</v>
      </c>
      <c r="M166" t="s" s="0">
        <v>4110</v>
      </c>
      <c r="N166" t="s" s="0">
        <v>4111</v>
      </c>
      <c r="O166" t="s" s="0">
        <v>4112</v>
      </c>
      <c r="P166" t="s" s="0">
        <v>4113</v>
      </c>
      <c r="Q166" t="s" s="0">
        <v>90</v>
      </c>
      <c r="R166" t="s" s="0">
        <v>81</v>
      </c>
      <c r="S166" t="s" s="0">
        <v>81</v>
      </c>
      <c r="T166" t="s" s="0">
        <v>81</v>
      </c>
      <c r="U166" t="s" s="0">
        <v>81</v>
      </c>
      <c r="V166" t="s" s="0">
        <v>4114</v>
      </c>
      <c r="W166" t="s" s="0">
        <v>4115</v>
      </c>
      <c r="X166" t="s" s="0">
        <v>81</v>
      </c>
      <c r="Y166" t="s" s="0">
        <v>81</v>
      </c>
      <c r="Z166" t="s" s="0">
        <v>93</v>
      </c>
      <c r="AA166" t="s" s="0">
        <v>94</v>
      </c>
      <c r="AB166" t="s" s="0">
        <v>81</v>
      </c>
      <c r="AC166" t="s" s="0">
        <v>81</v>
      </c>
      <c r="AD166" t="s" s="0">
        <v>81</v>
      </c>
      <c r="AE166" t="s" s="0">
        <v>81</v>
      </c>
      <c r="AF166" t="s" s="0">
        <v>81</v>
      </c>
      <c r="AG166" t="s" s="0">
        <v>81</v>
      </c>
      <c r="AH166" t="s" s="0">
        <v>81</v>
      </c>
      <c r="AI166" t="s" s="0">
        <v>81</v>
      </c>
      <c r="AJ166" t="s" s="0">
        <v>81</v>
      </c>
      <c r="AK166" t="s" s="0">
        <v>81</v>
      </c>
      <c r="AL166" t="s" s="0">
        <v>1331</v>
      </c>
      <c r="AM166" t="s" s="0">
        <v>333</v>
      </c>
      <c r="AN166" t="s" s="0">
        <v>183</v>
      </c>
      <c r="AO166" t="s" s="0">
        <v>137</v>
      </c>
      <c r="AP166" t="s" s="0">
        <v>182</v>
      </c>
      <c r="AQ166" t="s" s="0">
        <v>4116</v>
      </c>
      <c r="AR166" t="s" s="0">
        <v>1545</v>
      </c>
      <c r="AS166" t="s" s="0">
        <v>4117</v>
      </c>
      <c r="AT166" t="s" s="0">
        <v>4118</v>
      </c>
      <c r="AU166" t="s" s="0">
        <v>81</v>
      </c>
      <c r="AV166" t="s" s="0">
        <v>81</v>
      </c>
      <c r="AW166" t="s" s="0">
        <v>4119</v>
      </c>
      <c r="AX166" t="s" s="0">
        <v>4120</v>
      </c>
      <c r="AY166" t="s" s="0">
        <v>4121</v>
      </c>
      <c r="AZ166" t="s" s="0">
        <v>111</v>
      </c>
      <c r="BA166" t="s" s="0">
        <v>1110</v>
      </c>
      <c r="BB166" t="s" s="0">
        <v>137</v>
      </c>
      <c r="BC166" t="s" s="0">
        <v>81</v>
      </c>
      <c r="BD166" t="s" s="0">
        <v>81</v>
      </c>
      <c r="BE166" t="s" s="0">
        <v>81</v>
      </c>
      <c r="BF166" t="s" s="0">
        <v>81</v>
      </c>
      <c r="BG166" t="s" s="0">
        <v>2251</v>
      </c>
      <c r="BH166" t="s" s="0">
        <v>4122</v>
      </c>
      <c r="BI166" t="s" s="0">
        <v>81</v>
      </c>
      <c r="BJ166" t="s" s="0">
        <v>4123</v>
      </c>
      <c r="BK166" t="s" s="327">
        <f>HYPERLINK("http://dx.doi.org/10.1364/BOE.541570","http://dx.doi.org/10.1364/BOE.541570")</f>
        <v>4124</v>
      </c>
      <c r="BL166" t="s" s="0">
        <v>81</v>
      </c>
      <c r="BM166" t="s" s="0">
        <v>81</v>
      </c>
      <c r="BN166" t="s" s="0">
        <v>1110</v>
      </c>
      <c r="BO166" t="s" s="0">
        <v>4125</v>
      </c>
      <c r="BP166" t="s" s="0">
        <v>4126</v>
      </c>
      <c r="BQ166" t="s" s="0">
        <v>4127</v>
      </c>
      <c r="BR166" t="s" s="0">
        <v>4128</v>
      </c>
      <c r="BS166" t="s" s="0">
        <v>4129</v>
      </c>
      <c r="BT166" t="s" s="328">
        <f>HYPERLINK("https://www.webofscience.com/wos/woscc/full-record/WOS:001381605800005","View Record in Web of Science")</f>
        <v>123</v>
      </c>
      <c r="BU166" t="s" s="0">
        <v>191</v>
      </c>
      <c r="BV166" t="s" s="0">
        <v>81</v>
      </c>
      <c r="BW166" t="s" s="0">
        <v>81</v>
      </c>
      <c r="BX166" t="s" s="0">
        <v>124</v>
      </c>
    </row>
    <row r="167">
      <c r="A167" t="s" s="0">
        <v>77</v>
      </c>
      <c r="B167" t="s" s="0">
        <v>77</v>
      </c>
      <c r="C167" t="s" s="0">
        <v>77</v>
      </c>
      <c r="D167" t="s" s="0">
        <v>77</v>
      </c>
      <c r="E167" t="s" s="0">
        <v>4130</v>
      </c>
      <c r="F167" t="s" s="0">
        <v>4131</v>
      </c>
      <c r="G167" t="s" s="0">
        <v>4132</v>
      </c>
      <c r="H167" t="s" s="0">
        <v>81</v>
      </c>
      <c r="I167" t="s" s="0">
        <v>82</v>
      </c>
      <c r="J167" t="s" s="0">
        <v>4133</v>
      </c>
      <c r="K167" t="s" s="0">
        <v>4134</v>
      </c>
      <c r="L167" t="s" s="0">
        <v>4135</v>
      </c>
      <c r="M167" t="s" s="0">
        <v>4136</v>
      </c>
      <c r="N167" t="s" s="0">
        <v>4137</v>
      </c>
      <c r="O167" t="s" s="0">
        <v>4138</v>
      </c>
      <c r="P167" t="s" s="0">
        <v>4139</v>
      </c>
      <c r="Q167" t="s" s="0">
        <v>90</v>
      </c>
      <c r="R167" t="s" s="0">
        <v>81</v>
      </c>
      <c r="S167" t="s" s="0">
        <v>81</v>
      </c>
      <c r="T167" t="s" s="0">
        <v>81</v>
      </c>
      <c r="U167" t="s" s="0">
        <v>81</v>
      </c>
      <c r="V167" t="s" s="0">
        <v>4140</v>
      </c>
      <c r="W167" t="s" s="0">
        <v>2082</v>
      </c>
      <c r="X167" t="s" s="0">
        <v>81</v>
      </c>
      <c r="Y167" t="s" s="0">
        <v>81</v>
      </c>
      <c r="Z167" t="s" s="0">
        <v>93</v>
      </c>
      <c r="AA167" t="s" s="0">
        <v>94</v>
      </c>
      <c r="AB167" t="s" s="0">
        <v>81</v>
      </c>
      <c r="AC167" t="s" s="0">
        <v>81</v>
      </c>
      <c r="AD167" t="s" s="0">
        <v>81</v>
      </c>
      <c r="AE167" t="s" s="0">
        <v>81</v>
      </c>
      <c r="AF167" t="s" s="0">
        <v>81</v>
      </c>
      <c r="AG167" t="s" s="0">
        <v>4141</v>
      </c>
      <c r="AH167" t="s" s="0">
        <v>81</v>
      </c>
      <c r="AI167" t="s" s="0">
        <v>81</v>
      </c>
      <c r="AJ167" t="s" s="0">
        <v>4142</v>
      </c>
      <c r="AK167" t="s" s="0">
        <v>81</v>
      </c>
      <c r="AL167" t="s" s="0">
        <v>1085</v>
      </c>
      <c r="AM167" t="s" s="0">
        <v>77</v>
      </c>
      <c r="AN167" t="s" s="0">
        <v>77</v>
      </c>
      <c r="AO167" t="s" s="0">
        <v>333</v>
      </c>
      <c r="AP167" t="s" s="0">
        <v>138</v>
      </c>
      <c r="AQ167" t="s" s="0">
        <v>588</v>
      </c>
      <c r="AR167" t="s" s="0">
        <v>589</v>
      </c>
      <c r="AS167" t="s" s="0">
        <v>590</v>
      </c>
      <c r="AT167" t="s" s="0">
        <v>2087</v>
      </c>
      <c r="AU167" t="s" s="0">
        <v>81</v>
      </c>
      <c r="AV167" t="s" s="0">
        <v>81</v>
      </c>
      <c r="AW167" t="s" s="0">
        <v>2082</v>
      </c>
      <c r="AX167" t="s" s="0">
        <v>2088</v>
      </c>
      <c r="AY167" t="s" s="0">
        <v>111</v>
      </c>
      <c r="AZ167" t="s" s="0">
        <v>111</v>
      </c>
      <c r="BA167" t="s" s="0">
        <v>117</v>
      </c>
      <c r="BB167" t="s" s="0">
        <v>81</v>
      </c>
      <c r="BC167" t="s" s="0">
        <v>81</v>
      </c>
      <c r="BD167" t="s" s="0">
        <v>81</v>
      </c>
      <c r="BE167" t="s" s="0">
        <v>81</v>
      </c>
      <c r="BF167" t="s" s="0">
        <v>81</v>
      </c>
      <c r="BG167" t="s" s="0">
        <v>4143</v>
      </c>
      <c r="BH167" t="s" s="0">
        <v>4144</v>
      </c>
      <c r="BI167" t="s" s="0">
        <v>81</v>
      </c>
      <c r="BJ167" t="s" s="0">
        <v>4145</v>
      </c>
      <c r="BK167" t="s" s="329">
        <f>HYPERLINK("http://dx.doi.org/10.1109/ACCESS.2025.3626339","http://dx.doi.org/10.1109/ACCESS.2025.3626339")</f>
        <v>4146</v>
      </c>
      <c r="BL167" t="s" s="0">
        <v>81</v>
      </c>
      <c r="BM167" t="s" s="0">
        <v>81</v>
      </c>
      <c r="BN167" t="s" s="0">
        <v>405</v>
      </c>
      <c r="BO167" t="s" s="0">
        <v>712</v>
      </c>
      <c r="BP167" t="s" s="0">
        <v>713</v>
      </c>
      <c r="BQ167" t="s" s="0">
        <v>4147</v>
      </c>
      <c r="BR167" t="s" s="0">
        <v>81</v>
      </c>
      <c r="BS167" t="s" s="0">
        <v>4148</v>
      </c>
      <c r="BT167" t="s" s="330">
        <f>HYPERLINK("https://www.webofscience.com/wos/woscc/full-record/WOS:001611725700001","View Record in Web of Science")</f>
        <v>123</v>
      </c>
      <c r="BU167" t="s" s="0">
        <v>191</v>
      </c>
      <c r="BV167" t="s" s="0">
        <v>81</v>
      </c>
      <c r="BW167" t="s" s="0">
        <v>81</v>
      </c>
      <c r="BX167" t="s" s="0">
        <v>124</v>
      </c>
    </row>
    <row r="168">
      <c r="A168" t="s" s="0">
        <v>77</v>
      </c>
      <c r="B168" t="s" s="0">
        <v>77</v>
      </c>
      <c r="C168" t="s" s="0">
        <v>77</v>
      </c>
      <c r="D168" t="s" s="0">
        <v>77</v>
      </c>
      <c r="E168" t="s" s="0">
        <v>4149</v>
      </c>
      <c r="F168" t="s" s="0">
        <v>4150</v>
      </c>
      <c r="G168" t="s" s="0">
        <v>4151</v>
      </c>
      <c r="H168" t="s" s="0">
        <v>81</v>
      </c>
      <c r="I168" t="s" s="0">
        <v>82</v>
      </c>
      <c r="J168" t="s" s="0">
        <v>4152</v>
      </c>
      <c r="K168" t="s" s="0">
        <v>4153</v>
      </c>
      <c r="L168" t="s" s="0">
        <v>4154</v>
      </c>
      <c r="M168" t="s" s="0">
        <v>4155</v>
      </c>
      <c r="N168" t="s" s="0">
        <v>4156</v>
      </c>
      <c r="O168" t="s" s="0">
        <v>4157</v>
      </c>
      <c r="P168" t="s" s="0">
        <v>4158</v>
      </c>
      <c r="Q168" t="s" s="0">
        <v>90</v>
      </c>
      <c r="R168" t="s" s="0">
        <v>81</v>
      </c>
      <c r="S168" t="s" s="0">
        <v>81</v>
      </c>
      <c r="T168" t="s" s="0">
        <v>81</v>
      </c>
      <c r="U168" t="s" s="0">
        <v>81</v>
      </c>
      <c r="V168" t="s" s="0">
        <v>4159</v>
      </c>
      <c r="W168" t="s" s="0">
        <v>4160</v>
      </c>
      <c r="X168" t="s" s="0">
        <v>81</v>
      </c>
      <c r="Y168" t="s" s="0">
        <v>81</v>
      </c>
      <c r="Z168" t="s" s="0">
        <v>93</v>
      </c>
      <c r="AA168" t="s" s="0">
        <v>94</v>
      </c>
      <c r="AB168" t="s" s="0">
        <v>81</v>
      </c>
      <c r="AC168" t="s" s="0">
        <v>81</v>
      </c>
      <c r="AD168" t="s" s="0">
        <v>81</v>
      </c>
      <c r="AE168" t="s" s="0">
        <v>81</v>
      </c>
      <c r="AF168" t="s" s="0">
        <v>81</v>
      </c>
      <c r="AG168" t="s" s="0">
        <v>4161</v>
      </c>
      <c r="AH168" t="s" s="0">
        <v>4162</v>
      </c>
      <c r="AI168" t="s" s="0">
        <v>81</v>
      </c>
      <c r="AJ168" t="s" s="0">
        <v>4163</v>
      </c>
      <c r="AK168" t="s" s="0">
        <v>81</v>
      </c>
      <c r="AL168" t="s" s="0">
        <v>587</v>
      </c>
      <c r="AM168" t="s" s="0">
        <v>137</v>
      </c>
      <c r="AN168" t="s" s="0">
        <v>137</v>
      </c>
      <c r="AO168" t="s" s="0">
        <v>77</v>
      </c>
      <c r="AP168" t="s" s="0">
        <v>138</v>
      </c>
      <c r="AQ168" t="s" s="0">
        <v>620</v>
      </c>
      <c r="AR168" t="s" s="0">
        <v>621</v>
      </c>
      <c r="AS168" t="s" s="0">
        <v>622</v>
      </c>
      <c r="AT168" t="s" s="0">
        <v>4164</v>
      </c>
      <c r="AU168" t="s" s="0">
        <v>4165</v>
      </c>
      <c r="AV168" t="s" s="0">
        <v>81</v>
      </c>
      <c r="AW168" t="s" s="0">
        <v>4166</v>
      </c>
      <c r="AX168" t="s" s="0">
        <v>4167</v>
      </c>
      <c r="AY168" t="s" s="0">
        <v>798</v>
      </c>
      <c r="AZ168" t="s" s="0">
        <v>309</v>
      </c>
      <c r="BA168" t="s" s="0">
        <v>4168</v>
      </c>
      <c r="BB168" t="s" s="0">
        <v>81</v>
      </c>
      <c r="BC168" t="s" s="0">
        <v>81</v>
      </c>
      <c r="BD168" t="s" s="0">
        <v>81</v>
      </c>
      <c r="BE168" t="s" s="0">
        <v>81</v>
      </c>
      <c r="BF168" t="s" s="0">
        <v>81</v>
      </c>
      <c r="BG168" t="s" s="0">
        <v>81</v>
      </c>
      <c r="BH168" t="s" s="0">
        <v>81</v>
      </c>
      <c r="BI168" t="s" s="0">
        <v>4169</v>
      </c>
      <c r="BJ168" t="s" s="0">
        <v>4170</v>
      </c>
      <c r="BK168" t="s" s="331">
        <f>HYPERLINK("http://dx.doi.org/10.1016/j.ejmp.2024.103359","http://dx.doi.org/10.1016/j.ejmp.2024.103359")</f>
        <v>4171</v>
      </c>
      <c r="BL168" t="s" s="0">
        <v>81</v>
      </c>
      <c r="BM168" t="s" s="0">
        <v>653</v>
      </c>
      <c r="BN168" t="s" s="0">
        <v>172</v>
      </c>
      <c r="BO168" t="s" s="0">
        <v>519</v>
      </c>
      <c r="BP168" t="s" s="0">
        <v>519</v>
      </c>
      <c r="BQ168" t="s" s="0">
        <v>4172</v>
      </c>
      <c r="BR168" t="s" s="0">
        <v>4173</v>
      </c>
      <c r="BS168" t="s" s="0">
        <v>4174</v>
      </c>
      <c r="BT168" t="s" s="332">
        <f>HYPERLINK("https://www.webofscience.com/wos/woscc/full-record/WOS:001236793600001","View Record in Web of Science")</f>
        <v>123</v>
      </c>
      <c r="BU168" t="s" s="0">
        <v>81</v>
      </c>
      <c r="BV168" t="s" s="0">
        <v>81</v>
      </c>
      <c r="BW168" t="s" s="0">
        <v>81</v>
      </c>
      <c r="BX168" t="s" s="0">
        <v>124</v>
      </c>
    </row>
    <row r="169">
      <c r="A169" t="s" s="0">
        <v>77</v>
      </c>
      <c r="B169" t="s" s="0">
        <v>77</v>
      </c>
      <c r="C169" t="s" s="0">
        <v>77</v>
      </c>
      <c r="D169" t="s" s="0">
        <v>77</v>
      </c>
      <c r="E169" t="s" s="0">
        <v>4175</v>
      </c>
      <c r="F169" t="s" s="0">
        <v>4176</v>
      </c>
      <c r="G169" t="s" s="0">
        <v>4177</v>
      </c>
      <c r="H169" t="s" s="0">
        <v>81</v>
      </c>
      <c r="I169" t="s" s="0">
        <v>82</v>
      </c>
      <c r="J169" t="s" s="0">
        <v>4178</v>
      </c>
      <c r="K169" t="s" s="0">
        <v>4179</v>
      </c>
      <c r="L169" t="s" s="0">
        <v>4180</v>
      </c>
      <c r="M169" t="s" s="0">
        <v>4180</v>
      </c>
      <c r="N169" t="s" s="0">
        <v>4181</v>
      </c>
      <c r="O169" t="s" s="0">
        <v>4182</v>
      </c>
      <c r="P169" t="s" s="0">
        <v>4183</v>
      </c>
      <c r="Q169" t="s" s="0">
        <v>90</v>
      </c>
      <c r="R169" t="s" s="0">
        <v>81</v>
      </c>
      <c r="S169" t="s" s="0">
        <v>81</v>
      </c>
      <c r="T169" t="s" s="0">
        <v>81</v>
      </c>
      <c r="U169" t="s" s="0">
        <v>81</v>
      </c>
      <c r="V169" t="s" s="0">
        <v>4184</v>
      </c>
      <c r="W169" t="s" s="0">
        <v>2082</v>
      </c>
      <c r="X169" t="s" s="0">
        <v>81</v>
      </c>
      <c r="Y169" t="s" s="0">
        <v>81</v>
      </c>
      <c r="Z169" t="s" s="0">
        <v>93</v>
      </c>
      <c r="AA169" t="s" s="0">
        <v>94</v>
      </c>
      <c r="AB169" t="s" s="0">
        <v>81</v>
      </c>
      <c r="AC169" t="s" s="0">
        <v>81</v>
      </c>
      <c r="AD169" t="s" s="0">
        <v>81</v>
      </c>
      <c r="AE169" t="s" s="0">
        <v>81</v>
      </c>
      <c r="AF169" t="s" s="0">
        <v>81</v>
      </c>
      <c r="AG169" t="s" s="0">
        <v>4185</v>
      </c>
      <c r="AH169" t="s" s="0">
        <v>81</v>
      </c>
      <c r="AI169" t="s" s="0">
        <v>81</v>
      </c>
      <c r="AJ169" t="s" s="0">
        <v>81</v>
      </c>
      <c r="AK169" t="s" s="0">
        <v>81</v>
      </c>
      <c r="AL169" t="s" s="0">
        <v>960</v>
      </c>
      <c r="AM169" t="s" s="0">
        <v>77</v>
      </c>
      <c r="AN169" t="s" s="0">
        <v>77</v>
      </c>
      <c r="AO169" t="s" s="0">
        <v>77</v>
      </c>
      <c r="AP169" t="s" s="0">
        <v>77</v>
      </c>
      <c r="AQ169" t="s" s="0">
        <v>588</v>
      </c>
      <c r="AR169" t="s" s="0">
        <v>589</v>
      </c>
      <c r="AS169" t="s" s="0">
        <v>590</v>
      </c>
      <c r="AT169" t="s" s="0">
        <v>2087</v>
      </c>
      <c r="AU169" t="s" s="0">
        <v>81</v>
      </c>
      <c r="AV169" t="s" s="0">
        <v>81</v>
      </c>
      <c r="AW169" t="s" s="0">
        <v>2082</v>
      </c>
      <c r="AX169" t="s" s="0">
        <v>2088</v>
      </c>
      <c r="AY169" t="s" s="0">
        <v>212</v>
      </c>
      <c r="AZ169" t="s" s="0">
        <v>212</v>
      </c>
      <c r="BA169" t="s" s="0">
        <v>213</v>
      </c>
      <c r="BB169" t="s" s="0">
        <v>81</v>
      </c>
      <c r="BC169" t="s" s="0">
        <v>81</v>
      </c>
      <c r="BD169" t="s" s="0">
        <v>81</v>
      </c>
      <c r="BE169" t="s" s="0">
        <v>81</v>
      </c>
      <c r="BF169" t="s" s="0">
        <v>81</v>
      </c>
      <c r="BG169" t="s" s="0">
        <v>4186</v>
      </c>
      <c r="BH169" t="s" s="0">
        <v>4187</v>
      </c>
      <c r="BI169" t="s" s="0">
        <v>81</v>
      </c>
      <c r="BJ169" t="s" s="0">
        <v>4188</v>
      </c>
      <c r="BK169" t="s" s="333">
        <f>HYPERLINK("http://dx.doi.org/10.1109/ACCESS.2026.3693953","http://dx.doi.org/10.1109/ACCESS.2026.3693953")</f>
        <v>4189</v>
      </c>
      <c r="BL169" t="s" s="0">
        <v>81</v>
      </c>
      <c r="BM169" t="s" s="0">
        <v>81</v>
      </c>
      <c r="BN169" t="s" s="0">
        <v>173</v>
      </c>
      <c r="BO169" t="s" s="0">
        <v>712</v>
      </c>
      <c r="BP169" t="s" s="0">
        <v>713</v>
      </c>
      <c r="BQ169" t="s" s="0">
        <v>4190</v>
      </c>
      <c r="BR169" t="s" s="0">
        <v>81</v>
      </c>
      <c r="BS169" t="s" s="0">
        <v>4191</v>
      </c>
      <c r="BT169" t="s" s="334">
        <f>HYPERLINK("https://www.webofscience.com/wos/woscc/full-record/WOS:001772893300024","View Record in Web of Science")</f>
        <v>123</v>
      </c>
      <c r="BU169" t="s" s="0">
        <v>191</v>
      </c>
      <c r="BV169" t="s" s="0">
        <v>81</v>
      </c>
      <c r="BW169" t="s" s="0">
        <v>81</v>
      </c>
      <c r="BX169" t="s" s="0">
        <v>124</v>
      </c>
    </row>
    <row r="170">
      <c r="A170" t="s" s="0">
        <v>77</v>
      </c>
      <c r="B170" t="s" s="0">
        <v>77</v>
      </c>
      <c r="C170" t="s" s="0">
        <v>137</v>
      </c>
      <c r="D170" t="s" s="0">
        <v>77</v>
      </c>
      <c r="E170" t="s" s="0">
        <v>4192</v>
      </c>
      <c r="F170" t="s" s="0">
        <v>4193</v>
      </c>
      <c r="G170" t="s" s="0">
        <v>4194</v>
      </c>
      <c r="H170" t="s" s="0">
        <v>81</v>
      </c>
      <c r="I170" t="s" s="0">
        <v>82</v>
      </c>
      <c r="J170" t="s" s="0">
        <v>4195</v>
      </c>
      <c r="K170" t="s" s="0">
        <v>4196</v>
      </c>
      <c r="L170" t="s" s="0">
        <v>4197</v>
      </c>
      <c r="M170" t="s" s="0">
        <v>4198</v>
      </c>
      <c r="N170" t="s" s="0">
        <v>4199</v>
      </c>
      <c r="O170" t="s" s="0">
        <v>4200</v>
      </c>
      <c r="P170" t="s" s="0">
        <v>4201</v>
      </c>
      <c r="Q170" t="s" s="0">
        <v>90</v>
      </c>
      <c r="R170" t="s" s="0">
        <v>81</v>
      </c>
      <c r="S170" t="s" s="0">
        <v>81</v>
      </c>
      <c r="T170" t="s" s="0">
        <v>81</v>
      </c>
      <c r="U170" t="s" s="0">
        <v>81</v>
      </c>
      <c r="V170" t="s" s="0">
        <v>4202</v>
      </c>
      <c r="W170" t="s" s="0">
        <v>474</v>
      </c>
      <c r="X170" t="s" s="0">
        <v>81</v>
      </c>
      <c r="Y170" t="s" s="0">
        <v>81</v>
      </c>
      <c r="Z170" t="s" s="0">
        <v>93</v>
      </c>
      <c r="AA170" t="s" s="0">
        <v>94</v>
      </c>
      <c r="AB170" t="s" s="0">
        <v>81</v>
      </c>
      <c r="AC170" t="s" s="0">
        <v>81</v>
      </c>
      <c r="AD170" t="s" s="0">
        <v>81</v>
      </c>
      <c r="AE170" t="s" s="0">
        <v>81</v>
      </c>
      <c r="AF170" t="s" s="0">
        <v>81</v>
      </c>
      <c r="AG170" t="s" s="0">
        <v>4203</v>
      </c>
      <c r="AH170" t="s" s="0">
        <v>4204</v>
      </c>
      <c r="AI170" t="s" s="0">
        <v>4205</v>
      </c>
      <c r="AJ170" t="s" s="0">
        <v>81</v>
      </c>
      <c r="AK170" t="s" s="0">
        <v>81</v>
      </c>
      <c r="AL170" t="s" s="0">
        <v>1170</v>
      </c>
      <c r="AM170" t="s" s="0">
        <v>173</v>
      </c>
      <c r="AN170" t="s" s="0">
        <v>267</v>
      </c>
      <c r="AO170" t="s" s="0">
        <v>137</v>
      </c>
      <c r="AP170" t="s" s="0">
        <v>4206</v>
      </c>
      <c r="AQ170" t="s" s="0">
        <v>140</v>
      </c>
      <c r="AR170" t="s" s="0">
        <v>141</v>
      </c>
      <c r="AS170" t="s" s="0">
        <v>142</v>
      </c>
      <c r="AT170" t="s" s="0">
        <v>479</v>
      </c>
      <c r="AU170" t="s" s="0">
        <v>480</v>
      </c>
      <c r="AV170" t="s" s="0">
        <v>81</v>
      </c>
      <c r="AW170" t="s" s="0">
        <v>481</v>
      </c>
      <c r="AX170" t="s" s="0">
        <v>482</v>
      </c>
      <c r="AY170" t="s" s="0">
        <v>4207</v>
      </c>
      <c r="AZ170" t="s" s="0">
        <v>309</v>
      </c>
      <c r="BA170" t="s" s="0">
        <v>4208</v>
      </c>
      <c r="BB170" t="s" s="0">
        <v>81</v>
      </c>
      <c r="BC170" t="s" s="0">
        <v>81</v>
      </c>
      <c r="BD170" t="s" s="0">
        <v>81</v>
      </c>
      <c r="BE170" t="s" s="0">
        <v>81</v>
      </c>
      <c r="BF170" t="s" s="0">
        <v>81</v>
      </c>
      <c r="BG170" t="s" s="0">
        <v>81</v>
      </c>
      <c r="BH170" t="s" s="0">
        <v>81</v>
      </c>
      <c r="BI170" t="s" s="0">
        <v>4209</v>
      </c>
      <c r="BJ170" t="s" s="0">
        <v>4210</v>
      </c>
      <c r="BK170" t="s" s="335">
        <f>HYPERLINK("http://dx.doi.org/10.1016/j.knosys.2024.111502","http://dx.doi.org/10.1016/j.knosys.2024.111502")</f>
        <v>4211</v>
      </c>
      <c r="BL170" t="s" s="0">
        <v>81</v>
      </c>
      <c r="BM170" t="s" s="0">
        <v>1904</v>
      </c>
      <c r="BN170" t="s" s="0">
        <v>182</v>
      </c>
      <c r="BO170" t="s" s="0">
        <v>488</v>
      </c>
      <c r="BP170" t="s" s="0">
        <v>250</v>
      </c>
      <c r="BQ170" t="s" s="0">
        <v>4212</v>
      </c>
      <c r="BR170" t="s" s="0">
        <v>81</v>
      </c>
      <c r="BS170" t="s" s="0">
        <v>4213</v>
      </c>
      <c r="BT170" t="s" s="336">
        <f>HYPERLINK("https://www.webofscience.com/wos/woscc/full-record/WOS:001194408800001","View Record in Web of Science")</f>
        <v>123</v>
      </c>
      <c r="BU170" t="s" s="0">
        <v>81</v>
      </c>
      <c r="BV170" t="s" s="0">
        <v>81</v>
      </c>
      <c r="BW170" t="s" s="0">
        <v>81</v>
      </c>
      <c r="BX170" t="s" s="0">
        <v>124</v>
      </c>
    </row>
    <row r="171">
      <c r="A171" t="s" s="0">
        <v>77</v>
      </c>
      <c r="B171" t="s" s="0">
        <v>77</v>
      </c>
      <c r="C171" t="s" s="0">
        <v>77</v>
      </c>
      <c r="D171" t="s" s="0">
        <v>77</v>
      </c>
      <c r="E171" t="s" s="0">
        <v>4214</v>
      </c>
      <c r="F171" t="s" s="0">
        <v>4215</v>
      </c>
      <c r="G171" t="s" s="0">
        <v>4216</v>
      </c>
      <c r="H171" t="s" s="0">
        <v>81</v>
      </c>
      <c r="I171" t="s" s="0">
        <v>82</v>
      </c>
      <c r="J171" t="s" s="0">
        <v>4217</v>
      </c>
      <c r="K171" t="s" s="0">
        <v>4218</v>
      </c>
      <c r="L171" t="s" s="0">
        <v>81</v>
      </c>
      <c r="M171" t="s" s="0">
        <v>81</v>
      </c>
      <c r="N171" t="s" s="0">
        <v>81</v>
      </c>
      <c r="O171" t="s" s="0">
        <v>4219</v>
      </c>
      <c r="P171" t="s" s="0">
        <v>4220</v>
      </c>
      <c r="Q171" t="s" s="0">
        <v>90</v>
      </c>
      <c r="R171" t="s" s="0">
        <v>81</v>
      </c>
      <c r="S171" t="s" s="0">
        <v>81</v>
      </c>
      <c r="T171" t="s" s="0">
        <v>81</v>
      </c>
      <c r="U171" t="s" s="0">
        <v>81</v>
      </c>
      <c r="V171" t="s" s="0">
        <v>4221</v>
      </c>
      <c r="W171" t="s" s="0">
        <v>3586</v>
      </c>
      <c r="X171" t="s" s="0">
        <v>81</v>
      </c>
      <c r="Y171" t="s" s="0">
        <v>81</v>
      </c>
      <c r="Z171" t="s" s="0">
        <v>93</v>
      </c>
      <c r="AA171" t="s" s="0">
        <v>94</v>
      </c>
      <c r="AB171" t="s" s="0">
        <v>81</v>
      </c>
      <c r="AC171" t="s" s="0">
        <v>81</v>
      </c>
      <c r="AD171" t="s" s="0">
        <v>81</v>
      </c>
      <c r="AE171" t="s" s="0">
        <v>81</v>
      </c>
      <c r="AF171" t="s" s="0">
        <v>81</v>
      </c>
      <c r="AG171" t="s" s="0">
        <v>4222</v>
      </c>
      <c r="AH171" t="s" s="0">
        <v>81</v>
      </c>
      <c r="AI171" t="s" s="0">
        <v>81</v>
      </c>
      <c r="AJ171" t="s" s="0">
        <v>81</v>
      </c>
      <c r="AK171" t="s" s="0">
        <v>81</v>
      </c>
      <c r="AL171" t="s" s="0">
        <v>1357</v>
      </c>
      <c r="AM171" t="s" s="0">
        <v>77</v>
      </c>
      <c r="AN171" t="s" s="0">
        <v>77</v>
      </c>
      <c r="AO171" t="s" s="0">
        <v>77</v>
      </c>
      <c r="AP171" t="s" s="0">
        <v>77</v>
      </c>
      <c r="AQ171" t="s" s="0">
        <v>421</v>
      </c>
      <c r="AR171" t="s" s="0">
        <v>422</v>
      </c>
      <c r="AS171" t="s" s="0">
        <v>423</v>
      </c>
      <c r="AT171" t="s" s="0">
        <v>81</v>
      </c>
      <c r="AU171" t="s" s="0">
        <v>3588</v>
      </c>
      <c r="AV171" t="s" s="0">
        <v>81</v>
      </c>
      <c r="AW171" t="s" s="0">
        <v>3589</v>
      </c>
      <c r="AX171" t="s" s="0">
        <v>3590</v>
      </c>
      <c r="AY171" t="s" s="0">
        <v>4223</v>
      </c>
      <c r="AZ171" t="s" s="0">
        <v>212</v>
      </c>
      <c r="BA171" t="s" s="0">
        <v>117</v>
      </c>
      <c r="BB171" t="s" s="0">
        <v>81</v>
      </c>
      <c r="BC171" t="s" s="0">
        <v>81</v>
      </c>
      <c r="BD171" t="s" s="0">
        <v>81</v>
      </c>
      <c r="BE171" t="s" s="0">
        <v>81</v>
      </c>
      <c r="BF171" t="s" s="0">
        <v>81</v>
      </c>
      <c r="BG171" t="s" s="0">
        <v>81</v>
      </c>
      <c r="BH171" t="s" s="0">
        <v>81</v>
      </c>
      <c r="BI171" t="s" s="0">
        <v>4224</v>
      </c>
      <c r="BJ171" t="s" s="0">
        <v>4225</v>
      </c>
      <c r="BK171" t="s" s="337">
        <f>HYPERLINK("http://dx.doi.org/10.3389/fmed.2026.1871689","http://dx.doi.org/10.3389/fmed.2026.1871689")</f>
        <v>4226</v>
      </c>
      <c r="BL171" t="s" s="0">
        <v>81</v>
      </c>
      <c r="BM171" t="s" s="0">
        <v>81</v>
      </c>
      <c r="BN171" t="s" s="0">
        <v>1110</v>
      </c>
      <c r="BO171" t="s" s="0">
        <v>3184</v>
      </c>
      <c r="BP171" t="s" s="0">
        <v>3185</v>
      </c>
      <c r="BQ171" t="s" s="0">
        <v>4227</v>
      </c>
      <c r="BR171" t="s" s="0">
        <v>81</v>
      </c>
      <c r="BS171" t="s" s="0">
        <v>4228</v>
      </c>
      <c r="BT171" t="s" s="338">
        <f>HYPERLINK("https://www.webofscience.com/wos/woscc/full-record/WOS:001845731000001","View Record in Web of Science")</f>
        <v>123</v>
      </c>
      <c r="BU171" t="s" s="0">
        <v>222</v>
      </c>
      <c r="BV171" t="s" s="0">
        <v>81</v>
      </c>
      <c r="BW171" t="s" s="0">
        <v>81</v>
      </c>
      <c r="BX171" t="s" s="0">
        <v>124</v>
      </c>
    </row>
    <row r="172">
      <c r="A172" t="s" s="0">
        <v>77</v>
      </c>
      <c r="B172" t="s" s="0">
        <v>77</v>
      </c>
      <c r="C172" t="s" s="0">
        <v>77</v>
      </c>
      <c r="D172" t="s" s="0">
        <v>77</v>
      </c>
      <c r="E172" t="s" s="0">
        <v>4229</v>
      </c>
      <c r="F172" t="s" s="0">
        <v>4230</v>
      </c>
      <c r="G172" t="s" s="0">
        <v>4231</v>
      </c>
      <c r="H172" t="s" s="0">
        <v>81</v>
      </c>
      <c r="I172" t="s" s="0">
        <v>82</v>
      </c>
      <c r="J172" t="s" s="0">
        <v>4232</v>
      </c>
      <c r="K172" t="s" s="0">
        <v>4233</v>
      </c>
      <c r="L172" t="s" s="0">
        <v>4234</v>
      </c>
      <c r="M172" t="s" s="0">
        <v>4235</v>
      </c>
      <c r="N172" t="s" s="0">
        <v>4236</v>
      </c>
      <c r="O172" t="s" s="0">
        <v>4237</v>
      </c>
      <c r="P172" t="s" s="0">
        <v>4238</v>
      </c>
      <c r="Q172" t="s" s="0">
        <v>90</v>
      </c>
      <c r="R172" t="s" s="0">
        <v>81</v>
      </c>
      <c r="S172" t="s" s="0">
        <v>81</v>
      </c>
      <c r="T172" t="s" s="0">
        <v>81</v>
      </c>
      <c r="U172" t="s" s="0">
        <v>81</v>
      </c>
      <c r="V172" t="s" s="0">
        <v>4239</v>
      </c>
      <c r="W172" t="s" s="0">
        <v>815</v>
      </c>
      <c r="X172" t="s" s="0">
        <v>81</v>
      </c>
      <c r="Y172" t="s" s="0">
        <v>81</v>
      </c>
      <c r="Z172" t="s" s="0">
        <v>93</v>
      </c>
      <c r="AA172" t="s" s="0">
        <v>94</v>
      </c>
      <c r="AB172" t="s" s="0">
        <v>81</v>
      </c>
      <c r="AC172" t="s" s="0">
        <v>81</v>
      </c>
      <c r="AD172" t="s" s="0">
        <v>81</v>
      </c>
      <c r="AE172" t="s" s="0">
        <v>81</v>
      </c>
      <c r="AF172" t="s" s="0">
        <v>81</v>
      </c>
      <c r="AG172" t="s" s="0">
        <v>4240</v>
      </c>
      <c r="AH172" t="s" s="0">
        <v>4241</v>
      </c>
      <c r="AI172" t="s" s="0">
        <v>81</v>
      </c>
      <c r="AJ172" t="s" s="0">
        <v>4242</v>
      </c>
      <c r="AK172" t="s" s="0">
        <v>81</v>
      </c>
      <c r="AL172" t="s" s="0">
        <v>2520</v>
      </c>
      <c r="AM172" t="s" s="0">
        <v>77</v>
      </c>
      <c r="AN172" t="s" s="0">
        <v>77</v>
      </c>
      <c r="AO172" t="s" s="0">
        <v>138</v>
      </c>
      <c r="AP172" t="s" s="0">
        <v>138</v>
      </c>
      <c r="AQ172" t="s" s="0">
        <v>620</v>
      </c>
      <c r="AR172" t="s" s="0">
        <v>621</v>
      </c>
      <c r="AS172" t="s" s="0">
        <v>622</v>
      </c>
      <c r="AT172" t="s" s="0">
        <v>818</v>
      </c>
      <c r="AU172" t="s" s="0">
        <v>819</v>
      </c>
      <c r="AV172" t="s" s="0">
        <v>81</v>
      </c>
      <c r="AW172" t="s" s="0">
        <v>820</v>
      </c>
      <c r="AX172" t="s" s="0">
        <v>821</v>
      </c>
      <c r="AY172" t="s" s="0">
        <v>1967</v>
      </c>
      <c r="AZ172" t="s" s="0">
        <v>212</v>
      </c>
      <c r="BA172" t="s" s="0">
        <v>4243</v>
      </c>
      <c r="BB172" t="s" s="0">
        <v>81</v>
      </c>
      <c r="BC172" t="s" s="0">
        <v>81</v>
      </c>
      <c r="BD172" t="s" s="0">
        <v>81</v>
      </c>
      <c r="BE172" t="s" s="0">
        <v>81</v>
      </c>
      <c r="BF172" t="s" s="0">
        <v>81</v>
      </c>
      <c r="BG172" t="s" s="0">
        <v>81</v>
      </c>
      <c r="BH172" t="s" s="0">
        <v>81</v>
      </c>
      <c r="BI172" t="s" s="0">
        <v>4244</v>
      </c>
      <c r="BJ172" t="s" s="0">
        <v>4245</v>
      </c>
      <c r="BK172" t="s" s="339">
        <f>HYPERLINK("http://dx.doi.org/10.1016/j.compbiolchem.2026.108972","http://dx.doi.org/10.1016/j.compbiolchem.2026.108972")</f>
        <v>4246</v>
      </c>
      <c r="BL172" t="s" s="0">
        <v>81</v>
      </c>
      <c r="BM172" t="s" s="0">
        <v>81</v>
      </c>
      <c r="BN172" t="s" s="0">
        <v>399</v>
      </c>
      <c r="BO172" t="s" s="0">
        <v>828</v>
      </c>
      <c r="BP172" t="s" s="0">
        <v>829</v>
      </c>
      <c r="BQ172" t="s" s="0">
        <v>4247</v>
      </c>
      <c r="BR172" t="s" s="0">
        <v>4248</v>
      </c>
      <c r="BS172" t="s" s="0">
        <v>4249</v>
      </c>
      <c r="BT172" t="s" s="340">
        <f>HYPERLINK("https://www.webofscience.com/wos/woscc/full-record/WOS:001703935600001","View Record in Web of Science")</f>
        <v>123</v>
      </c>
      <c r="BU172" t="s" s="0">
        <v>81</v>
      </c>
      <c r="BV172" t="s" s="0">
        <v>81</v>
      </c>
      <c r="BW172" t="s" s="0">
        <v>81</v>
      </c>
      <c r="BX172" t="s" s="0">
        <v>124</v>
      </c>
    </row>
    <row r="173">
      <c r="A173" t="s" s="0">
        <v>77</v>
      </c>
      <c r="B173" t="s" s="0">
        <v>77</v>
      </c>
      <c r="C173" t="s" s="0">
        <v>77</v>
      </c>
      <c r="D173" t="s" s="0">
        <v>77</v>
      </c>
      <c r="E173" t="s" s="0">
        <v>4250</v>
      </c>
      <c r="F173" t="s" s="0">
        <v>4251</v>
      </c>
      <c r="G173" t="s" s="0">
        <v>4252</v>
      </c>
      <c r="H173" t="s" s="0">
        <v>81</v>
      </c>
      <c r="I173" t="s" s="0">
        <v>4253</v>
      </c>
      <c r="J173" t="s" s="0">
        <v>4254</v>
      </c>
      <c r="K173" t="s" s="0">
        <v>4255</v>
      </c>
      <c r="L173" t="s" s="0">
        <v>4256</v>
      </c>
      <c r="M173" t="s" s="0">
        <v>4257</v>
      </c>
      <c r="N173" t="s" s="0">
        <v>4258</v>
      </c>
      <c r="O173" t="s" s="0">
        <v>4259</v>
      </c>
      <c r="P173" t="s" s="0">
        <v>4260</v>
      </c>
      <c r="Q173" t="s" s="0">
        <v>90</v>
      </c>
      <c r="R173" t="s" s="0">
        <v>81</v>
      </c>
      <c r="S173" t="s" s="0">
        <v>81</v>
      </c>
      <c r="T173" t="s" s="0">
        <v>81</v>
      </c>
      <c r="U173" t="s" s="0">
        <v>81</v>
      </c>
      <c r="V173" t="s" s="0">
        <v>4261</v>
      </c>
      <c r="W173" t="s" s="0">
        <v>4262</v>
      </c>
      <c r="X173" t="s" s="0">
        <v>81</v>
      </c>
      <c r="Y173" t="s" s="0">
        <v>81</v>
      </c>
      <c r="Z173" t="s" s="0">
        <v>93</v>
      </c>
      <c r="AA173" t="s" s="0">
        <v>94</v>
      </c>
      <c r="AB173" t="s" s="0">
        <v>81</v>
      </c>
      <c r="AC173" t="s" s="0">
        <v>81</v>
      </c>
      <c r="AD173" t="s" s="0">
        <v>81</v>
      </c>
      <c r="AE173" t="s" s="0">
        <v>81</v>
      </c>
      <c r="AF173" t="s" s="0">
        <v>81</v>
      </c>
      <c r="AG173" t="s" s="0">
        <v>4263</v>
      </c>
      <c r="AH173" t="s" s="0">
        <v>4264</v>
      </c>
      <c r="AI173" t="s" s="0">
        <v>81</v>
      </c>
      <c r="AJ173" t="s" s="0">
        <v>4265</v>
      </c>
      <c r="AK173" t="s" s="0">
        <v>81</v>
      </c>
      <c r="AL173" t="s" s="0">
        <v>478</v>
      </c>
      <c r="AM173" t="s" s="0">
        <v>77</v>
      </c>
      <c r="AN173" t="s" s="0">
        <v>137</v>
      </c>
      <c r="AO173" t="s" s="0">
        <v>77</v>
      </c>
      <c r="AP173" t="s" s="0">
        <v>77</v>
      </c>
      <c r="AQ173" t="s" s="0">
        <v>588</v>
      </c>
      <c r="AR173" t="s" s="0">
        <v>589</v>
      </c>
      <c r="AS173" t="s" s="0">
        <v>590</v>
      </c>
      <c r="AT173" t="s" s="0">
        <v>4266</v>
      </c>
      <c r="AU173" t="s" s="0">
        <v>4267</v>
      </c>
      <c r="AV173" t="s" s="0">
        <v>81</v>
      </c>
      <c r="AW173" t="s" s="0">
        <v>4268</v>
      </c>
      <c r="AX173" t="s" s="0">
        <v>4269</v>
      </c>
      <c r="AY173" t="s" s="0">
        <v>827</v>
      </c>
      <c r="AZ173" t="s" s="0">
        <v>212</v>
      </c>
      <c r="BA173" t="s" s="0">
        <v>1217</v>
      </c>
      <c r="BB173" t="s" s="0">
        <v>183</v>
      </c>
      <c r="BC173" t="s" s="0">
        <v>81</v>
      </c>
      <c r="BD173" t="s" s="0">
        <v>81</v>
      </c>
      <c r="BE173" t="s" s="0">
        <v>81</v>
      </c>
      <c r="BF173" t="s" s="0">
        <v>81</v>
      </c>
      <c r="BG173" t="s" s="0">
        <v>4270</v>
      </c>
      <c r="BH173" t="s" s="0">
        <v>4271</v>
      </c>
      <c r="BI173" t="s" s="0">
        <v>81</v>
      </c>
      <c r="BJ173" t="s" s="0">
        <v>4272</v>
      </c>
      <c r="BK173" t="s" s="341">
        <f>HYPERLINK("http://dx.doi.org/10.1109/TMI.2026.3681722","http://dx.doi.org/10.1109/TMI.2026.3681722")</f>
        <v>4273</v>
      </c>
      <c r="BL173" t="s" s="0">
        <v>81</v>
      </c>
      <c r="BM173" t="s" s="0">
        <v>81</v>
      </c>
      <c r="BN173" t="s" s="0">
        <v>182</v>
      </c>
      <c r="BO173" t="s" s="0">
        <v>4274</v>
      </c>
      <c r="BP173" t="s" s="0">
        <v>4275</v>
      </c>
      <c r="BQ173" t="s" s="0">
        <v>4276</v>
      </c>
      <c r="BR173" t="s" s="0">
        <v>4277</v>
      </c>
      <c r="BS173" t="s" s="0">
        <v>4278</v>
      </c>
      <c r="BT173" t="s" s="342">
        <f>HYPERLINK("https://www.webofscience.com/wos/woscc/full-record/WOS:001841529200043","View Record in Web of Science")</f>
        <v>123</v>
      </c>
      <c r="BU173" t="s" s="0">
        <v>523</v>
      </c>
      <c r="BV173" t="s" s="0">
        <v>81</v>
      </c>
      <c r="BW173" t="s" s="0">
        <v>81</v>
      </c>
      <c r="BX173" t="s" s="0">
        <v>124</v>
      </c>
    </row>
    <row r="174">
      <c r="A174" t="s" s="0">
        <v>77</v>
      </c>
      <c r="B174" t="s" s="0">
        <v>77</v>
      </c>
      <c r="C174" t="s" s="0">
        <v>137</v>
      </c>
      <c r="D174" t="s" s="0">
        <v>77</v>
      </c>
      <c r="E174" t="s" s="0">
        <v>4279</v>
      </c>
      <c r="F174" t="s" s="0">
        <v>4280</v>
      </c>
      <c r="G174" t="s" s="0">
        <v>4281</v>
      </c>
      <c r="H174" t="s" s="0">
        <v>81</v>
      </c>
      <c r="I174" t="s" s="0">
        <v>2724</v>
      </c>
      <c r="J174" t="s" s="0">
        <v>4282</v>
      </c>
      <c r="K174" t="s" s="0">
        <v>4283</v>
      </c>
      <c r="L174" t="s" s="0">
        <v>4284</v>
      </c>
      <c r="M174" t="s" s="0">
        <v>4285</v>
      </c>
      <c r="N174" t="s" s="0">
        <v>4286</v>
      </c>
      <c r="O174" t="s" s="0">
        <v>4287</v>
      </c>
      <c r="P174" t="s" s="0">
        <v>4288</v>
      </c>
      <c r="Q174" t="s" s="0">
        <v>90</v>
      </c>
      <c r="R174" t="s" s="0">
        <v>81</v>
      </c>
      <c r="S174" t="s" s="0">
        <v>81</v>
      </c>
      <c r="T174" t="s" s="0">
        <v>81</v>
      </c>
      <c r="U174" t="s" s="0">
        <v>81</v>
      </c>
      <c r="V174" t="s" s="0">
        <v>4289</v>
      </c>
      <c r="W174" t="s" s="0">
        <v>4290</v>
      </c>
      <c r="X174" t="s" s="0">
        <v>81</v>
      </c>
      <c r="Y174" t="s" s="0">
        <v>81</v>
      </c>
      <c r="Z174" t="s" s="0">
        <v>93</v>
      </c>
      <c r="AA174" t="s" s="0">
        <v>94</v>
      </c>
      <c r="AB174" t="s" s="0">
        <v>81</v>
      </c>
      <c r="AC174" t="s" s="0">
        <v>81</v>
      </c>
      <c r="AD174" t="s" s="0">
        <v>81</v>
      </c>
      <c r="AE174" t="s" s="0">
        <v>81</v>
      </c>
      <c r="AF174" t="s" s="0">
        <v>81</v>
      </c>
      <c r="AG174" t="s" s="0">
        <v>4291</v>
      </c>
      <c r="AH174" t="s" s="0">
        <v>81</v>
      </c>
      <c r="AI174" t="s" s="0">
        <v>4292</v>
      </c>
      <c r="AJ174" t="s" s="0">
        <v>4293</v>
      </c>
      <c r="AK174" t="s" s="0">
        <v>81</v>
      </c>
      <c r="AL174" t="s" s="0">
        <v>1652</v>
      </c>
      <c r="AM174" t="s" s="0">
        <v>172</v>
      </c>
      <c r="AN174" t="s" s="0">
        <v>152</v>
      </c>
      <c r="AO174" t="s" s="0">
        <v>152</v>
      </c>
      <c r="AP174" t="s" s="0">
        <v>4097</v>
      </c>
      <c r="AQ174" t="s" s="0">
        <v>140</v>
      </c>
      <c r="AR174" t="s" s="0">
        <v>141</v>
      </c>
      <c r="AS174" t="s" s="0">
        <v>142</v>
      </c>
      <c r="AT174" t="s" s="0">
        <v>4294</v>
      </c>
      <c r="AU174" t="s" s="0">
        <v>4295</v>
      </c>
      <c r="AV174" t="s" s="0">
        <v>81</v>
      </c>
      <c r="AW174" t="s" s="0">
        <v>4296</v>
      </c>
      <c r="AX174" t="s" s="0">
        <v>4297</v>
      </c>
      <c r="AY174" t="s" s="0">
        <v>4298</v>
      </c>
      <c r="AZ174" t="s" s="0">
        <v>111</v>
      </c>
      <c r="BA174" t="s" s="0">
        <v>1138</v>
      </c>
      <c r="BB174" t="s" s="0">
        <v>81</v>
      </c>
      <c r="BC174" t="s" s="0">
        <v>81</v>
      </c>
      <c r="BD174" t="s" s="0">
        <v>81</v>
      </c>
      <c r="BE174" t="s" s="0">
        <v>81</v>
      </c>
      <c r="BF174" t="s" s="0">
        <v>81</v>
      </c>
      <c r="BG174" t="s" s="0">
        <v>81</v>
      </c>
      <c r="BH174" t="s" s="0">
        <v>81</v>
      </c>
      <c r="BI174" t="s" s="0">
        <v>4299</v>
      </c>
      <c r="BJ174" t="s" s="0">
        <v>4300</v>
      </c>
      <c r="BK174" t="s" s="343">
        <f>HYPERLINK("http://dx.doi.org/10.1016/j.elerap.2025.101485","http://dx.doi.org/10.1016/j.elerap.2025.101485")</f>
        <v>4301</v>
      </c>
      <c r="BL174" t="s" s="0">
        <v>81</v>
      </c>
      <c r="BM174" t="s" s="0">
        <v>404</v>
      </c>
      <c r="BN174" t="s" s="0">
        <v>182</v>
      </c>
      <c r="BO174" t="s" s="0">
        <v>4302</v>
      </c>
      <c r="BP174" t="s" s="0">
        <v>4303</v>
      </c>
      <c r="BQ174" t="s" s="0">
        <v>4304</v>
      </c>
      <c r="BR174" t="s" s="0">
        <v>81</v>
      </c>
      <c r="BS174" t="s" s="0">
        <v>4305</v>
      </c>
      <c r="BT174" t="s" s="344">
        <f>HYPERLINK("https://www.webofscience.com/wos/woscc/full-record/WOS:001426085100001","View Record in Web of Science")</f>
        <v>123</v>
      </c>
      <c r="BU174" t="s" s="0">
        <v>81</v>
      </c>
      <c r="BV174" t="s" s="0">
        <v>81</v>
      </c>
      <c r="BW174" t="s" s="0">
        <v>81</v>
      </c>
      <c r="BX174" t="s" s="0">
        <v>124</v>
      </c>
    </row>
    <row r="175">
      <c r="A175" t="s" s="0">
        <v>77</v>
      </c>
      <c r="B175" t="s" s="0">
        <v>77</v>
      </c>
      <c r="C175" t="s" s="0">
        <v>77</v>
      </c>
      <c r="D175" t="s" s="0">
        <v>77</v>
      </c>
      <c r="E175" t="s" s="0">
        <v>4306</v>
      </c>
      <c r="F175" t="s" s="0">
        <v>4307</v>
      </c>
      <c r="G175" t="s" s="0">
        <v>4308</v>
      </c>
      <c r="H175" t="s" s="0">
        <v>81</v>
      </c>
      <c r="I175" t="s" s="0">
        <v>82</v>
      </c>
      <c r="J175" t="s" s="0">
        <v>4309</v>
      </c>
      <c r="K175" t="s" s="0">
        <v>4310</v>
      </c>
      <c r="L175" t="s" s="0">
        <v>4311</v>
      </c>
      <c r="M175" t="s" s="0">
        <v>4312</v>
      </c>
      <c r="N175" t="s" s="0">
        <v>4313</v>
      </c>
      <c r="O175" t="s" s="0">
        <v>4314</v>
      </c>
      <c r="P175" t="s" s="0">
        <v>4315</v>
      </c>
      <c r="Q175" t="s" s="0">
        <v>90</v>
      </c>
      <c r="R175" t="s" s="0">
        <v>81</v>
      </c>
      <c r="S175" t="s" s="0">
        <v>81</v>
      </c>
      <c r="T175" t="s" s="0">
        <v>81</v>
      </c>
      <c r="U175" t="s" s="0">
        <v>81</v>
      </c>
      <c r="V175" t="s" s="0">
        <v>4316</v>
      </c>
      <c r="W175" t="s" s="0">
        <v>1254</v>
      </c>
      <c r="X175" t="s" s="0">
        <v>81</v>
      </c>
      <c r="Y175" t="s" s="0">
        <v>81</v>
      </c>
      <c r="Z175" t="s" s="0">
        <v>93</v>
      </c>
      <c r="AA175" t="s" s="0">
        <v>94</v>
      </c>
      <c r="AB175" t="s" s="0">
        <v>81</v>
      </c>
      <c r="AC175" t="s" s="0">
        <v>81</v>
      </c>
      <c r="AD175" t="s" s="0">
        <v>81</v>
      </c>
      <c r="AE175" t="s" s="0">
        <v>81</v>
      </c>
      <c r="AF175" t="s" s="0">
        <v>81</v>
      </c>
      <c r="AG175" t="s" s="0">
        <v>4317</v>
      </c>
      <c r="AH175" t="s" s="0">
        <v>4318</v>
      </c>
      <c r="AI175" t="s" s="0">
        <v>4319</v>
      </c>
      <c r="AJ175" t="s" s="0">
        <v>81</v>
      </c>
      <c r="AK175" t="s" s="0">
        <v>81</v>
      </c>
      <c r="AL175" t="s" s="0">
        <v>4206</v>
      </c>
      <c r="AM175" t="s" s="0">
        <v>101</v>
      </c>
      <c r="AN175" t="s" s="0">
        <v>101</v>
      </c>
      <c r="AO175" t="s" s="0">
        <v>301</v>
      </c>
      <c r="AP175" t="s" s="0">
        <v>405</v>
      </c>
      <c r="AQ175" t="s" s="0">
        <v>620</v>
      </c>
      <c r="AR175" t="s" s="0">
        <v>621</v>
      </c>
      <c r="AS175" t="s" s="0">
        <v>622</v>
      </c>
      <c r="AT175" t="s" s="0">
        <v>1256</v>
      </c>
      <c r="AU175" t="s" s="0">
        <v>1257</v>
      </c>
      <c r="AV175" t="s" s="0">
        <v>81</v>
      </c>
      <c r="AW175" t="s" s="0">
        <v>1258</v>
      </c>
      <c r="AX175" t="s" s="0">
        <v>1259</v>
      </c>
      <c r="AY175" t="s" s="0">
        <v>1221</v>
      </c>
      <c r="AZ175" t="s" s="0">
        <v>212</v>
      </c>
      <c r="BA175" t="s" s="0">
        <v>3773</v>
      </c>
      <c r="BB175" t="s" s="0">
        <v>81</v>
      </c>
      <c r="BC175" t="s" s="0">
        <v>81</v>
      </c>
      <c r="BD175" t="s" s="0">
        <v>3475</v>
      </c>
      <c r="BE175" t="s" s="0">
        <v>81</v>
      </c>
      <c r="BF175" t="s" s="0">
        <v>81</v>
      </c>
      <c r="BG175" t="s" s="0">
        <v>81</v>
      </c>
      <c r="BH175" t="s" s="0">
        <v>81</v>
      </c>
      <c r="BI175" t="s" s="0">
        <v>4320</v>
      </c>
      <c r="BJ175" t="s" s="0">
        <v>4321</v>
      </c>
      <c r="BK175" t="s" s="345">
        <f>HYPERLINK("http://dx.doi.org/10.1016/j.bspc.2025.108458","http://dx.doi.org/10.1016/j.bspc.2025.108458")</f>
        <v>4322</v>
      </c>
      <c r="BL175" t="s" s="0">
        <v>81</v>
      </c>
      <c r="BM175" t="s" s="0">
        <v>404</v>
      </c>
      <c r="BN175" t="s" s="0">
        <v>895</v>
      </c>
      <c r="BO175" t="s" s="0">
        <v>1265</v>
      </c>
      <c r="BP175" t="s" s="0">
        <v>219</v>
      </c>
      <c r="BQ175" t="s" s="0">
        <v>4323</v>
      </c>
      <c r="BR175" t="s" s="0">
        <v>81</v>
      </c>
      <c r="BS175" t="s" s="0">
        <v>4324</v>
      </c>
      <c r="BT175" t="s" s="346">
        <f>HYPERLINK("https://www.webofscience.com/wos/woscc/full-record/WOS:001561880300001","View Record in Web of Science")</f>
        <v>123</v>
      </c>
      <c r="BU175" t="s" s="0">
        <v>157</v>
      </c>
      <c r="BV175" t="s" s="0">
        <v>81</v>
      </c>
      <c r="BW175" t="s" s="0">
        <v>81</v>
      </c>
      <c r="BX175" t="s" s="0">
        <v>124</v>
      </c>
    </row>
    <row r="176">
      <c r="A176" t="s" s="0">
        <v>77</v>
      </c>
      <c r="B176" t="s" s="0">
        <v>77</v>
      </c>
      <c r="C176" t="s" s="0">
        <v>77</v>
      </c>
      <c r="D176" t="s" s="0">
        <v>77</v>
      </c>
      <c r="E176" t="s" s="0">
        <v>4325</v>
      </c>
      <c r="F176" t="s" s="0">
        <v>4326</v>
      </c>
      <c r="G176" t="s" s="0">
        <v>4327</v>
      </c>
      <c r="H176" t="s" s="0">
        <v>81</v>
      </c>
      <c r="I176" t="s" s="0">
        <v>82</v>
      </c>
      <c r="J176" t="s" s="0">
        <v>4328</v>
      </c>
      <c r="K176" t="s" s="0">
        <v>4329</v>
      </c>
      <c r="L176" t="s" s="0">
        <v>4330</v>
      </c>
      <c r="M176" t="s" s="0">
        <v>4331</v>
      </c>
      <c r="N176" t="s" s="0">
        <v>4332</v>
      </c>
      <c r="O176" t="s" s="0">
        <v>4333</v>
      </c>
      <c r="P176" t="s" s="0">
        <v>4334</v>
      </c>
      <c r="Q176" t="s" s="0">
        <v>90</v>
      </c>
      <c r="R176" t="s" s="0">
        <v>81</v>
      </c>
      <c r="S176" t="s" s="0">
        <v>81</v>
      </c>
      <c r="T176" t="s" s="0">
        <v>81</v>
      </c>
      <c r="U176" t="s" s="0">
        <v>81</v>
      </c>
      <c r="V176" t="s" s="0">
        <v>4335</v>
      </c>
      <c r="W176" t="s" s="0">
        <v>1254</v>
      </c>
      <c r="X176" t="s" s="0">
        <v>81</v>
      </c>
      <c r="Y176" t="s" s="0">
        <v>81</v>
      </c>
      <c r="Z176" t="s" s="0">
        <v>93</v>
      </c>
      <c r="AA176" t="s" s="0">
        <v>94</v>
      </c>
      <c r="AB176" t="s" s="0">
        <v>81</v>
      </c>
      <c r="AC176" t="s" s="0">
        <v>81</v>
      </c>
      <c r="AD176" t="s" s="0">
        <v>81</v>
      </c>
      <c r="AE176" t="s" s="0">
        <v>81</v>
      </c>
      <c r="AF176" t="s" s="0">
        <v>81</v>
      </c>
      <c r="AG176" t="s" s="0">
        <v>4336</v>
      </c>
      <c r="AH176" t="s" s="0">
        <v>4337</v>
      </c>
      <c r="AI176" t="s" s="0">
        <v>4338</v>
      </c>
      <c r="AJ176" t="s" s="0">
        <v>81</v>
      </c>
      <c r="AK176" t="s" s="0">
        <v>81</v>
      </c>
      <c r="AL176" t="s" s="0">
        <v>850</v>
      </c>
      <c r="AM176" t="s" s="0">
        <v>77</v>
      </c>
      <c r="AN176" t="s" s="0">
        <v>77</v>
      </c>
      <c r="AO176" t="s" s="0">
        <v>158</v>
      </c>
      <c r="AP176" t="s" s="0">
        <v>158</v>
      </c>
      <c r="AQ176" t="s" s="0">
        <v>620</v>
      </c>
      <c r="AR176" t="s" s="0">
        <v>621</v>
      </c>
      <c r="AS176" t="s" s="0">
        <v>622</v>
      </c>
      <c r="AT176" t="s" s="0">
        <v>1256</v>
      </c>
      <c r="AU176" t="s" s="0">
        <v>1257</v>
      </c>
      <c r="AV176" t="s" s="0">
        <v>81</v>
      </c>
      <c r="AW176" t="s" s="0">
        <v>1258</v>
      </c>
      <c r="AX176" t="s" s="0">
        <v>1259</v>
      </c>
      <c r="AY176" t="s" s="0">
        <v>4339</v>
      </c>
      <c r="AZ176" t="s" s="0">
        <v>212</v>
      </c>
      <c r="BA176" t="s" s="0">
        <v>4168</v>
      </c>
      <c r="BB176" t="s" s="0">
        <v>81</v>
      </c>
      <c r="BC176" t="s" s="0">
        <v>81</v>
      </c>
      <c r="BD176" t="s" s="0">
        <v>81</v>
      </c>
      <c r="BE176" t="s" s="0">
        <v>81</v>
      </c>
      <c r="BF176" t="s" s="0">
        <v>81</v>
      </c>
      <c r="BG176" t="s" s="0">
        <v>81</v>
      </c>
      <c r="BH176" t="s" s="0">
        <v>81</v>
      </c>
      <c r="BI176" t="s" s="0">
        <v>4340</v>
      </c>
      <c r="BJ176" t="s" s="0">
        <v>4341</v>
      </c>
      <c r="BK176" t="s" s="347">
        <f>HYPERLINK("http://dx.doi.org/10.1016/j.bspc.2026.110388","http://dx.doi.org/10.1016/j.bspc.2026.110388")</f>
        <v>4342</v>
      </c>
      <c r="BL176" t="s" s="0">
        <v>81</v>
      </c>
      <c r="BM176" t="s" s="0">
        <v>81</v>
      </c>
      <c r="BN176" t="s" s="0">
        <v>213</v>
      </c>
      <c r="BO176" t="s" s="0">
        <v>1265</v>
      </c>
      <c r="BP176" t="s" s="0">
        <v>219</v>
      </c>
      <c r="BQ176" t="s" s="0">
        <v>4343</v>
      </c>
      <c r="BR176" t="s" s="0">
        <v>81</v>
      </c>
      <c r="BS176" t="s" s="0">
        <v>4344</v>
      </c>
      <c r="BT176" t="s" s="348">
        <f>HYPERLINK("https://www.webofscience.com/wos/woscc/full-record/WOS:001756203600001","View Record in Web of Science")</f>
        <v>123</v>
      </c>
      <c r="BU176" t="s" s="0">
        <v>81</v>
      </c>
      <c r="BV176" t="s" s="0">
        <v>81</v>
      </c>
      <c r="BW176" t="s" s="0">
        <v>81</v>
      </c>
      <c r="BX176" t="s" s="0">
        <v>124</v>
      </c>
    </row>
    <row r="177">
      <c r="A177" t="s" s="0">
        <v>77</v>
      </c>
      <c r="B177" t="s" s="0">
        <v>77</v>
      </c>
      <c r="C177" t="s" s="0">
        <v>77</v>
      </c>
      <c r="D177" t="s" s="0">
        <v>77</v>
      </c>
      <c r="E177" t="s" s="0">
        <v>4345</v>
      </c>
      <c r="F177" t="s" s="0">
        <v>4346</v>
      </c>
      <c r="G177" t="s" s="0">
        <v>4347</v>
      </c>
      <c r="H177" t="s" s="0">
        <v>81</v>
      </c>
      <c r="I177" t="s" s="0">
        <v>82</v>
      </c>
      <c r="J177" t="s" s="0">
        <v>4348</v>
      </c>
      <c r="K177" t="s" s="0">
        <v>4349</v>
      </c>
      <c r="L177" t="s" s="0">
        <v>4350</v>
      </c>
      <c r="M177" t="s" s="0">
        <v>4351</v>
      </c>
      <c r="N177" t="s" s="0">
        <v>4352</v>
      </c>
      <c r="O177" t="s" s="0">
        <v>4353</v>
      </c>
      <c r="P177" t="s" s="0">
        <v>4354</v>
      </c>
      <c r="Q177" t="s" s="0">
        <v>90</v>
      </c>
      <c r="R177" t="s" s="0">
        <v>81</v>
      </c>
      <c r="S177" t="s" s="0">
        <v>81</v>
      </c>
      <c r="T177" t="s" s="0">
        <v>81</v>
      </c>
      <c r="U177" t="s" s="0">
        <v>81</v>
      </c>
      <c r="V177" t="s" s="0">
        <v>4355</v>
      </c>
      <c r="W177" t="s" s="0">
        <v>4356</v>
      </c>
      <c r="X177" t="s" s="0">
        <v>81</v>
      </c>
      <c r="Y177" t="s" s="0">
        <v>81</v>
      </c>
      <c r="Z177" t="s" s="0">
        <v>93</v>
      </c>
      <c r="AA177" t="s" s="0">
        <v>94</v>
      </c>
      <c r="AB177" t="s" s="0">
        <v>81</v>
      </c>
      <c r="AC177" t="s" s="0">
        <v>81</v>
      </c>
      <c r="AD177" t="s" s="0">
        <v>81</v>
      </c>
      <c r="AE177" t="s" s="0">
        <v>81</v>
      </c>
      <c r="AF177" t="s" s="0">
        <v>81</v>
      </c>
      <c r="AG177" t="s" s="0">
        <v>4357</v>
      </c>
      <c r="AH177" t="s" s="0">
        <v>4358</v>
      </c>
      <c r="AI177" t="s" s="0">
        <v>4359</v>
      </c>
      <c r="AJ177" t="s" s="0">
        <v>4360</v>
      </c>
      <c r="AK177" t="s" s="0">
        <v>81</v>
      </c>
      <c r="AL177" t="s" s="0">
        <v>2040</v>
      </c>
      <c r="AM177" t="s" s="0">
        <v>333</v>
      </c>
      <c r="AN177" t="s" s="0">
        <v>183</v>
      </c>
      <c r="AO177" t="s" s="0">
        <v>333</v>
      </c>
      <c r="AP177" t="s" s="0">
        <v>102</v>
      </c>
      <c r="AQ177" t="s" s="0">
        <v>620</v>
      </c>
      <c r="AR177" t="s" s="0">
        <v>621</v>
      </c>
      <c r="AS177" t="s" s="0">
        <v>622</v>
      </c>
      <c r="AT177" t="s" s="0">
        <v>4361</v>
      </c>
      <c r="AU177" t="s" s="0">
        <v>4362</v>
      </c>
      <c r="AV177" t="s" s="0">
        <v>81</v>
      </c>
      <c r="AW177" t="s" s="0">
        <v>4363</v>
      </c>
      <c r="AX177" t="s" s="0">
        <v>4364</v>
      </c>
      <c r="AY177" t="s" s="0">
        <v>547</v>
      </c>
      <c r="AZ177" t="s" s="0">
        <v>111</v>
      </c>
      <c r="BA177" t="s" s="0">
        <v>3830</v>
      </c>
      <c r="BB177" t="s" s="0">
        <v>81</v>
      </c>
      <c r="BC177" t="s" s="0">
        <v>81</v>
      </c>
      <c r="BD177" t="s" s="0">
        <v>81</v>
      </c>
      <c r="BE177" t="s" s="0">
        <v>81</v>
      </c>
      <c r="BF177" t="s" s="0">
        <v>81</v>
      </c>
      <c r="BG177" t="s" s="0">
        <v>81</v>
      </c>
      <c r="BH177" t="s" s="0">
        <v>81</v>
      </c>
      <c r="BI177" t="s" s="0">
        <v>4365</v>
      </c>
      <c r="BJ177" t="s" s="0">
        <v>4366</v>
      </c>
      <c r="BK177" t="s" s="349">
        <f>HYPERLINK("http://dx.doi.org/10.1016/j.soildyn.2025.109430","http://dx.doi.org/10.1016/j.soildyn.2025.109430")</f>
        <v>4367</v>
      </c>
      <c r="BL177" t="s" s="0">
        <v>81</v>
      </c>
      <c r="BM177" t="s" s="0">
        <v>1861</v>
      </c>
      <c r="BN177" t="s" s="0">
        <v>152</v>
      </c>
      <c r="BO177" t="s" s="0">
        <v>4368</v>
      </c>
      <c r="BP177" t="s" s="0">
        <v>4369</v>
      </c>
      <c r="BQ177" t="s" s="0">
        <v>4370</v>
      </c>
      <c r="BR177" t="s" s="0">
        <v>81</v>
      </c>
      <c r="BS177" t="s" s="0">
        <v>4371</v>
      </c>
      <c r="BT177" t="s" s="350">
        <f>HYPERLINK("https://www.webofscience.com/wos/woscc/full-record/WOS:001465536400001","View Record in Web of Science")</f>
        <v>123</v>
      </c>
      <c r="BU177" t="s" s="0">
        <v>81</v>
      </c>
      <c r="BV177" t="s" s="0">
        <v>81</v>
      </c>
      <c r="BW177" t="s" s="0">
        <v>81</v>
      </c>
      <c r="BX177" t="s" s="0">
        <v>124</v>
      </c>
    </row>
    <row r="178">
      <c r="A178" t="s" s="0">
        <v>77</v>
      </c>
      <c r="B178" t="s" s="0">
        <v>77</v>
      </c>
      <c r="C178" t="s" s="0">
        <v>77</v>
      </c>
      <c r="D178" t="s" s="0">
        <v>77</v>
      </c>
      <c r="E178" t="s" s="0">
        <v>4372</v>
      </c>
      <c r="F178" t="s" s="0">
        <v>4373</v>
      </c>
      <c r="G178" t="s" s="0">
        <v>4374</v>
      </c>
      <c r="H178" t="s" s="0">
        <v>81</v>
      </c>
      <c r="I178" t="s" s="0">
        <v>82</v>
      </c>
      <c r="J178" t="s" s="0">
        <v>4375</v>
      </c>
      <c r="K178" t="s" s="0">
        <v>4376</v>
      </c>
      <c r="L178" t="s" s="0">
        <v>4377</v>
      </c>
      <c r="M178" t="s" s="0">
        <v>4378</v>
      </c>
      <c r="N178" t="s" s="0">
        <v>4379</v>
      </c>
      <c r="O178" t="s" s="0">
        <v>4380</v>
      </c>
      <c r="P178" t="s" s="0">
        <v>4381</v>
      </c>
      <c r="Q178" t="s" s="0">
        <v>90</v>
      </c>
      <c r="R178" t="s" s="0">
        <v>81</v>
      </c>
      <c r="S178" t="s" s="0">
        <v>81</v>
      </c>
      <c r="T178" t="s" s="0">
        <v>81</v>
      </c>
      <c r="U178" t="s" s="0">
        <v>81</v>
      </c>
      <c r="V178" t="s" s="0">
        <v>4382</v>
      </c>
      <c r="W178" t="s" s="0">
        <v>1254</v>
      </c>
      <c r="X178" t="s" s="0">
        <v>81</v>
      </c>
      <c r="Y178" t="s" s="0">
        <v>81</v>
      </c>
      <c r="Z178" t="s" s="0">
        <v>93</v>
      </c>
      <c r="AA178" t="s" s="0">
        <v>94</v>
      </c>
      <c r="AB178" t="s" s="0">
        <v>81</v>
      </c>
      <c r="AC178" t="s" s="0">
        <v>81</v>
      </c>
      <c r="AD178" t="s" s="0">
        <v>81</v>
      </c>
      <c r="AE178" t="s" s="0">
        <v>81</v>
      </c>
      <c r="AF178" t="s" s="0">
        <v>81</v>
      </c>
      <c r="AG178" t="s" s="0">
        <v>4383</v>
      </c>
      <c r="AH178" t="s" s="0">
        <v>4384</v>
      </c>
      <c r="AI178" t="s" s="0">
        <v>81</v>
      </c>
      <c r="AJ178" t="s" s="0">
        <v>81</v>
      </c>
      <c r="AK178" t="s" s="0">
        <v>81</v>
      </c>
      <c r="AL178" t="s" s="0">
        <v>1747</v>
      </c>
      <c r="AM178" t="s" s="0">
        <v>77</v>
      </c>
      <c r="AN178" t="s" s="0">
        <v>77</v>
      </c>
      <c r="AO178" t="s" s="0">
        <v>183</v>
      </c>
      <c r="AP178" t="s" s="0">
        <v>183</v>
      </c>
      <c r="AQ178" t="s" s="0">
        <v>620</v>
      </c>
      <c r="AR178" t="s" s="0">
        <v>621</v>
      </c>
      <c r="AS178" t="s" s="0">
        <v>622</v>
      </c>
      <c r="AT178" t="s" s="0">
        <v>1256</v>
      </c>
      <c r="AU178" t="s" s="0">
        <v>1257</v>
      </c>
      <c r="AV178" t="s" s="0">
        <v>81</v>
      </c>
      <c r="AW178" t="s" s="0">
        <v>1258</v>
      </c>
      <c r="AX178" t="s" s="0">
        <v>1259</v>
      </c>
      <c r="AY178" t="s" s="0">
        <v>4078</v>
      </c>
      <c r="AZ178" t="s" s="0">
        <v>212</v>
      </c>
      <c r="BA178" t="s" s="0">
        <v>1090</v>
      </c>
      <c r="BB178" t="s" s="0">
        <v>81</v>
      </c>
      <c r="BC178" t="s" s="0">
        <v>81</v>
      </c>
      <c r="BD178" t="s" s="0">
        <v>81</v>
      </c>
      <c r="BE178" t="s" s="0">
        <v>81</v>
      </c>
      <c r="BF178" t="s" s="0">
        <v>81</v>
      </c>
      <c r="BG178" t="s" s="0">
        <v>81</v>
      </c>
      <c r="BH178" t="s" s="0">
        <v>81</v>
      </c>
      <c r="BI178" t="s" s="0">
        <v>4385</v>
      </c>
      <c r="BJ178" t="s" s="0">
        <v>4386</v>
      </c>
      <c r="BK178" t="s" s="351">
        <f>HYPERLINK("http://dx.doi.org/10.1016/j.bspc.2026.109672","http://dx.doi.org/10.1016/j.bspc.2026.109672")</f>
        <v>4387</v>
      </c>
      <c r="BL178" t="s" s="0">
        <v>81</v>
      </c>
      <c r="BM178" t="s" s="0">
        <v>763</v>
      </c>
      <c r="BN178" t="s" s="0">
        <v>461</v>
      </c>
      <c r="BO178" t="s" s="0">
        <v>1265</v>
      </c>
      <c r="BP178" t="s" s="0">
        <v>219</v>
      </c>
      <c r="BQ178" t="s" s="0">
        <v>4388</v>
      </c>
      <c r="BR178" t="s" s="0">
        <v>81</v>
      </c>
      <c r="BS178" t="s" s="0">
        <v>4389</v>
      </c>
      <c r="BT178" t="s" s="352">
        <f>HYPERLINK("https://www.webofscience.com/wos/woscc/full-record/WOS:001677400400001","View Record in Web of Science")</f>
        <v>123</v>
      </c>
      <c r="BU178" t="s" s="0">
        <v>81</v>
      </c>
      <c r="BV178" t="s" s="0">
        <v>81</v>
      </c>
      <c r="BW178" t="s" s="0">
        <v>81</v>
      </c>
      <c r="BX178" t="s" s="0">
        <v>124</v>
      </c>
    </row>
    <row r="179">
      <c r="A179" t="s" s="0">
        <v>77</v>
      </c>
      <c r="B179" t="s" s="0">
        <v>77</v>
      </c>
      <c r="C179" t="s" s="0">
        <v>77</v>
      </c>
      <c r="D179" t="s" s="0">
        <v>77</v>
      </c>
      <c r="E179" t="s" s="0">
        <v>4390</v>
      </c>
      <c r="F179" t="s" s="0">
        <v>4391</v>
      </c>
      <c r="G179" t="s" s="0">
        <v>4392</v>
      </c>
      <c r="H179" t="s" s="0">
        <v>81</v>
      </c>
      <c r="I179" t="s" s="0">
        <v>82</v>
      </c>
      <c r="J179" t="s" s="0">
        <v>4393</v>
      </c>
      <c r="K179" t="s" s="0">
        <v>4394</v>
      </c>
      <c r="L179" t="s" s="0">
        <v>4395</v>
      </c>
      <c r="M179" t="s" s="0">
        <v>4395</v>
      </c>
      <c r="N179" t="s" s="0">
        <v>497</v>
      </c>
      <c r="O179" t="s" s="0">
        <v>4396</v>
      </c>
      <c r="P179" t="s" s="0">
        <v>4397</v>
      </c>
      <c r="Q179" t="s" s="0">
        <v>90</v>
      </c>
      <c r="R179" t="s" s="0">
        <v>81</v>
      </c>
      <c r="S179" t="s" s="0">
        <v>81</v>
      </c>
      <c r="T179" t="s" s="0">
        <v>81</v>
      </c>
      <c r="U179" t="s" s="0">
        <v>81</v>
      </c>
      <c r="V179" t="s" s="0">
        <v>4398</v>
      </c>
      <c r="W179" t="s" s="0">
        <v>4399</v>
      </c>
      <c r="X179" t="s" s="0">
        <v>81</v>
      </c>
      <c r="Y179" t="s" s="0">
        <v>81</v>
      </c>
      <c r="Z179" t="s" s="0">
        <v>93</v>
      </c>
      <c r="AA179" t="s" s="0">
        <v>94</v>
      </c>
      <c r="AB179" t="s" s="0">
        <v>81</v>
      </c>
      <c r="AC179" t="s" s="0">
        <v>81</v>
      </c>
      <c r="AD179" t="s" s="0">
        <v>81</v>
      </c>
      <c r="AE179" t="s" s="0">
        <v>81</v>
      </c>
      <c r="AF179" t="s" s="0">
        <v>81</v>
      </c>
      <c r="AG179" t="s" s="0">
        <v>4400</v>
      </c>
      <c r="AH179" t="s" s="0">
        <v>4401</v>
      </c>
      <c r="AI179" t="s" s="0">
        <v>4402</v>
      </c>
      <c r="AJ179" t="s" s="0">
        <v>4403</v>
      </c>
      <c r="AK179" t="s" s="0">
        <v>81</v>
      </c>
      <c r="AL179" t="s" s="0">
        <v>1218</v>
      </c>
      <c r="AM179" t="s" s="0">
        <v>399</v>
      </c>
      <c r="AN179" t="s" s="0">
        <v>172</v>
      </c>
      <c r="AO179" t="s" s="0">
        <v>137</v>
      </c>
      <c r="AP179" t="s" s="0">
        <v>1110</v>
      </c>
      <c r="AQ179" t="s" s="0">
        <v>588</v>
      </c>
      <c r="AR179" t="s" s="0">
        <v>589</v>
      </c>
      <c r="AS179" t="s" s="0">
        <v>590</v>
      </c>
      <c r="AT179" t="s" s="0">
        <v>4404</v>
      </c>
      <c r="AU179" t="s" s="0">
        <v>4405</v>
      </c>
      <c r="AV179" t="s" s="0">
        <v>81</v>
      </c>
      <c r="AW179" t="s" s="0">
        <v>4406</v>
      </c>
      <c r="AX179" t="s" s="0">
        <v>4407</v>
      </c>
      <c r="AY179" t="s" s="0">
        <v>4408</v>
      </c>
      <c r="AZ179" t="s" s="0">
        <v>309</v>
      </c>
      <c r="BA179" t="s" s="0">
        <v>2989</v>
      </c>
      <c r="BB179" t="s" s="0">
        <v>137</v>
      </c>
      <c r="BC179" t="s" s="0">
        <v>81</v>
      </c>
      <c r="BD179" t="s" s="0">
        <v>81</v>
      </c>
      <c r="BE179" t="s" s="0">
        <v>81</v>
      </c>
      <c r="BF179" t="s" s="0">
        <v>81</v>
      </c>
      <c r="BG179" t="s" s="0">
        <v>4409</v>
      </c>
      <c r="BH179" t="s" s="0">
        <v>4410</v>
      </c>
      <c r="BI179" t="s" s="0">
        <v>81</v>
      </c>
      <c r="BJ179" t="s" s="0">
        <v>4411</v>
      </c>
      <c r="BK179" t="s" s="353">
        <f>HYPERLINK("http://dx.doi.org/10.1109/TVT.2023.3308093","http://dx.doi.org/10.1109/TVT.2023.3308093")</f>
        <v>4412</v>
      </c>
      <c r="BL179" t="s" s="0">
        <v>81</v>
      </c>
      <c r="BM179" t="s" s="0">
        <v>81</v>
      </c>
      <c r="BN179" t="s" s="0">
        <v>102</v>
      </c>
      <c r="BO179" t="s" s="0">
        <v>4413</v>
      </c>
      <c r="BP179" t="s" s="0">
        <v>4414</v>
      </c>
      <c r="BQ179" t="s" s="0">
        <v>4415</v>
      </c>
      <c r="BR179" t="s" s="0">
        <v>81</v>
      </c>
      <c r="BS179" t="s" s="0">
        <v>4416</v>
      </c>
      <c r="BT179" t="s" s="354">
        <f>HYPERLINK("https://www.webofscience.com/wos/woscc/full-record/WOS:001166813500057","View Record in Web of Science")</f>
        <v>123</v>
      </c>
      <c r="BU179" t="s" s="0">
        <v>81</v>
      </c>
      <c r="BV179" t="s" s="0">
        <v>81</v>
      </c>
      <c r="BW179" t="s" s="0">
        <v>81</v>
      </c>
      <c r="BX179" t="s" s="0">
        <v>124</v>
      </c>
    </row>
    <row r="180">
      <c r="A180" t="s" s="0">
        <v>77</v>
      </c>
      <c r="B180" t="s" s="0">
        <v>77</v>
      </c>
      <c r="C180" t="s" s="0">
        <v>77</v>
      </c>
      <c r="D180" t="s" s="0">
        <v>77</v>
      </c>
      <c r="E180" t="s" s="0">
        <v>4417</v>
      </c>
      <c r="F180" t="s" s="0">
        <v>4418</v>
      </c>
      <c r="G180" t="s" s="0">
        <v>4419</v>
      </c>
      <c r="H180" t="s" s="0">
        <v>81</v>
      </c>
      <c r="I180" t="s" s="0">
        <v>195</v>
      </c>
      <c r="J180" t="s" s="0">
        <v>4420</v>
      </c>
      <c r="K180" t="s" s="0">
        <v>4421</v>
      </c>
      <c r="L180" t="s" s="0">
        <v>81</v>
      </c>
      <c r="M180" t="s" s="0">
        <v>81</v>
      </c>
      <c r="N180" t="s" s="0">
        <v>81</v>
      </c>
      <c r="O180" t="s" s="0">
        <v>4422</v>
      </c>
      <c r="P180" t="s" s="0">
        <v>81</v>
      </c>
      <c r="Q180" t="s" s="0">
        <v>90</v>
      </c>
      <c r="R180" t="s" s="0">
        <v>81</v>
      </c>
      <c r="S180" t="s" s="0">
        <v>81</v>
      </c>
      <c r="T180" t="s" s="0">
        <v>81</v>
      </c>
      <c r="U180" t="s" s="0">
        <v>81</v>
      </c>
      <c r="V180" t="s" s="0">
        <v>4423</v>
      </c>
      <c r="W180" t="s" s="0">
        <v>4424</v>
      </c>
      <c r="X180" t="s" s="0">
        <v>81</v>
      </c>
      <c r="Y180" t="s" s="0">
        <v>81</v>
      </c>
      <c r="Z180" t="s" s="0">
        <v>93</v>
      </c>
      <c r="AA180" t="s" s="0">
        <v>94</v>
      </c>
      <c r="AB180" t="s" s="0">
        <v>81</v>
      </c>
      <c r="AC180" t="s" s="0">
        <v>81</v>
      </c>
      <c r="AD180" t="s" s="0">
        <v>81</v>
      </c>
      <c r="AE180" t="s" s="0">
        <v>81</v>
      </c>
      <c r="AF180" t="s" s="0">
        <v>81</v>
      </c>
      <c r="AG180" t="s" s="0">
        <v>4425</v>
      </c>
      <c r="AH180" t="s" s="0">
        <v>4426</v>
      </c>
      <c r="AI180" t="s" s="0">
        <v>81</v>
      </c>
      <c r="AJ180" t="s" s="0">
        <v>81</v>
      </c>
      <c r="AK180" t="s" s="0">
        <v>81</v>
      </c>
      <c r="AL180" t="s" s="0">
        <v>1331</v>
      </c>
      <c r="AM180" t="s" s="0">
        <v>77</v>
      </c>
      <c r="AN180" t="s" s="0">
        <v>77</v>
      </c>
      <c r="AO180" t="s" s="0">
        <v>137</v>
      </c>
      <c r="AP180" t="s" s="0">
        <v>137</v>
      </c>
      <c r="AQ180" t="s" s="0">
        <v>4427</v>
      </c>
      <c r="AR180" t="s" s="0">
        <v>4428</v>
      </c>
      <c r="AS180" t="s" s="0">
        <v>4429</v>
      </c>
      <c r="AT180" t="s" s="0">
        <v>4430</v>
      </c>
      <c r="AU180" t="s" s="0">
        <v>4431</v>
      </c>
      <c r="AV180" t="s" s="0">
        <v>81</v>
      </c>
      <c r="AW180" t="s" s="0">
        <v>4432</v>
      </c>
      <c r="AX180" t="s" s="0">
        <v>4433</v>
      </c>
      <c r="AY180" t="s" s="0">
        <v>111</v>
      </c>
      <c r="AZ180" t="s" s="0">
        <v>111</v>
      </c>
      <c r="BA180" t="s" s="0">
        <v>461</v>
      </c>
      <c r="BB180" t="s" s="0">
        <v>137</v>
      </c>
      <c r="BC180" t="s" s="0">
        <v>81</v>
      </c>
      <c r="BD180" t="s" s="0">
        <v>81</v>
      </c>
      <c r="BE180" t="s" s="0">
        <v>81</v>
      </c>
      <c r="BF180" t="s" s="0">
        <v>81</v>
      </c>
      <c r="BG180" t="s" s="0">
        <v>81</v>
      </c>
      <c r="BH180" t="s" s="0">
        <v>81</v>
      </c>
      <c r="BI180" t="s" s="0">
        <v>4434</v>
      </c>
      <c r="BJ180" t="s" s="0">
        <v>4435</v>
      </c>
      <c r="BK180" t="s" s="355">
        <f>HYPERLINK("http://dx.doi.org/10.4018/IJITSA.393876","http://dx.doi.org/10.4018/IJITSA.393876")</f>
        <v>4436</v>
      </c>
      <c r="BL180" t="s" s="0">
        <v>81</v>
      </c>
      <c r="BM180" t="s" s="0">
        <v>81</v>
      </c>
      <c r="BN180" t="s" s="0">
        <v>895</v>
      </c>
      <c r="BO180" t="s" s="0">
        <v>1409</v>
      </c>
      <c r="BP180" t="s" s="0">
        <v>250</v>
      </c>
      <c r="BQ180" t="s" s="0">
        <v>4437</v>
      </c>
      <c r="BR180" t="s" s="0">
        <v>81</v>
      </c>
      <c r="BS180" t="s" s="0">
        <v>4438</v>
      </c>
      <c r="BT180" t="s" s="356">
        <f>HYPERLINK("https://www.webofscience.com/wos/woscc/full-record/WOS:001668116000001","View Record in Web of Science")</f>
        <v>123</v>
      </c>
      <c r="BU180" t="s" s="0">
        <v>157</v>
      </c>
      <c r="BV180" t="s" s="0">
        <v>81</v>
      </c>
      <c r="BW180" t="s" s="0">
        <v>81</v>
      </c>
      <c r="BX180" t="s" s="0">
        <v>124</v>
      </c>
    </row>
    <row r="181">
      <c r="A181" t="s" s="0">
        <v>77</v>
      </c>
      <c r="B181" t="s" s="0">
        <v>77</v>
      </c>
      <c r="C181" t="s" s="0">
        <v>77</v>
      </c>
      <c r="D181" t="s" s="0">
        <v>77</v>
      </c>
      <c r="E181" t="s" s="0">
        <v>4439</v>
      </c>
      <c r="F181" t="s" s="0">
        <v>4440</v>
      </c>
      <c r="G181" t="s" s="0">
        <v>4441</v>
      </c>
      <c r="H181" t="s" s="0">
        <v>81</v>
      </c>
      <c r="I181" t="s" s="0">
        <v>82</v>
      </c>
      <c r="J181" t="s" s="0">
        <v>4442</v>
      </c>
      <c r="K181" t="s" s="0">
        <v>4443</v>
      </c>
      <c r="L181" t="s" s="0">
        <v>4444</v>
      </c>
      <c r="M181" t="s" s="0">
        <v>199</v>
      </c>
      <c r="N181" t="s" s="0">
        <v>4445</v>
      </c>
      <c r="O181" t="s" s="0">
        <v>4446</v>
      </c>
      <c r="P181" t="s" s="0">
        <v>4447</v>
      </c>
      <c r="Q181" t="s" s="0">
        <v>90</v>
      </c>
      <c r="R181" t="s" s="0">
        <v>81</v>
      </c>
      <c r="S181" t="s" s="0">
        <v>81</v>
      </c>
      <c r="T181" t="s" s="0">
        <v>81</v>
      </c>
      <c r="U181" t="s" s="0">
        <v>81</v>
      </c>
      <c r="V181" t="s" s="0">
        <v>4448</v>
      </c>
      <c r="W181" t="s" s="0">
        <v>4449</v>
      </c>
      <c r="X181" t="s" s="0">
        <v>81</v>
      </c>
      <c r="Y181" t="s" s="0">
        <v>81</v>
      </c>
      <c r="Z181" t="s" s="0">
        <v>93</v>
      </c>
      <c r="AA181" t="s" s="0">
        <v>94</v>
      </c>
      <c r="AB181" t="s" s="0">
        <v>81</v>
      </c>
      <c r="AC181" t="s" s="0">
        <v>81</v>
      </c>
      <c r="AD181" t="s" s="0">
        <v>81</v>
      </c>
      <c r="AE181" t="s" s="0">
        <v>81</v>
      </c>
      <c r="AF181" t="s" s="0">
        <v>81</v>
      </c>
      <c r="AG181" t="s" s="0">
        <v>81</v>
      </c>
      <c r="AH181" t="s" s="0">
        <v>1136</v>
      </c>
      <c r="AI181" t="s" s="0">
        <v>4450</v>
      </c>
      <c r="AJ181" t="s" s="0">
        <v>4451</v>
      </c>
      <c r="AK181" t="s" s="0">
        <v>81</v>
      </c>
      <c r="AL181" t="s" s="0">
        <v>300</v>
      </c>
      <c r="AM181" t="s" s="0">
        <v>137</v>
      </c>
      <c r="AN181" t="s" s="0">
        <v>137</v>
      </c>
      <c r="AO181" t="s" s="0">
        <v>333</v>
      </c>
      <c r="AP181" t="s" s="0">
        <v>399</v>
      </c>
      <c r="AQ181" t="s" s="0">
        <v>4452</v>
      </c>
      <c r="AR181" t="s" s="0">
        <v>4453</v>
      </c>
      <c r="AS181" t="s" s="0">
        <v>4454</v>
      </c>
      <c r="AT181" t="s" s="0">
        <v>4455</v>
      </c>
      <c r="AU181" t="s" s="0">
        <v>4456</v>
      </c>
      <c r="AV181" t="s" s="0">
        <v>81</v>
      </c>
      <c r="AW181" t="s" s="0">
        <v>4457</v>
      </c>
      <c r="AX181" t="s" s="0">
        <v>4458</v>
      </c>
      <c r="AY181" t="s" s="0">
        <v>4459</v>
      </c>
      <c r="AZ181" t="s" s="0">
        <v>212</v>
      </c>
      <c r="BA181" t="s" s="0">
        <v>207</v>
      </c>
      <c r="BB181" t="s" s="0">
        <v>137</v>
      </c>
      <c r="BC181" t="s" s="0">
        <v>81</v>
      </c>
      <c r="BD181" t="s" s="0">
        <v>81</v>
      </c>
      <c r="BE181" t="s" s="0">
        <v>81</v>
      </c>
      <c r="BF181" t="s" s="0">
        <v>81</v>
      </c>
      <c r="BG181" t="s" s="0">
        <v>81</v>
      </c>
      <c r="BH181" t="s" s="0">
        <v>81</v>
      </c>
      <c r="BI181" t="s" s="0">
        <v>4460</v>
      </c>
      <c r="BJ181" t="s" s="0">
        <v>4461</v>
      </c>
      <c r="BK181" t="s" s="357">
        <f>HYPERLINK("http://dx.doi.org/10.1061/JCCEE5.CPENG-7075","http://dx.doi.org/10.1061/JCCEE5.CPENG-7075")</f>
        <v>4462</v>
      </c>
      <c r="BL181" t="s" s="0">
        <v>81</v>
      </c>
      <c r="BM181" t="s" s="0">
        <v>81</v>
      </c>
      <c r="BN181" t="s" s="0">
        <v>213</v>
      </c>
      <c r="BO181" t="s" s="0">
        <v>4463</v>
      </c>
      <c r="BP181" t="s" s="0">
        <v>633</v>
      </c>
      <c r="BQ181" t="s" s="0">
        <v>4464</v>
      </c>
      <c r="BR181" t="s" s="0">
        <v>81</v>
      </c>
      <c r="BS181" t="s" s="0">
        <v>4465</v>
      </c>
      <c r="BT181" t="s" s="358">
        <f>HYPERLINK("https://www.webofscience.com/wos/woscc/full-record/WOS:001617963100011","View Record in Web of Science")</f>
        <v>123</v>
      </c>
      <c r="BU181" t="s" s="0">
        <v>81</v>
      </c>
      <c r="BV181" t="s" s="0">
        <v>81</v>
      </c>
      <c r="BW181" t="s" s="0">
        <v>81</v>
      </c>
      <c r="BX181" t="s" s="0">
        <v>124</v>
      </c>
    </row>
    <row r="182">
      <c r="A182" t="s" s="0">
        <v>77</v>
      </c>
      <c r="B182" t="s" s="0">
        <v>77</v>
      </c>
      <c r="C182" t="s" s="0">
        <v>77</v>
      </c>
      <c r="D182" t="s" s="0">
        <v>77</v>
      </c>
      <c r="E182" t="s" s="0">
        <v>4466</v>
      </c>
      <c r="F182" t="s" s="0">
        <v>4467</v>
      </c>
      <c r="G182" t="s" s="0">
        <v>4468</v>
      </c>
      <c r="H182" t="s" s="0">
        <v>81</v>
      </c>
      <c r="I182" t="s" s="0">
        <v>82</v>
      </c>
      <c r="J182" t="s" s="0">
        <v>4469</v>
      </c>
      <c r="K182" t="s" s="0">
        <v>4470</v>
      </c>
      <c r="L182" t="s" s="0">
        <v>4471</v>
      </c>
      <c r="M182" t="s" s="0">
        <v>4472</v>
      </c>
      <c r="N182" t="s" s="0">
        <v>4473</v>
      </c>
      <c r="O182" t="s" s="0">
        <v>4474</v>
      </c>
      <c r="P182" t="s" s="0">
        <v>4475</v>
      </c>
      <c r="Q182" t="s" s="0">
        <v>90</v>
      </c>
      <c r="R182" t="s" s="0">
        <v>81</v>
      </c>
      <c r="S182" t="s" s="0">
        <v>81</v>
      </c>
      <c r="T182" t="s" s="0">
        <v>81</v>
      </c>
      <c r="U182" t="s" s="0">
        <v>81</v>
      </c>
      <c r="V182" t="s" s="0">
        <v>4476</v>
      </c>
      <c r="W182" t="s" s="0">
        <v>4477</v>
      </c>
      <c r="X182" t="s" s="0">
        <v>81</v>
      </c>
      <c r="Y182" t="s" s="0">
        <v>81</v>
      </c>
      <c r="Z182" t="s" s="0">
        <v>93</v>
      </c>
      <c r="AA182" t="s" s="0">
        <v>94</v>
      </c>
      <c r="AB182" t="s" s="0">
        <v>81</v>
      </c>
      <c r="AC182" t="s" s="0">
        <v>81</v>
      </c>
      <c r="AD182" t="s" s="0">
        <v>81</v>
      </c>
      <c r="AE182" t="s" s="0">
        <v>81</v>
      </c>
      <c r="AF182" t="s" s="0">
        <v>81</v>
      </c>
      <c r="AG182" t="s" s="0">
        <v>4478</v>
      </c>
      <c r="AH182" t="s" s="0">
        <v>4479</v>
      </c>
      <c r="AI182" t="s" s="0">
        <v>4480</v>
      </c>
      <c r="AJ182" t="s" s="0">
        <v>4481</v>
      </c>
      <c r="AK182" t="s" s="0">
        <v>81</v>
      </c>
      <c r="AL182" t="s" s="0">
        <v>1331</v>
      </c>
      <c r="AM182" t="s" s="0">
        <v>158</v>
      </c>
      <c r="AN182" t="s" s="0">
        <v>158</v>
      </c>
      <c r="AO182" t="s" s="0">
        <v>137</v>
      </c>
      <c r="AP182" t="s" s="0">
        <v>1110</v>
      </c>
      <c r="AQ182" t="s" s="0">
        <v>4482</v>
      </c>
      <c r="AR182" t="s" s="0">
        <v>4483</v>
      </c>
      <c r="AS182" t="s" s="0">
        <v>4484</v>
      </c>
      <c r="AT182" t="s" s="0">
        <v>81</v>
      </c>
      <c r="AU182" t="s" s="0">
        <v>4485</v>
      </c>
      <c r="AV182" t="s" s="0">
        <v>81</v>
      </c>
      <c r="AW182" t="s" s="0">
        <v>4486</v>
      </c>
      <c r="AX182" t="s" s="0">
        <v>4487</v>
      </c>
      <c r="AY182" t="s" s="0">
        <v>4488</v>
      </c>
      <c r="AZ182" t="s" s="0">
        <v>309</v>
      </c>
      <c r="BA182" t="s" s="0">
        <v>213</v>
      </c>
      <c r="BB182" t="s" s="0">
        <v>81</v>
      </c>
      <c r="BC182" t="s" s="0">
        <v>81</v>
      </c>
      <c r="BD182" t="s" s="0">
        <v>81</v>
      </c>
      <c r="BE182" t="s" s="0">
        <v>81</v>
      </c>
      <c r="BF182" t="s" s="0">
        <v>81</v>
      </c>
      <c r="BG182" t="s" s="0">
        <v>81</v>
      </c>
      <c r="BH182" t="s" s="0">
        <v>81</v>
      </c>
      <c r="BI182" t="s" s="0">
        <v>1357</v>
      </c>
      <c r="BJ182" t="s" s="0">
        <v>4489</v>
      </c>
      <c r="BK182" t="s" s="359">
        <f>HYPERLINK("http://dx.doi.org/10.22967/HCIS.2024.14.047","http://dx.doi.org/10.22967/HCIS.2024.14.047")</f>
        <v>4490</v>
      </c>
      <c r="BL182" t="s" s="0">
        <v>81</v>
      </c>
      <c r="BM182" t="s" s="0">
        <v>81</v>
      </c>
      <c r="BN182" t="s" s="0">
        <v>652</v>
      </c>
      <c r="BO182" t="s" s="0">
        <v>1409</v>
      </c>
      <c r="BP182" t="s" s="0">
        <v>250</v>
      </c>
      <c r="BQ182" t="s" s="0">
        <v>4491</v>
      </c>
      <c r="BR182" t="s" s="0">
        <v>81</v>
      </c>
      <c r="BS182" t="s" s="0">
        <v>4492</v>
      </c>
      <c r="BT182" t="s" s="360">
        <f>HYPERLINK("https://www.webofscience.com/wos/woscc/full-record/WOS:001363020100001","View Record in Web of Science")</f>
        <v>123</v>
      </c>
      <c r="BU182" t="s" s="0">
        <v>81</v>
      </c>
      <c r="BV182" t="s" s="0">
        <v>81</v>
      </c>
      <c r="BW182" t="s" s="0">
        <v>81</v>
      </c>
      <c r="BX182" t="s" s="0">
        <v>124</v>
      </c>
    </row>
    <row r="183">
      <c r="A183" t="s" s="0">
        <v>77</v>
      </c>
      <c r="B183" t="s" s="0">
        <v>77</v>
      </c>
      <c r="C183" t="s" s="0">
        <v>77</v>
      </c>
      <c r="D183" t="s" s="0">
        <v>77</v>
      </c>
      <c r="E183" t="s" s="0">
        <v>4493</v>
      </c>
      <c r="F183" t="s" s="0">
        <v>4494</v>
      </c>
      <c r="G183" t="s" s="0">
        <v>4495</v>
      </c>
      <c r="H183" t="s" s="0">
        <v>81</v>
      </c>
      <c r="I183" t="s" s="0">
        <v>82</v>
      </c>
      <c r="J183" t="s" s="0">
        <v>4496</v>
      </c>
      <c r="K183" t="s" s="0">
        <v>4497</v>
      </c>
      <c r="L183" t="s" s="0">
        <v>81</v>
      </c>
      <c r="M183" t="s" s="0">
        <v>81</v>
      </c>
      <c r="N183" t="s" s="0">
        <v>81</v>
      </c>
      <c r="O183" t="s" s="0">
        <v>4498</v>
      </c>
      <c r="P183" t="s" s="0">
        <v>4499</v>
      </c>
      <c r="Q183" t="s" s="0">
        <v>90</v>
      </c>
      <c r="R183" t="s" s="0">
        <v>81</v>
      </c>
      <c r="S183" t="s" s="0">
        <v>81</v>
      </c>
      <c r="T183" t="s" s="0">
        <v>81</v>
      </c>
      <c r="U183" t="s" s="0">
        <v>81</v>
      </c>
      <c r="V183" t="s" s="0">
        <v>4500</v>
      </c>
      <c r="W183" t="s" s="0">
        <v>4501</v>
      </c>
      <c r="X183" t="s" s="0">
        <v>81</v>
      </c>
      <c r="Y183" t="s" s="0">
        <v>81</v>
      </c>
      <c r="Z183" t="s" s="0">
        <v>93</v>
      </c>
      <c r="AA183" t="s" s="0">
        <v>94</v>
      </c>
      <c r="AB183" t="s" s="0">
        <v>81</v>
      </c>
      <c r="AC183" t="s" s="0">
        <v>81</v>
      </c>
      <c r="AD183" t="s" s="0">
        <v>81</v>
      </c>
      <c r="AE183" t="s" s="0">
        <v>81</v>
      </c>
      <c r="AF183" t="s" s="0">
        <v>81</v>
      </c>
      <c r="AG183" t="s" s="0">
        <v>4502</v>
      </c>
      <c r="AH183" t="s" s="0">
        <v>4503</v>
      </c>
      <c r="AI183" t="s" s="0">
        <v>4504</v>
      </c>
      <c r="AJ183" t="s" s="0">
        <v>4505</v>
      </c>
      <c r="AK183" t="s" s="0">
        <v>81</v>
      </c>
      <c r="AL183" t="s" s="0">
        <v>1331</v>
      </c>
      <c r="AM183" t="s" s="0">
        <v>100</v>
      </c>
      <c r="AN183" t="s" s="0">
        <v>100</v>
      </c>
      <c r="AO183" t="s" s="0">
        <v>172</v>
      </c>
      <c r="AP183" t="s" s="0">
        <v>300</v>
      </c>
      <c r="AQ183" t="s" s="0">
        <v>786</v>
      </c>
      <c r="AR183" t="s" s="0">
        <v>787</v>
      </c>
      <c r="AS183" t="s" s="0">
        <v>788</v>
      </c>
      <c r="AT183" t="s" s="0">
        <v>4506</v>
      </c>
      <c r="AU183" t="s" s="0">
        <v>4507</v>
      </c>
      <c r="AV183" t="s" s="0">
        <v>81</v>
      </c>
      <c r="AW183" t="s" s="0">
        <v>4508</v>
      </c>
      <c r="AX183" t="s" s="0">
        <v>4509</v>
      </c>
      <c r="AY183" t="s" s="0">
        <v>920</v>
      </c>
      <c r="AZ183" t="s" s="0">
        <v>111</v>
      </c>
      <c r="BA183" t="s" s="0">
        <v>148</v>
      </c>
      <c r="BB183" t="s" s="0">
        <v>81</v>
      </c>
      <c r="BC183" t="s" s="0">
        <v>81</v>
      </c>
      <c r="BD183" t="s" s="0">
        <v>81</v>
      </c>
      <c r="BE183" t="s" s="0">
        <v>81</v>
      </c>
      <c r="BF183" t="s" s="0">
        <v>81</v>
      </c>
      <c r="BG183" t="s" s="0">
        <v>81</v>
      </c>
      <c r="BH183" t="s" s="0">
        <v>81</v>
      </c>
      <c r="BI183" t="s" s="0">
        <v>4510</v>
      </c>
      <c r="BJ183" t="s" s="0">
        <v>4511</v>
      </c>
      <c r="BK183" t="s" s="361">
        <f>HYPERLINK("http://dx.doi.org/10.1016/j.ijrmms.2025.106225","http://dx.doi.org/10.1016/j.ijrmms.2025.106225")</f>
        <v>4512</v>
      </c>
      <c r="BL183" t="s" s="0">
        <v>81</v>
      </c>
      <c r="BM183" t="s" s="0">
        <v>116</v>
      </c>
      <c r="BN183" t="s" s="0">
        <v>213</v>
      </c>
      <c r="BO183" t="s" s="0">
        <v>4513</v>
      </c>
      <c r="BP183" t="s" s="0">
        <v>4514</v>
      </c>
      <c r="BQ183" t="s" s="0">
        <v>4515</v>
      </c>
      <c r="BR183" t="s" s="0">
        <v>81</v>
      </c>
      <c r="BS183" t="s" s="0">
        <v>4516</v>
      </c>
      <c r="BT183" t="s" s="362">
        <f>HYPERLINK("https://www.webofscience.com/wos/woscc/full-record/WOS:001545545500002","View Record in Web of Science")</f>
        <v>123</v>
      </c>
      <c r="BU183" t="s" s="0">
        <v>81</v>
      </c>
      <c r="BV183" t="s" s="0">
        <v>81</v>
      </c>
      <c r="BW183" t="s" s="0">
        <v>81</v>
      </c>
      <c r="BX183" t="s" s="0">
        <v>124</v>
      </c>
    </row>
    <row r="184">
      <c r="A184" t="s" s="0">
        <v>77</v>
      </c>
      <c r="B184" t="s" s="0">
        <v>77</v>
      </c>
      <c r="C184" t="s" s="0">
        <v>137</v>
      </c>
      <c r="D184" t="s" s="0">
        <v>77</v>
      </c>
      <c r="E184" t="s" s="0">
        <v>4517</v>
      </c>
      <c r="F184" t="s" s="0">
        <v>4518</v>
      </c>
      <c r="G184" t="s" s="0">
        <v>4519</v>
      </c>
      <c r="H184" t="s" s="0">
        <v>81</v>
      </c>
      <c r="I184" t="s" s="0">
        <v>82</v>
      </c>
      <c r="J184" t="s" s="0">
        <v>4520</v>
      </c>
      <c r="K184" t="s" s="0">
        <v>4521</v>
      </c>
      <c r="L184" t="s" s="0">
        <v>4522</v>
      </c>
      <c r="M184" t="s" s="0">
        <v>4523</v>
      </c>
      <c r="N184" t="s" s="0">
        <v>4524</v>
      </c>
      <c r="O184" t="s" s="0">
        <v>4525</v>
      </c>
      <c r="P184" t="s" s="0">
        <v>4526</v>
      </c>
      <c r="Q184" t="s" s="0">
        <v>90</v>
      </c>
      <c r="R184" t="s" s="0">
        <v>81</v>
      </c>
      <c r="S184" t="s" s="0">
        <v>81</v>
      </c>
      <c r="T184" t="s" s="0">
        <v>81</v>
      </c>
      <c r="U184" t="s" s="0">
        <v>81</v>
      </c>
      <c r="V184" t="s" s="0">
        <v>4527</v>
      </c>
      <c r="W184" t="s" s="0">
        <v>4528</v>
      </c>
      <c r="X184" t="s" s="0">
        <v>81</v>
      </c>
      <c r="Y184" t="s" s="0">
        <v>81</v>
      </c>
      <c r="Z184" t="s" s="0">
        <v>93</v>
      </c>
      <c r="AA184" t="s" s="0">
        <v>94</v>
      </c>
      <c r="AB184" t="s" s="0">
        <v>81</v>
      </c>
      <c r="AC184" t="s" s="0">
        <v>81</v>
      </c>
      <c r="AD184" t="s" s="0">
        <v>81</v>
      </c>
      <c r="AE184" t="s" s="0">
        <v>81</v>
      </c>
      <c r="AF184" t="s" s="0">
        <v>81</v>
      </c>
      <c r="AG184" t="s" s="0">
        <v>4529</v>
      </c>
      <c r="AH184" t="s" s="0">
        <v>4530</v>
      </c>
      <c r="AI184" t="s" s="0">
        <v>4531</v>
      </c>
      <c r="AJ184" t="s" s="0">
        <v>4532</v>
      </c>
      <c r="AK184" t="s" s="0">
        <v>81</v>
      </c>
      <c r="AL184" t="s" s="0">
        <v>1330</v>
      </c>
      <c r="AM184" t="s" s="0">
        <v>399</v>
      </c>
      <c r="AN184" t="s" s="0">
        <v>399</v>
      </c>
      <c r="AO184" t="s" s="0">
        <v>101</v>
      </c>
      <c r="AP184" t="s" s="0">
        <v>100</v>
      </c>
      <c r="AQ184" t="s" s="0">
        <v>4533</v>
      </c>
      <c r="AR184" t="s" s="0">
        <v>1545</v>
      </c>
      <c r="AS184" t="s" s="0">
        <v>4534</v>
      </c>
      <c r="AT184" t="s" s="0">
        <v>4535</v>
      </c>
      <c r="AU184" t="s" s="0">
        <v>4536</v>
      </c>
      <c r="AV184" t="s" s="0">
        <v>81</v>
      </c>
      <c r="AW184" t="s" s="0">
        <v>4537</v>
      </c>
      <c r="AX184" t="s" s="0">
        <v>4538</v>
      </c>
      <c r="AY184" t="s" s="0">
        <v>741</v>
      </c>
      <c r="AZ184" t="s" s="0">
        <v>111</v>
      </c>
      <c r="BA184" t="s" s="0">
        <v>217</v>
      </c>
      <c r="BB184" t="s" s="0">
        <v>333</v>
      </c>
      <c r="BC184" t="s" s="0">
        <v>81</v>
      </c>
      <c r="BD184" t="s" s="0">
        <v>81</v>
      </c>
      <c r="BE184" t="s" s="0">
        <v>81</v>
      </c>
      <c r="BF184" t="s" s="0">
        <v>81</v>
      </c>
      <c r="BG184" t="s" s="0">
        <v>4539</v>
      </c>
      <c r="BH184" t="s" s="0">
        <v>4540</v>
      </c>
      <c r="BI184" t="s" s="0">
        <v>81</v>
      </c>
      <c r="BJ184" t="s" s="0">
        <v>4541</v>
      </c>
      <c r="BK184" t="s" s="363">
        <f>HYPERLINK("http://dx.doi.org/10.2215/CJN.0000000695","http://dx.doi.org/10.2215/CJN.0000000695")</f>
        <v>4542</v>
      </c>
      <c r="BL184" t="s" s="0">
        <v>81</v>
      </c>
      <c r="BM184" t="s" s="0">
        <v>1861</v>
      </c>
      <c r="BN184" t="s" s="0">
        <v>117</v>
      </c>
      <c r="BO184" t="s" s="0">
        <v>4543</v>
      </c>
      <c r="BP184" t="s" s="0">
        <v>4543</v>
      </c>
      <c r="BQ184" t="s" s="0">
        <v>4544</v>
      </c>
      <c r="BR184" t="s" s="0">
        <v>4545</v>
      </c>
      <c r="BS184" t="s" s="0">
        <v>4546</v>
      </c>
      <c r="BT184" t="s" s="364">
        <f>HYPERLINK("https://www.webofscience.com/wos/woscc/full-record/WOS:001504732600001","View Record in Web of Science")</f>
        <v>123</v>
      </c>
      <c r="BU184" t="s" s="0">
        <v>523</v>
      </c>
      <c r="BV184" t="s" s="0">
        <v>81</v>
      </c>
      <c r="BW184" t="s" s="0">
        <v>81</v>
      </c>
      <c r="BX184" t="s" s="0">
        <v>124</v>
      </c>
    </row>
    <row r="185">
      <c r="A185" t="s" s="0">
        <v>77</v>
      </c>
      <c r="B185" t="s" s="0">
        <v>77</v>
      </c>
      <c r="C185" t="s" s="0">
        <v>137</v>
      </c>
      <c r="D185" t="s" s="0">
        <v>77</v>
      </c>
      <c r="E185" t="s" s="0">
        <v>4547</v>
      </c>
      <c r="F185" t="s" s="0">
        <v>4548</v>
      </c>
      <c r="G185" t="s" s="0">
        <v>4549</v>
      </c>
      <c r="H185" t="s" s="0">
        <v>81</v>
      </c>
      <c r="I185" t="s" s="0">
        <v>82</v>
      </c>
      <c r="J185" t="s" s="0">
        <v>4550</v>
      </c>
      <c r="K185" t="s" s="0">
        <v>4551</v>
      </c>
      <c r="L185" t="s" s="0">
        <v>4552</v>
      </c>
      <c r="M185" t="s" s="0">
        <v>4552</v>
      </c>
      <c r="N185" t="s" s="0">
        <v>4553</v>
      </c>
      <c r="O185" t="s" s="0">
        <v>4554</v>
      </c>
      <c r="P185" t="s" s="0">
        <v>4555</v>
      </c>
      <c r="Q185" t="s" s="0">
        <v>90</v>
      </c>
      <c r="R185" t="s" s="0">
        <v>81</v>
      </c>
      <c r="S185" t="s" s="0">
        <v>81</v>
      </c>
      <c r="T185" t="s" s="0">
        <v>81</v>
      </c>
      <c r="U185" t="s" s="0">
        <v>81</v>
      </c>
      <c r="V185" t="s" s="0">
        <v>4556</v>
      </c>
      <c r="W185" t="s" s="0">
        <v>4557</v>
      </c>
      <c r="X185" t="s" s="0">
        <v>81</v>
      </c>
      <c r="Y185" t="s" s="0">
        <v>81</v>
      </c>
      <c r="Z185" t="s" s="0">
        <v>93</v>
      </c>
      <c r="AA185" t="s" s="0">
        <v>94</v>
      </c>
      <c r="AB185" t="s" s="0">
        <v>81</v>
      </c>
      <c r="AC185" t="s" s="0">
        <v>81</v>
      </c>
      <c r="AD185" t="s" s="0">
        <v>81</v>
      </c>
      <c r="AE185" t="s" s="0">
        <v>81</v>
      </c>
      <c r="AF185" t="s" s="0">
        <v>81</v>
      </c>
      <c r="AG185" t="s" s="0">
        <v>4558</v>
      </c>
      <c r="AH185" t="s" s="0">
        <v>4559</v>
      </c>
      <c r="AI185" t="s" s="0">
        <v>81</v>
      </c>
      <c r="AJ185" t="s" s="0">
        <v>4560</v>
      </c>
      <c r="AK185" t="s" s="0">
        <v>81</v>
      </c>
      <c r="AL185" t="s" s="0">
        <v>619</v>
      </c>
      <c r="AM185" t="s" s="0">
        <v>158</v>
      </c>
      <c r="AN185" t="s" s="0">
        <v>158</v>
      </c>
      <c r="AO185" t="s" s="0">
        <v>137</v>
      </c>
      <c r="AP185" t="s" s="0">
        <v>158</v>
      </c>
      <c r="AQ185" t="s" s="0">
        <v>588</v>
      </c>
      <c r="AR185" t="s" s="0">
        <v>589</v>
      </c>
      <c r="AS185" t="s" s="0">
        <v>590</v>
      </c>
      <c r="AT185" t="s" s="0">
        <v>4561</v>
      </c>
      <c r="AU185" t="s" s="0">
        <v>81</v>
      </c>
      <c r="AV185" t="s" s="0">
        <v>81</v>
      </c>
      <c r="AW185" t="s" s="0">
        <v>4562</v>
      </c>
      <c r="AX185" t="s" s="0">
        <v>4563</v>
      </c>
      <c r="AY185" t="s" s="0">
        <v>111</v>
      </c>
      <c r="AZ185" t="s" s="0">
        <v>111</v>
      </c>
      <c r="BA185" t="s" s="0">
        <v>117</v>
      </c>
      <c r="BB185" t="s" s="0">
        <v>81</v>
      </c>
      <c r="BC185" t="s" s="0">
        <v>81</v>
      </c>
      <c r="BD185" t="s" s="0">
        <v>81</v>
      </c>
      <c r="BE185" t="s" s="0">
        <v>81</v>
      </c>
      <c r="BF185" t="s" s="0">
        <v>81</v>
      </c>
      <c r="BG185" t="s" s="0">
        <v>4564</v>
      </c>
      <c r="BH185" t="s" s="0">
        <v>4565</v>
      </c>
      <c r="BI185" t="s" s="0">
        <v>81</v>
      </c>
      <c r="BJ185" t="s" s="0">
        <v>4566</v>
      </c>
      <c r="BK185" t="s" s="365">
        <f>HYPERLINK("http://dx.doi.org/10.1109/JTEHM.2025.3588427","http://dx.doi.org/10.1109/JTEHM.2025.3588427")</f>
        <v>4567</v>
      </c>
      <c r="BL185" t="s" s="0">
        <v>81</v>
      </c>
      <c r="BM185" t="s" s="0">
        <v>81</v>
      </c>
      <c r="BN185" t="s" s="0">
        <v>117</v>
      </c>
      <c r="BO185" t="s" s="0">
        <v>1265</v>
      </c>
      <c r="BP185" t="s" s="0">
        <v>219</v>
      </c>
      <c r="BQ185" t="s" s="0">
        <v>4568</v>
      </c>
      <c r="BR185" t="s" s="0">
        <v>4569</v>
      </c>
      <c r="BS185" t="s" s="0">
        <v>4570</v>
      </c>
      <c r="BT185" t="s" s="366">
        <f>HYPERLINK("https://www.webofscience.com/wos/woscc/full-record/WOS:001718370200001","View Record in Web of Science")</f>
        <v>123</v>
      </c>
      <c r="BU185" t="s" s="0">
        <v>191</v>
      </c>
      <c r="BV185" t="s" s="0">
        <v>81</v>
      </c>
      <c r="BW185" t="s" s="0">
        <v>81</v>
      </c>
      <c r="BX185" t="s" s="0">
        <v>124</v>
      </c>
    </row>
    <row r="186">
      <c r="A186" t="s" s="0">
        <v>77</v>
      </c>
      <c r="B186" t="s" s="0">
        <v>77</v>
      </c>
      <c r="C186" t="s" s="0">
        <v>101</v>
      </c>
      <c r="D186" t="s" s="0">
        <v>77</v>
      </c>
      <c r="E186" t="s" s="0">
        <v>4571</v>
      </c>
      <c r="F186" t="s" s="0">
        <v>4572</v>
      </c>
      <c r="G186" t="s" s="0">
        <v>4573</v>
      </c>
      <c r="H186" t="s" s="0">
        <v>81</v>
      </c>
      <c r="I186" t="s" s="0">
        <v>82</v>
      </c>
      <c r="J186" t="s" s="0">
        <v>4574</v>
      </c>
      <c r="K186" t="s" s="0">
        <v>4575</v>
      </c>
      <c r="L186" t="s" s="0">
        <v>4576</v>
      </c>
      <c r="M186" t="s" s="0">
        <v>4577</v>
      </c>
      <c r="N186" t="s" s="0">
        <v>4578</v>
      </c>
      <c r="O186" t="s" s="0">
        <v>4579</v>
      </c>
      <c r="P186" t="s" s="0">
        <v>4580</v>
      </c>
      <c r="Q186" t="s" s="0">
        <v>90</v>
      </c>
      <c r="R186" t="s" s="0">
        <v>81</v>
      </c>
      <c r="S186" t="s" s="0">
        <v>81</v>
      </c>
      <c r="T186" t="s" s="0">
        <v>81</v>
      </c>
      <c r="U186" t="s" s="0">
        <v>81</v>
      </c>
      <c r="V186" t="s" s="0">
        <v>4581</v>
      </c>
      <c r="W186" t="s" s="0">
        <v>4582</v>
      </c>
      <c r="X186" t="s" s="0">
        <v>81</v>
      </c>
      <c r="Y186" t="s" s="0">
        <v>81</v>
      </c>
      <c r="Z186" t="s" s="0">
        <v>93</v>
      </c>
      <c r="AA186" t="s" s="0">
        <v>94</v>
      </c>
      <c r="AB186" t="s" s="0">
        <v>81</v>
      </c>
      <c r="AC186" t="s" s="0">
        <v>81</v>
      </c>
      <c r="AD186" t="s" s="0">
        <v>81</v>
      </c>
      <c r="AE186" t="s" s="0">
        <v>81</v>
      </c>
      <c r="AF186" t="s" s="0">
        <v>81</v>
      </c>
      <c r="AG186" t="s" s="0">
        <v>4583</v>
      </c>
      <c r="AH186" t="s" s="0">
        <v>81</v>
      </c>
      <c r="AI186" t="s" s="0">
        <v>4584</v>
      </c>
      <c r="AJ186" t="s" s="0">
        <v>4585</v>
      </c>
      <c r="AK186" t="s" s="0">
        <v>81</v>
      </c>
      <c r="AL186" t="s" s="0">
        <v>457</v>
      </c>
      <c r="AM186" t="s" s="0">
        <v>172</v>
      </c>
      <c r="AN186" t="s" s="0">
        <v>182</v>
      </c>
      <c r="AO186" t="s" s="0">
        <v>137</v>
      </c>
      <c r="AP186" t="s" s="0">
        <v>333</v>
      </c>
      <c r="AQ186" t="s" s="0">
        <v>1722</v>
      </c>
      <c r="AR186" t="s" s="0">
        <v>1723</v>
      </c>
      <c r="AS186" t="s" s="0">
        <v>1724</v>
      </c>
      <c r="AT186" t="s" s="0">
        <v>81</v>
      </c>
      <c r="AU186" t="s" s="0">
        <v>4586</v>
      </c>
      <c r="AV186" t="s" s="0">
        <v>81</v>
      </c>
      <c r="AW186" t="s" s="0">
        <v>4587</v>
      </c>
      <c r="AX186" t="s" s="0">
        <v>4588</v>
      </c>
      <c r="AY186" t="s" s="0">
        <v>111</v>
      </c>
      <c r="AZ186" t="s" s="0">
        <v>111</v>
      </c>
      <c r="BA186" t="s" s="0">
        <v>117</v>
      </c>
      <c r="BB186" t="s" s="0">
        <v>81</v>
      </c>
      <c r="BC186" t="s" s="0">
        <v>81</v>
      </c>
      <c r="BD186" t="s" s="0">
        <v>81</v>
      </c>
      <c r="BE186" t="s" s="0">
        <v>81</v>
      </c>
      <c r="BF186" t="s" s="0">
        <v>81</v>
      </c>
      <c r="BG186" t="s" s="0">
        <v>81</v>
      </c>
      <c r="BH186" t="s" s="0">
        <v>81</v>
      </c>
      <c r="BI186" t="s" s="0">
        <v>4589</v>
      </c>
      <c r="BJ186" t="s" s="0">
        <v>4590</v>
      </c>
      <c r="BK186" t="s" s="367">
        <f>HYPERLINK("http://dx.doi.org/10.2196/70738","http://dx.doi.org/10.2196/70738")</f>
        <v>4591</v>
      </c>
      <c r="BL186" t="s" s="0">
        <v>81</v>
      </c>
      <c r="BM186" t="s" s="0">
        <v>81</v>
      </c>
      <c r="BN186" t="s" s="0">
        <v>405</v>
      </c>
      <c r="BO186" t="s" s="0">
        <v>1703</v>
      </c>
      <c r="BP186" t="s" s="0">
        <v>1703</v>
      </c>
      <c r="BQ186" t="s" s="0">
        <v>4592</v>
      </c>
      <c r="BR186" t="s" s="0">
        <v>4593</v>
      </c>
      <c r="BS186" t="s" s="0">
        <v>4594</v>
      </c>
      <c r="BT186" t="s" s="368">
        <f>HYPERLINK("https://www.webofscience.com/wos/woscc/full-record/WOS:001578958700001","View Record in Web of Science")</f>
        <v>123</v>
      </c>
      <c r="BU186" t="s" s="0">
        <v>191</v>
      </c>
      <c r="BV186" t="s" s="0">
        <v>81</v>
      </c>
      <c r="BW186" t="s" s="0">
        <v>81</v>
      </c>
      <c r="BX186" t="s" s="0">
        <v>124</v>
      </c>
    </row>
    <row r="187">
      <c r="A187" t="s" s="0">
        <v>77</v>
      </c>
      <c r="B187" t="s" s="0">
        <v>77</v>
      </c>
      <c r="C187" t="s" s="0">
        <v>77</v>
      </c>
      <c r="D187" t="s" s="0">
        <v>77</v>
      </c>
      <c r="E187" t="s" s="0">
        <v>4595</v>
      </c>
      <c r="F187" t="s" s="0">
        <v>4596</v>
      </c>
      <c r="G187" t="s" s="0">
        <v>4597</v>
      </c>
      <c r="H187" t="s" s="0">
        <v>81</v>
      </c>
      <c r="I187" t="s" s="0">
        <v>82</v>
      </c>
      <c r="J187" t="s" s="0">
        <v>4598</v>
      </c>
      <c r="K187" t="s" s="0">
        <v>4599</v>
      </c>
      <c r="L187" t="s" s="0">
        <v>4600</v>
      </c>
      <c r="M187" t="s" s="0">
        <v>4601</v>
      </c>
      <c r="N187" t="s" s="0">
        <v>4602</v>
      </c>
      <c r="O187" t="s" s="0">
        <v>4603</v>
      </c>
      <c r="P187" t="s" s="0">
        <v>4604</v>
      </c>
      <c r="Q187" t="s" s="0">
        <v>90</v>
      </c>
      <c r="R187" t="s" s="0">
        <v>81</v>
      </c>
      <c r="S187" t="s" s="0">
        <v>81</v>
      </c>
      <c r="T187" t="s" s="0">
        <v>81</v>
      </c>
      <c r="U187" t="s" s="0">
        <v>81</v>
      </c>
      <c r="V187" t="s" s="0">
        <v>4605</v>
      </c>
      <c r="W187" t="s" s="0">
        <v>4606</v>
      </c>
      <c r="X187" t="s" s="0">
        <v>81</v>
      </c>
      <c r="Y187" t="s" s="0">
        <v>81</v>
      </c>
      <c r="Z187" t="s" s="0">
        <v>93</v>
      </c>
      <c r="AA187" t="s" s="0">
        <v>94</v>
      </c>
      <c r="AB187" t="s" s="0">
        <v>81</v>
      </c>
      <c r="AC187" t="s" s="0">
        <v>81</v>
      </c>
      <c r="AD187" t="s" s="0">
        <v>81</v>
      </c>
      <c r="AE187" t="s" s="0">
        <v>81</v>
      </c>
      <c r="AF187" t="s" s="0">
        <v>81</v>
      </c>
      <c r="AG187" t="s" s="0">
        <v>4607</v>
      </c>
      <c r="AH187" t="s" s="0">
        <v>4608</v>
      </c>
      <c r="AI187" t="s" s="0">
        <v>4609</v>
      </c>
      <c r="AJ187" t="s" s="0">
        <v>4610</v>
      </c>
      <c r="AK187" t="s" s="0">
        <v>81</v>
      </c>
      <c r="AL187" t="s" s="0">
        <v>1217</v>
      </c>
      <c r="AM187" t="s" s="0">
        <v>77</v>
      </c>
      <c r="AN187" t="s" s="0">
        <v>77</v>
      </c>
      <c r="AO187" t="s" s="0">
        <v>333</v>
      </c>
      <c r="AP187" t="s" s="0">
        <v>333</v>
      </c>
      <c r="AQ187" t="s" s="0">
        <v>620</v>
      </c>
      <c r="AR187" t="s" s="0">
        <v>621</v>
      </c>
      <c r="AS187" t="s" s="0">
        <v>622</v>
      </c>
      <c r="AT187" t="s" s="0">
        <v>4611</v>
      </c>
      <c r="AU187" t="s" s="0">
        <v>4612</v>
      </c>
      <c r="AV187" t="s" s="0">
        <v>81</v>
      </c>
      <c r="AW187" t="s" s="0">
        <v>4606</v>
      </c>
      <c r="AX187" t="s" s="0">
        <v>4613</v>
      </c>
      <c r="AY187" t="s" s="0">
        <v>4614</v>
      </c>
      <c r="AZ187" t="s" s="0">
        <v>212</v>
      </c>
      <c r="BA187" t="s" s="0">
        <v>4615</v>
      </c>
      <c r="BB187" t="s" s="0">
        <v>81</v>
      </c>
      <c r="BC187" t="s" s="0">
        <v>81</v>
      </c>
      <c r="BD187" t="s" s="0">
        <v>81</v>
      </c>
      <c r="BE187" t="s" s="0">
        <v>81</v>
      </c>
      <c r="BF187" t="s" s="0">
        <v>81</v>
      </c>
      <c r="BG187" t="s" s="0">
        <v>81</v>
      </c>
      <c r="BH187" t="s" s="0">
        <v>81</v>
      </c>
      <c r="BI187" t="s" s="0">
        <v>4616</v>
      </c>
      <c r="BJ187" t="s" s="0">
        <v>4617</v>
      </c>
      <c r="BK187" t="s" s="369">
        <f>HYPERLINK("http://dx.doi.org/10.1016/j.measurement.2026.120400","http://dx.doi.org/10.1016/j.measurement.2026.120400")</f>
        <v>4618</v>
      </c>
      <c r="BL187" t="s" s="0">
        <v>81</v>
      </c>
      <c r="BM187" t="s" s="0">
        <v>763</v>
      </c>
      <c r="BN187" t="s" s="0">
        <v>182</v>
      </c>
      <c r="BO187" t="s" s="0">
        <v>4619</v>
      </c>
      <c r="BP187" t="s" s="0">
        <v>4620</v>
      </c>
      <c r="BQ187" t="s" s="0">
        <v>4621</v>
      </c>
      <c r="BR187" t="s" s="0">
        <v>81</v>
      </c>
      <c r="BS187" t="s" s="0">
        <v>4622</v>
      </c>
      <c r="BT187" t="s" s="370">
        <f>HYPERLINK("https://www.webofscience.com/wos/woscc/full-record/WOS:001670918600001","View Record in Web of Science")</f>
        <v>123</v>
      </c>
      <c r="BU187" t="s" s="0">
        <v>523</v>
      </c>
      <c r="BV187" t="s" s="0">
        <v>81</v>
      </c>
      <c r="BW187" t="s" s="0">
        <v>81</v>
      </c>
      <c r="BX187" t="s" s="0">
        <v>124</v>
      </c>
    </row>
    <row r="188">
      <c r="A188" t="s" s="0">
        <v>77</v>
      </c>
      <c r="B188" t="s" s="0">
        <v>77</v>
      </c>
      <c r="C188" t="s" s="0">
        <v>77</v>
      </c>
      <c r="D188" t="s" s="0">
        <v>77</v>
      </c>
      <c r="E188" t="s" s="0">
        <v>4623</v>
      </c>
      <c r="F188" t="s" s="0">
        <v>4624</v>
      </c>
      <c r="G188" t="s" s="0">
        <v>4625</v>
      </c>
      <c r="H188" t="s" s="0">
        <v>81</v>
      </c>
      <c r="I188" t="s" s="0">
        <v>82</v>
      </c>
      <c r="J188" t="s" s="0">
        <v>4626</v>
      </c>
      <c r="K188" t="s" s="0">
        <v>4627</v>
      </c>
      <c r="L188" t="s" s="0">
        <v>4628</v>
      </c>
      <c r="M188" t="s" s="0">
        <v>4629</v>
      </c>
      <c r="N188" t="s" s="0">
        <v>4630</v>
      </c>
      <c r="O188" t="s" s="0">
        <v>4631</v>
      </c>
      <c r="P188" t="s" s="0">
        <v>4632</v>
      </c>
      <c r="Q188" t="s" s="0">
        <v>90</v>
      </c>
      <c r="R188" t="s" s="0">
        <v>81</v>
      </c>
      <c r="S188" t="s" s="0">
        <v>81</v>
      </c>
      <c r="T188" t="s" s="0">
        <v>81</v>
      </c>
      <c r="U188" t="s" s="0">
        <v>81</v>
      </c>
      <c r="V188" t="s" s="0">
        <v>4633</v>
      </c>
      <c r="W188" t="s" s="0">
        <v>4634</v>
      </c>
      <c r="X188" t="s" s="0">
        <v>81</v>
      </c>
      <c r="Y188" t="s" s="0">
        <v>81</v>
      </c>
      <c r="Z188" t="s" s="0">
        <v>93</v>
      </c>
      <c r="AA188" t="s" s="0">
        <v>94</v>
      </c>
      <c r="AB188" t="s" s="0">
        <v>81</v>
      </c>
      <c r="AC188" t="s" s="0">
        <v>81</v>
      </c>
      <c r="AD188" t="s" s="0">
        <v>81</v>
      </c>
      <c r="AE188" t="s" s="0">
        <v>81</v>
      </c>
      <c r="AF188" t="s" s="0">
        <v>81</v>
      </c>
      <c r="AG188" t="s" s="0">
        <v>4635</v>
      </c>
      <c r="AH188" t="s" s="0">
        <v>81</v>
      </c>
      <c r="AI188" t="s" s="0">
        <v>4636</v>
      </c>
      <c r="AJ188" t="s" s="0">
        <v>4637</v>
      </c>
      <c r="AK188" t="s" s="0">
        <v>81</v>
      </c>
      <c r="AL188" t="s" s="0">
        <v>300</v>
      </c>
      <c r="AM188" t="s" s="0">
        <v>117</v>
      </c>
      <c r="AN188" t="s" s="0">
        <v>117</v>
      </c>
      <c r="AO188" t="s" s="0">
        <v>301</v>
      </c>
      <c r="AP188" t="s" s="0">
        <v>390</v>
      </c>
      <c r="AQ188" t="s" s="0">
        <v>786</v>
      </c>
      <c r="AR188" t="s" s="0">
        <v>787</v>
      </c>
      <c r="AS188" t="s" s="0">
        <v>788</v>
      </c>
      <c r="AT188" t="s" s="0">
        <v>4638</v>
      </c>
      <c r="AU188" t="s" s="0">
        <v>4639</v>
      </c>
      <c r="AV188" t="s" s="0">
        <v>81</v>
      </c>
      <c r="AW188" t="s" s="0">
        <v>4640</v>
      </c>
      <c r="AX188" t="s" s="0">
        <v>4641</v>
      </c>
      <c r="AY188" t="s" s="0">
        <v>4642</v>
      </c>
      <c r="AZ188" t="s" s="0">
        <v>111</v>
      </c>
      <c r="BA188" t="s" s="0">
        <v>4643</v>
      </c>
      <c r="BB188" t="s" s="0">
        <v>81</v>
      </c>
      <c r="BC188" t="s" s="0">
        <v>81</v>
      </c>
      <c r="BD188" t="s" s="0">
        <v>81</v>
      </c>
      <c r="BE188" t="s" s="0">
        <v>81</v>
      </c>
      <c r="BF188" t="s" s="0">
        <v>81</v>
      </c>
      <c r="BG188" t="s" s="0">
        <v>81</v>
      </c>
      <c r="BH188" t="s" s="0">
        <v>81</v>
      </c>
      <c r="BI188" t="s" s="0">
        <v>4644</v>
      </c>
      <c r="BJ188" t="s" s="0">
        <v>4645</v>
      </c>
      <c r="BK188" t="s" s="371">
        <f>HYPERLINK("http://dx.doi.org/10.1016/j.buildenv.2025.112706","http://dx.doi.org/10.1016/j.buildenv.2025.112706")</f>
        <v>4646</v>
      </c>
      <c r="BL188" t="s" s="0">
        <v>81</v>
      </c>
      <c r="BM188" t="s" s="0">
        <v>404</v>
      </c>
      <c r="BN188" t="s" s="0">
        <v>461</v>
      </c>
      <c r="BO188" t="s" s="0">
        <v>4647</v>
      </c>
      <c r="BP188" t="s" s="0">
        <v>4648</v>
      </c>
      <c r="BQ188" t="s" s="0">
        <v>4649</v>
      </c>
      <c r="BR188" t="s" s="0">
        <v>81</v>
      </c>
      <c r="BS188" t="s" s="0">
        <v>4650</v>
      </c>
      <c r="BT188" t="s" s="372">
        <f>HYPERLINK("https://www.webofscience.com/wos/woscc/full-record/WOS:001428734500001","View Record in Web of Science")</f>
        <v>123</v>
      </c>
      <c r="BU188" t="s" s="0">
        <v>81</v>
      </c>
      <c r="BV188" t="s" s="0">
        <v>81</v>
      </c>
      <c r="BW188" t="s" s="0">
        <v>81</v>
      </c>
      <c r="BX188" t="s" s="0">
        <v>124</v>
      </c>
    </row>
    <row r="189">
      <c r="A189" t="s" s="0">
        <v>77</v>
      </c>
      <c r="B189" t="s" s="0">
        <v>77</v>
      </c>
      <c r="C189" t="s" s="0">
        <v>77</v>
      </c>
      <c r="D189" t="s" s="0">
        <v>77</v>
      </c>
      <c r="E189" t="s" s="0">
        <v>4651</v>
      </c>
      <c r="F189" t="s" s="0">
        <v>4652</v>
      </c>
      <c r="G189" t="s" s="0">
        <v>4653</v>
      </c>
      <c r="H189" t="s" s="0">
        <v>81</v>
      </c>
      <c r="I189" t="s" s="0">
        <v>82</v>
      </c>
      <c r="J189" t="s" s="0">
        <v>4654</v>
      </c>
      <c r="K189" t="s" s="0">
        <v>4655</v>
      </c>
      <c r="L189" t="s" s="0">
        <v>4656</v>
      </c>
      <c r="M189" t="s" s="0">
        <v>4656</v>
      </c>
      <c r="N189" t="s" s="0">
        <v>4657</v>
      </c>
      <c r="O189" t="s" s="0">
        <v>4658</v>
      </c>
      <c r="P189" t="s" s="0">
        <v>4659</v>
      </c>
      <c r="Q189" t="s" s="0">
        <v>90</v>
      </c>
      <c r="R189" t="s" s="0">
        <v>81</v>
      </c>
      <c r="S189" t="s" s="0">
        <v>81</v>
      </c>
      <c r="T189" t="s" s="0">
        <v>81</v>
      </c>
      <c r="U189" t="s" s="0">
        <v>81</v>
      </c>
      <c r="V189" t="s" s="0">
        <v>4660</v>
      </c>
      <c r="W189" t="s" s="0">
        <v>1354</v>
      </c>
      <c r="X189" t="s" s="0">
        <v>81</v>
      </c>
      <c r="Y189" t="s" s="0">
        <v>81</v>
      </c>
      <c r="Z189" t="s" s="0">
        <v>93</v>
      </c>
      <c r="AA189" t="s" s="0">
        <v>94</v>
      </c>
      <c r="AB189" t="s" s="0">
        <v>81</v>
      </c>
      <c r="AC189" t="s" s="0">
        <v>81</v>
      </c>
      <c r="AD189" t="s" s="0">
        <v>81</v>
      </c>
      <c r="AE189" t="s" s="0">
        <v>81</v>
      </c>
      <c r="AF189" t="s" s="0">
        <v>81</v>
      </c>
      <c r="AG189" t="s" s="0">
        <v>4661</v>
      </c>
      <c r="AH189" t="s" s="0">
        <v>4662</v>
      </c>
      <c r="AI189" t="s" s="0">
        <v>4663</v>
      </c>
      <c r="AJ189" t="s" s="0">
        <v>81</v>
      </c>
      <c r="AK189" t="s" s="0">
        <v>81</v>
      </c>
      <c r="AL189" t="s" s="0">
        <v>2270</v>
      </c>
      <c r="AM189" t="s" s="0">
        <v>77</v>
      </c>
      <c r="AN189" t="s" s="0">
        <v>77</v>
      </c>
      <c r="AO189" t="s" s="0">
        <v>77</v>
      </c>
      <c r="AP189" t="s" s="0">
        <v>77</v>
      </c>
      <c r="AQ189" t="s" s="0">
        <v>174</v>
      </c>
      <c r="AR189" t="s" s="0">
        <v>175</v>
      </c>
      <c r="AS189" t="s" s="0">
        <v>208</v>
      </c>
      <c r="AT189" t="s" s="0">
        <v>81</v>
      </c>
      <c r="AU189" t="s" s="0">
        <v>1358</v>
      </c>
      <c r="AV189" t="s" s="0">
        <v>81</v>
      </c>
      <c r="AW189" t="s" s="0">
        <v>1359</v>
      </c>
      <c r="AX189" t="s" s="0">
        <v>1360</v>
      </c>
      <c r="AY189" t="s" s="0">
        <v>4664</v>
      </c>
      <c r="AZ189" t="s" s="0">
        <v>212</v>
      </c>
      <c r="BA189" t="s" s="0">
        <v>213</v>
      </c>
      <c r="BB189" t="s" s="0">
        <v>182</v>
      </c>
      <c r="BC189" t="s" s="0">
        <v>81</v>
      </c>
      <c r="BD189" t="s" s="0">
        <v>81</v>
      </c>
      <c r="BE189" t="s" s="0">
        <v>81</v>
      </c>
      <c r="BF189" t="s" s="0">
        <v>81</v>
      </c>
      <c r="BG189" t="s" s="0">
        <v>81</v>
      </c>
      <c r="BH189" t="s" s="0">
        <v>81</v>
      </c>
      <c r="BI189" t="s" s="0">
        <v>4665</v>
      </c>
      <c r="BJ189" t="s" s="0">
        <v>4666</v>
      </c>
      <c r="BK189" t="s" s="373">
        <f>HYPERLINK("http://dx.doi.org/10.3390/math14122064","http://dx.doi.org/10.3390/math14122064")</f>
        <v>4667</v>
      </c>
      <c r="BL189" t="s" s="0">
        <v>81</v>
      </c>
      <c r="BM189" t="s" s="0">
        <v>2187</v>
      </c>
      <c r="BN189" t="s" s="0">
        <v>676</v>
      </c>
      <c r="BO189" t="s" s="0">
        <v>1360</v>
      </c>
      <c r="BP189" t="s" s="0">
        <v>1360</v>
      </c>
      <c r="BQ189" t="s" s="0">
        <v>4668</v>
      </c>
      <c r="BR189" t="s" s="0">
        <v>81</v>
      </c>
      <c r="BS189" t="s" s="0">
        <v>4669</v>
      </c>
      <c r="BT189" t="s" s="374">
        <f>HYPERLINK("https://www.webofscience.com/wos/woscc/full-record/WOS:001802929300001","View Record in Web of Science")</f>
        <v>123</v>
      </c>
      <c r="BU189" t="s" s="0">
        <v>222</v>
      </c>
      <c r="BV189" t="s" s="0">
        <v>81</v>
      </c>
      <c r="BW189" t="s" s="0">
        <v>81</v>
      </c>
      <c r="BX189" t="s" s="0">
        <v>124</v>
      </c>
    </row>
    <row r="190">
      <c r="A190" t="s" s="0">
        <v>77</v>
      </c>
      <c r="B190" t="s" s="0">
        <v>77</v>
      </c>
      <c r="C190" t="s" s="0">
        <v>137</v>
      </c>
      <c r="D190" t="s" s="0">
        <v>77</v>
      </c>
      <c r="E190" t="s" s="0">
        <v>4670</v>
      </c>
      <c r="F190" t="s" s="0">
        <v>4671</v>
      </c>
      <c r="G190" t="s" s="0">
        <v>4672</v>
      </c>
      <c r="H190" t="s" s="0">
        <v>81</v>
      </c>
      <c r="I190" t="s" s="0">
        <v>82</v>
      </c>
      <c r="J190" t="s" s="0">
        <v>4673</v>
      </c>
      <c r="K190" t="s" s="0">
        <v>4674</v>
      </c>
      <c r="L190" t="s" s="0">
        <v>81</v>
      </c>
      <c r="M190" t="s" s="0">
        <v>81</v>
      </c>
      <c r="N190" t="s" s="0">
        <v>81</v>
      </c>
      <c r="O190" t="s" s="0">
        <v>4675</v>
      </c>
      <c r="P190" t="s" s="0">
        <v>4676</v>
      </c>
      <c r="Q190" t="s" s="0">
        <v>90</v>
      </c>
      <c r="R190" t="s" s="0">
        <v>81</v>
      </c>
      <c r="S190" t="s" s="0">
        <v>81</v>
      </c>
      <c r="T190" t="s" s="0">
        <v>81</v>
      </c>
      <c r="U190" t="s" s="0">
        <v>81</v>
      </c>
      <c r="V190" t="s" s="0">
        <v>4677</v>
      </c>
      <c r="W190" t="s" s="0">
        <v>4678</v>
      </c>
      <c r="X190" t="s" s="0">
        <v>81</v>
      </c>
      <c r="Y190" t="s" s="0">
        <v>81</v>
      </c>
      <c r="Z190" t="s" s="0">
        <v>93</v>
      </c>
      <c r="AA190" t="s" s="0">
        <v>94</v>
      </c>
      <c r="AB190" t="s" s="0">
        <v>81</v>
      </c>
      <c r="AC190" t="s" s="0">
        <v>81</v>
      </c>
      <c r="AD190" t="s" s="0">
        <v>81</v>
      </c>
      <c r="AE190" t="s" s="0">
        <v>81</v>
      </c>
      <c r="AF190" t="s" s="0">
        <v>81</v>
      </c>
      <c r="AG190" t="s" s="0">
        <v>4679</v>
      </c>
      <c r="AH190" t="s" s="0">
        <v>81</v>
      </c>
      <c r="AI190" t="s" s="0">
        <v>4680</v>
      </c>
      <c r="AJ190" t="s" s="0">
        <v>4681</v>
      </c>
      <c r="AK190" t="s" s="0">
        <v>81</v>
      </c>
      <c r="AL190" t="s" s="0">
        <v>275</v>
      </c>
      <c r="AM190" t="s" s="0">
        <v>137</v>
      </c>
      <c r="AN190" t="s" s="0">
        <v>137</v>
      </c>
      <c r="AO190" t="s" s="0">
        <v>77</v>
      </c>
      <c r="AP190" t="s" s="0">
        <v>137</v>
      </c>
      <c r="AQ190" t="s" s="0">
        <v>4682</v>
      </c>
      <c r="AR190" t="s" s="0">
        <v>4683</v>
      </c>
      <c r="AS190" t="s" s="0">
        <v>4684</v>
      </c>
      <c r="AT190" t="s" s="0">
        <v>4685</v>
      </c>
      <c r="AU190" t="s" s="0">
        <v>4686</v>
      </c>
      <c r="AV190" t="s" s="0">
        <v>81</v>
      </c>
      <c r="AW190" t="s" s="0">
        <v>4687</v>
      </c>
      <c r="AX190" t="s" s="0">
        <v>4688</v>
      </c>
      <c r="AY190" t="s" s="0">
        <v>111</v>
      </c>
      <c r="AZ190" t="s" s="0">
        <v>111</v>
      </c>
      <c r="BA190" t="s" s="0">
        <v>1085</v>
      </c>
      <c r="BB190" t="s" s="0">
        <v>301</v>
      </c>
      <c r="BC190" t="s" s="0">
        <v>81</v>
      </c>
      <c r="BD190" t="s" s="0">
        <v>81</v>
      </c>
      <c r="BE190" t="s" s="0">
        <v>81</v>
      </c>
      <c r="BF190" t="s" s="0">
        <v>81</v>
      </c>
      <c r="BG190" t="s" s="0">
        <v>4689</v>
      </c>
      <c r="BH190" t="s" s="0">
        <v>1406</v>
      </c>
      <c r="BI190" t="s" s="0">
        <v>81</v>
      </c>
      <c r="BJ190" t="s" s="0">
        <v>4690</v>
      </c>
      <c r="BK190" t="s" s="375">
        <f>HYPERLINK("http://dx.doi.org/10.3897/jucs.127703","http://dx.doi.org/10.3897/jucs.127703")</f>
        <v>4691</v>
      </c>
      <c r="BL190" t="s" s="0">
        <v>81</v>
      </c>
      <c r="BM190" t="s" s="0">
        <v>81</v>
      </c>
      <c r="BN190" t="s" s="0">
        <v>173</v>
      </c>
      <c r="BO190" t="s" s="0">
        <v>3907</v>
      </c>
      <c r="BP190" t="s" s="0">
        <v>250</v>
      </c>
      <c r="BQ190" t="s" s="0">
        <v>4692</v>
      </c>
      <c r="BR190" t="s" s="0">
        <v>81</v>
      </c>
      <c r="BS190" t="s" s="0">
        <v>4693</v>
      </c>
      <c r="BT190" t="s" s="376">
        <f>HYPERLINK("https://www.webofscience.com/wos/woscc/full-record/WOS:001460585800006","View Record in Web of Science")</f>
        <v>123</v>
      </c>
      <c r="BU190" t="s" s="0">
        <v>191</v>
      </c>
      <c r="BV190" t="s" s="0">
        <v>81</v>
      </c>
      <c r="BW190" t="s" s="0">
        <v>81</v>
      </c>
      <c r="BX190" t="s" s="0">
        <v>124</v>
      </c>
    </row>
    <row r="191">
      <c r="A191" t="s" s="0">
        <v>77</v>
      </c>
      <c r="B191" t="s" s="0">
        <v>77</v>
      </c>
      <c r="C191" t="s" s="0">
        <v>77</v>
      </c>
      <c r="D191" t="s" s="0">
        <v>77</v>
      </c>
      <c r="E191" t="s" s="0">
        <v>4694</v>
      </c>
      <c r="F191" t="s" s="0">
        <v>4695</v>
      </c>
      <c r="G191" t="s" s="0">
        <v>4696</v>
      </c>
      <c r="H191" t="s" s="0">
        <v>81</v>
      </c>
      <c r="I191" t="s" s="0">
        <v>82</v>
      </c>
      <c r="J191" t="s" s="0">
        <v>4697</v>
      </c>
      <c r="K191" t="s" s="0">
        <v>4698</v>
      </c>
      <c r="L191" t="s" s="0">
        <v>4699</v>
      </c>
      <c r="M191" t="s" s="0">
        <v>4700</v>
      </c>
      <c r="N191" t="s" s="0">
        <v>4701</v>
      </c>
      <c r="O191" t="s" s="0">
        <v>4702</v>
      </c>
      <c r="P191" t="s" s="0">
        <v>4703</v>
      </c>
      <c r="Q191" t="s" s="0">
        <v>90</v>
      </c>
      <c r="R191" t="s" s="0">
        <v>81</v>
      </c>
      <c r="S191" t="s" s="0">
        <v>81</v>
      </c>
      <c r="T191" t="s" s="0">
        <v>81</v>
      </c>
      <c r="U191" t="s" s="0">
        <v>81</v>
      </c>
      <c r="V191" t="s" s="0">
        <v>4704</v>
      </c>
      <c r="W191" t="s" s="0">
        <v>4705</v>
      </c>
      <c r="X191" t="s" s="0">
        <v>81</v>
      </c>
      <c r="Y191" t="s" s="0">
        <v>81</v>
      </c>
      <c r="Z191" t="s" s="0">
        <v>93</v>
      </c>
      <c r="AA191" t="s" s="0">
        <v>330</v>
      </c>
      <c r="AB191" t="s" s="0">
        <v>81</v>
      </c>
      <c r="AC191" t="s" s="0">
        <v>81</v>
      </c>
      <c r="AD191" t="s" s="0">
        <v>81</v>
      </c>
      <c r="AE191" t="s" s="0">
        <v>81</v>
      </c>
      <c r="AF191" t="s" s="0">
        <v>81</v>
      </c>
      <c r="AG191" t="s" s="0">
        <v>4706</v>
      </c>
      <c r="AH191" t="s" s="0">
        <v>4707</v>
      </c>
      <c r="AI191" t="s" s="0">
        <v>4708</v>
      </c>
      <c r="AJ191" t="s" s="0">
        <v>81</v>
      </c>
      <c r="AK191" t="s" s="0">
        <v>81</v>
      </c>
      <c r="AL191" t="s" s="0">
        <v>2596</v>
      </c>
      <c r="AM191" t="s" s="0">
        <v>77</v>
      </c>
      <c r="AN191" t="s" s="0">
        <v>77</v>
      </c>
      <c r="AO191" t="s" s="0">
        <v>137</v>
      </c>
      <c r="AP191" t="s" s="0">
        <v>137</v>
      </c>
      <c r="AQ191" t="s" s="0">
        <v>4709</v>
      </c>
      <c r="AR191" t="s" s="0">
        <v>4710</v>
      </c>
      <c r="AS191" t="s" s="0">
        <v>4711</v>
      </c>
      <c r="AT191" t="s" s="0">
        <v>4712</v>
      </c>
      <c r="AU191" t="s" s="0">
        <v>4713</v>
      </c>
      <c r="AV191" t="s" s="0">
        <v>81</v>
      </c>
      <c r="AW191" t="s" s="0">
        <v>4714</v>
      </c>
      <c r="AX191" t="s" s="0">
        <v>4715</v>
      </c>
      <c r="AY191" t="s" s="0">
        <v>81</v>
      </c>
      <c r="AZ191" t="s" s="0">
        <v>212</v>
      </c>
      <c r="BA191" t="s" s="0">
        <v>81</v>
      </c>
      <c r="BB191" t="s" s="0">
        <v>81</v>
      </c>
      <c r="BC191" t="s" s="0">
        <v>81</v>
      </c>
      <c r="BD191" t="s" s="0">
        <v>81</v>
      </c>
      <c r="BE191" t="s" s="0">
        <v>81</v>
      </c>
      <c r="BF191" t="s" s="0">
        <v>81</v>
      </c>
      <c r="BG191" t="s" s="0">
        <v>81</v>
      </c>
      <c r="BH191" t="s" s="0">
        <v>81</v>
      </c>
      <c r="BI191" t="s" s="0">
        <v>81</v>
      </c>
      <c r="BJ191" t="s" s="0">
        <v>4716</v>
      </c>
      <c r="BK191" t="s" s="377">
        <f>HYPERLINK("http://dx.doi.org/10.2174/0113862073484389260528213445","http://dx.doi.org/10.2174/0113862073484389260528213445")</f>
        <v>4717</v>
      </c>
      <c r="BL191" t="s" s="0">
        <v>81</v>
      </c>
      <c r="BM191" t="s" s="0">
        <v>2187</v>
      </c>
      <c r="BN191" t="s" s="0">
        <v>676</v>
      </c>
      <c r="BO191" t="s" s="0">
        <v>4718</v>
      </c>
      <c r="BP191" t="s" s="0">
        <v>4719</v>
      </c>
      <c r="BQ191" t="s" s="0">
        <v>4720</v>
      </c>
      <c r="BR191" t="s" s="0">
        <v>4721</v>
      </c>
      <c r="BS191" t="s" s="0">
        <v>4722</v>
      </c>
      <c r="BT191" t="s" s="378">
        <f>HYPERLINK("https://www.webofscience.com/wos/woscc/full-record/WOS:001796074900001","View Record in Web of Science")</f>
        <v>123</v>
      </c>
      <c r="BU191" t="s" s="0">
        <v>81</v>
      </c>
      <c r="BV191" t="s" s="0">
        <v>81</v>
      </c>
      <c r="BW191" t="s" s="0">
        <v>81</v>
      </c>
      <c r="BX191" t="s" s="0">
        <v>124</v>
      </c>
    </row>
    <row r="192">
      <c r="A192" t="s" s="0">
        <v>77</v>
      </c>
      <c r="B192" t="s" s="0">
        <v>77</v>
      </c>
      <c r="C192" t="s" s="0">
        <v>182</v>
      </c>
      <c r="D192" t="s" s="0">
        <v>77</v>
      </c>
      <c r="E192" t="s" s="0">
        <v>4723</v>
      </c>
      <c r="F192" t="s" s="0">
        <v>4724</v>
      </c>
      <c r="G192" t="s" s="0">
        <v>4725</v>
      </c>
      <c r="H192" t="s" s="0">
        <v>81</v>
      </c>
      <c r="I192" t="s" s="0">
        <v>195</v>
      </c>
      <c r="J192" t="s" s="0">
        <v>4726</v>
      </c>
      <c r="K192" t="s" s="0">
        <v>4727</v>
      </c>
      <c r="L192" t="s" s="0">
        <v>4728</v>
      </c>
      <c r="M192" t="s" s="0">
        <v>4728</v>
      </c>
      <c r="N192" t="s" s="0">
        <v>4729</v>
      </c>
      <c r="O192" t="s" s="0">
        <v>4730</v>
      </c>
      <c r="P192" t="s" s="0">
        <v>4731</v>
      </c>
      <c r="Q192" t="s" s="0">
        <v>90</v>
      </c>
      <c r="R192" t="s" s="0">
        <v>81</v>
      </c>
      <c r="S192" t="s" s="0">
        <v>81</v>
      </c>
      <c r="T192" t="s" s="0">
        <v>81</v>
      </c>
      <c r="U192" t="s" s="0">
        <v>81</v>
      </c>
      <c r="V192" t="s" s="0">
        <v>4732</v>
      </c>
      <c r="W192" t="s" s="0">
        <v>4733</v>
      </c>
      <c r="X192" t="s" s="0">
        <v>81</v>
      </c>
      <c r="Y192" t="s" s="0">
        <v>81</v>
      </c>
      <c r="Z192" t="s" s="0">
        <v>93</v>
      </c>
      <c r="AA192" t="s" s="0">
        <v>94</v>
      </c>
      <c r="AB192" t="s" s="0">
        <v>81</v>
      </c>
      <c r="AC192" t="s" s="0">
        <v>81</v>
      </c>
      <c r="AD192" t="s" s="0">
        <v>81</v>
      </c>
      <c r="AE192" t="s" s="0">
        <v>81</v>
      </c>
      <c r="AF192" t="s" s="0">
        <v>81</v>
      </c>
      <c r="AG192" t="s" s="0">
        <v>4734</v>
      </c>
      <c r="AH192" t="s" s="0">
        <v>4735</v>
      </c>
      <c r="AI192" t="s" s="0">
        <v>4736</v>
      </c>
      <c r="AJ192" t="s" s="0">
        <v>4737</v>
      </c>
      <c r="AK192" t="s" s="0">
        <v>81</v>
      </c>
      <c r="AL192" t="s" s="0">
        <v>703</v>
      </c>
      <c r="AM192" t="s" s="0">
        <v>1085</v>
      </c>
      <c r="AN192" t="s" s="0">
        <v>448</v>
      </c>
      <c r="AO192" t="s" s="0">
        <v>138</v>
      </c>
      <c r="AP192" t="s" s="0">
        <v>1110</v>
      </c>
      <c r="AQ192" t="s" s="0">
        <v>2761</v>
      </c>
      <c r="AR192" t="s" s="0">
        <v>787</v>
      </c>
      <c r="AS192" t="s" s="0">
        <v>2762</v>
      </c>
      <c r="AT192" t="s" s="0">
        <v>81</v>
      </c>
      <c r="AU192" t="s" s="0">
        <v>4738</v>
      </c>
      <c r="AV192" t="s" s="0">
        <v>81</v>
      </c>
      <c r="AW192" t="s" s="0">
        <v>4739</v>
      </c>
      <c r="AX192" t="s" s="0">
        <v>4740</v>
      </c>
      <c r="AY192" t="s" s="0">
        <v>4741</v>
      </c>
      <c r="AZ192" t="s" s="0">
        <v>309</v>
      </c>
      <c r="BA192" t="s" s="0">
        <v>333</v>
      </c>
      <c r="BB192" t="s" s="0">
        <v>137</v>
      </c>
      <c r="BC192" t="s" s="0">
        <v>81</v>
      </c>
      <c r="BD192" t="s" s="0">
        <v>81</v>
      </c>
      <c r="BE192" t="s" s="0">
        <v>81</v>
      </c>
      <c r="BF192" t="s" s="0">
        <v>81</v>
      </c>
      <c r="BG192" t="s" s="0">
        <v>81</v>
      </c>
      <c r="BH192" t="s" s="0">
        <v>81</v>
      </c>
      <c r="BI192" t="s" s="0">
        <v>4742</v>
      </c>
      <c r="BJ192" t="s" s="0">
        <v>4743</v>
      </c>
      <c r="BK192" t="s" s="379">
        <f>HYPERLINK("http://dx.doi.org/10.1093/noajnl/vdae122","http://dx.doi.org/10.1093/noajnl/vdae122")</f>
        <v>4744</v>
      </c>
      <c r="BL192" t="s" s="0">
        <v>81</v>
      </c>
      <c r="BM192" t="s" s="0">
        <v>512</v>
      </c>
      <c r="BN192" t="s" s="0">
        <v>213</v>
      </c>
      <c r="BO192" t="s" s="0">
        <v>4745</v>
      </c>
      <c r="BP192" t="s" s="0">
        <v>4746</v>
      </c>
      <c r="BQ192" t="s" s="0">
        <v>4747</v>
      </c>
      <c r="BR192" t="s" s="0">
        <v>4748</v>
      </c>
      <c r="BS192" t="s" s="0">
        <v>4749</v>
      </c>
      <c r="BT192" t="s" s="380">
        <f>HYPERLINK("https://www.webofscience.com/wos/woscc/full-record/WOS:001291399400001","View Record in Web of Science")</f>
        <v>123</v>
      </c>
      <c r="BU192" t="s" s="0">
        <v>191</v>
      </c>
      <c r="BV192" t="s" s="0">
        <v>81</v>
      </c>
      <c r="BW192" t="s" s="0">
        <v>81</v>
      </c>
      <c r="BX192" t="s" s="0">
        <v>124</v>
      </c>
    </row>
    <row r="193">
      <c r="A193" t="s" s="0">
        <v>77</v>
      </c>
      <c r="B193" t="s" s="0">
        <v>77</v>
      </c>
      <c r="C193" t="s" s="0">
        <v>77</v>
      </c>
      <c r="D193" t="s" s="0">
        <v>77</v>
      </c>
      <c r="E193" t="s" s="0">
        <v>4750</v>
      </c>
      <c r="F193" t="s" s="0">
        <v>4751</v>
      </c>
      <c r="G193" t="s" s="0">
        <v>4752</v>
      </c>
      <c r="H193" t="s" s="0">
        <v>81</v>
      </c>
      <c r="I193" t="s" s="0">
        <v>82</v>
      </c>
      <c r="J193" t="s" s="0">
        <v>4753</v>
      </c>
      <c r="K193" t="s" s="0">
        <v>4754</v>
      </c>
      <c r="L193" t="s" s="0">
        <v>4755</v>
      </c>
      <c r="M193" t="s" s="0">
        <v>4756</v>
      </c>
      <c r="N193" t="s" s="0">
        <v>4757</v>
      </c>
      <c r="O193" t="s" s="0">
        <v>4758</v>
      </c>
      <c r="P193" t="s" s="0">
        <v>4759</v>
      </c>
      <c r="Q193" t="s" s="0">
        <v>90</v>
      </c>
      <c r="R193" t="s" s="0">
        <v>81</v>
      </c>
      <c r="S193" t="s" s="0">
        <v>81</v>
      </c>
      <c r="T193" t="s" s="0">
        <v>81</v>
      </c>
      <c r="U193" t="s" s="0">
        <v>81</v>
      </c>
      <c r="V193" t="s" s="0">
        <v>4760</v>
      </c>
      <c r="W193" t="s" s="0">
        <v>4761</v>
      </c>
      <c r="X193" t="s" s="0">
        <v>81</v>
      </c>
      <c r="Y193" t="s" s="0">
        <v>81</v>
      </c>
      <c r="Z193" t="s" s="0">
        <v>93</v>
      </c>
      <c r="AA193" t="s" s="0">
        <v>94</v>
      </c>
      <c r="AB193" t="s" s="0">
        <v>81</v>
      </c>
      <c r="AC193" t="s" s="0">
        <v>81</v>
      </c>
      <c r="AD193" t="s" s="0">
        <v>81</v>
      </c>
      <c r="AE193" t="s" s="0">
        <v>81</v>
      </c>
      <c r="AF193" t="s" s="0">
        <v>81</v>
      </c>
      <c r="AG193" t="s" s="0">
        <v>4762</v>
      </c>
      <c r="AH193" t="s" s="0">
        <v>81</v>
      </c>
      <c r="AI193" t="s" s="0">
        <v>4763</v>
      </c>
      <c r="AJ193" t="s" s="0">
        <v>81</v>
      </c>
      <c r="AK193" t="s" s="0">
        <v>81</v>
      </c>
      <c r="AL193" t="s" s="0">
        <v>619</v>
      </c>
      <c r="AM193" t="s" s="0">
        <v>77</v>
      </c>
      <c r="AN193" t="s" s="0">
        <v>77</v>
      </c>
      <c r="AO193" t="s" s="0">
        <v>101</v>
      </c>
      <c r="AP193" t="s" s="0">
        <v>405</v>
      </c>
      <c r="AQ193" t="s" s="0">
        <v>4764</v>
      </c>
      <c r="AR193" t="s" s="0">
        <v>269</v>
      </c>
      <c r="AS193" t="s" s="0">
        <v>4765</v>
      </c>
      <c r="AT193" t="s" s="0">
        <v>4766</v>
      </c>
      <c r="AU193" t="s" s="0">
        <v>4767</v>
      </c>
      <c r="AV193" t="s" s="0">
        <v>81</v>
      </c>
      <c r="AW193" t="s" s="0">
        <v>4768</v>
      </c>
      <c r="AX193" t="s" s="0">
        <v>4769</v>
      </c>
      <c r="AY193" t="s" s="0">
        <v>1470</v>
      </c>
      <c r="AZ193" t="s" s="0">
        <v>111</v>
      </c>
      <c r="BA193" t="s" s="0">
        <v>785</v>
      </c>
      <c r="BB193" t="s" s="0">
        <v>158</v>
      </c>
      <c r="BC193" t="s" s="0">
        <v>81</v>
      </c>
      <c r="BD193" t="s" s="0">
        <v>81</v>
      </c>
      <c r="BE193" t="s" s="0">
        <v>81</v>
      </c>
      <c r="BF193" t="s" s="0">
        <v>81</v>
      </c>
      <c r="BG193" t="s" s="0">
        <v>4770</v>
      </c>
      <c r="BH193" t="s" s="0">
        <v>4771</v>
      </c>
      <c r="BI193" t="s" s="0">
        <v>81</v>
      </c>
      <c r="BJ193" t="s" s="0">
        <v>4772</v>
      </c>
      <c r="BK193" t="s" s="381">
        <f>HYPERLINK("http://dx.doi.org/10.1007/s10115-025-02386-6","http://dx.doi.org/10.1007/s10115-025-02386-6")</f>
        <v>4773</v>
      </c>
      <c r="BL193" t="s" s="0">
        <v>81</v>
      </c>
      <c r="BM193" t="s" s="0">
        <v>1474</v>
      </c>
      <c r="BN193" t="s" s="0">
        <v>275</v>
      </c>
      <c r="BO193" t="s" s="0">
        <v>4774</v>
      </c>
      <c r="BP193" t="s" s="0">
        <v>250</v>
      </c>
      <c r="BQ193" t="s" s="0">
        <v>4775</v>
      </c>
      <c r="BR193" t="s" s="0">
        <v>81</v>
      </c>
      <c r="BS193" t="s" s="0">
        <v>4776</v>
      </c>
      <c r="BT193" t="s" s="382">
        <f>HYPERLINK("https://www.webofscience.com/wos/woscc/full-record/WOS:001448392400001","View Record in Web of Science")</f>
        <v>123</v>
      </c>
      <c r="BU193" t="s" s="0">
        <v>81</v>
      </c>
      <c r="BV193" t="s" s="0">
        <v>81</v>
      </c>
      <c r="BW193" t="s" s="0">
        <v>81</v>
      </c>
      <c r="BX193" t="s" s="0">
        <v>124</v>
      </c>
    </row>
    <row r="194">
      <c r="A194" t="s" s="0">
        <v>100</v>
      </c>
      <c r="B194" t="s" s="0">
        <v>77</v>
      </c>
      <c r="C194" t="s" s="0">
        <v>101</v>
      </c>
      <c r="D194" t="s" s="0">
        <v>77</v>
      </c>
      <c r="E194" t="s" s="0">
        <v>4777</v>
      </c>
      <c r="F194" t="s" s="0">
        <v>4778</v>
      </c>
      <c r="G194" t="s" s="0">
        <v>4779</v>
      </c>
      <c r="H194" t="s" s="0">
        <v>81</v>
      </c>
      <c r="I194" t="s" s="0">
        <v>195</v>
      </c>
      <c r="J194" t="s" s="0">
        <v>4780</v>
      </c>
      <c r="K194" t="s" s="0">
        <v>4781</v>
      </c>
      <c r="L194" t="s" s="0">
        <v>4782</v>
      </c>
      <c r="M194" t="s" s="0">
        <v>4783</v>
      </c>
      <c r="N194" t="s" s="0">
        <v>4784</v>
      </c>
      <c r="O194" t="s" s="0">
        <v>4785</v>
      </c>
      <c r="P194" t="s" s="0">
        <v>4786</v>
      </c>
      <c r="Q194" t="s" s="0">
        <v>90</v>
      </c>
      <c r="R194" t="s" s="0">
        <v>81</v>
      </c>
      <c r="S194" t="s" s="0">
        <v>81</v>
      </c>
      <c r="T194" t="s" s="0">
        <v>81</v>
      </c>
      <c r="U194" t="s" s="0">
        <v>81</v>
      </c>
      <c r="V194" t="s" s="0">
        <v>4787</v>
      </c>
      <c r="W194" t="s" s="0">
        <v>4788</v>
      </c>
      <c r="X194" t="s" s="0">
        <v>81</v>
      </c>
      <c r="Y194" t="s" s="0">
        <v>81</v>
      </c>
      <c r="Z194" t="s" s="0">
        <v>93</v>
      </c>
      <c r="AA194" t="s" s="0">
        <v>94</v>
      </c>
      <c r="AB194" t="s" s="0">
        <v>81</v>
      </c>
      <c r="AC194" t="s" s="0">
        <v>81</v>
      </c>
      <c r="AD194" t="s" s="0">
        <v>81</v>
      </c>
      <c r="AE194" t="s" s="0">
        <v>81</v>
      </c>
      <c r="AF194" t="s" s="0">
        <v>81</v>
      </c>
      <c r="AG194" t="s" s="0">
        <v>4789</v>
      </c>
      <c r="AH194" t="s" s="0">
        <v>4790</v>
      </c>
      <c r="AI194" t="s" s="0">
        <v>4791</v>
      </c>
      <c r="AJ194" t="s" s="0">
        <v>4792</v>
      </c>
      <c r="AK194" t="s" s="0">
        <v>81</v>
      </c>
      <c r="AL194" t="s" s="0">
        <v>937</v>
      </c>
      <c r="AM194" t="s" s="0">
        <v>138</v>
      </c>
      <c r="AN194" t="s" s="0">
        <v>399</v>
      </c>
      <c r="AO194" t="s" s="0">
        <v>137</v>
      </c>
      <c r="AP194" t="s" s="0">
        <v>117</v>
      </c>
      <c r="AQ194" t="s" s="0">
        <v>4793</v>
      </c>
      <c r="AR194" t="s" s="0">
        <v>4794</v>
      </c>
      <c r="AS194" t="s" s="0">
        <v>4795</v>
      </c>
      <c r="AT194" t="s" s="0">
        <v>81</v>
      </c>
      <c r="AU194" t="s" s="0">
        <v>4796</v>
      </c>
      <c r="AV194" t="s" s="0">
        <v>81</v>
      </c>
      <c r="AW194" t="s" s="0">
        <v>4797</v>
      </c>
      <c r="AX194" t="s" s="0">
        <v>4798</v>
      </c>
      <c r="AY194" t="s" s="0">
        <v>4799</v>
      </c>
      <c r="AZ194" t="s" s="0">
        <v>309</v>
      </c>
      <c r="BA194" t="s" s="0">
        <v>183</v>
      </c>
      <c r="BB194" t="s" s="0">
        <v>100</v>
      </c>
      <c r="BC194" t="s" s="0">
        <v>81</v>
      </c>
      <c r="BD194" t="s" s="0">
        <v>81</v>
      </c>
      <c r="BE194" t="s" s="0">
        <v>81</v>
      </c>
      <c r="BF194" t="s" s="0">
        <v>81</v>
      </c>
      <c r="BG194" t="s" s="0">
        <v>4800</v>
      </c>
      <c r="BH194" t="s" s="0">
        <v>4801</v>
      </c>
      <c r="BI194" t="s" s="0">
        <v>81</v>
      </c>
      <c r="BJ194" t="s" s="0">
        <v>4802</v>
      </c>
      <c r="BK194" t="s" s="383">
        <f>HYPERLINK("http://dx.doi.org/10.26599/BDMA.2024.9020012","http://dx.doi.org/10.26599/BDMA.2024.9020012")</f>
        <v>4803</v>
      </c>
      <c r="BL194" t="s" s="0">
        <v>81</v>
      </c>
      <c r="BM194" t="s" s="0">
        <v>81</v>
      </c>
      <c r="BN194" t="s" s="0">
        <v>117</v>
      </c>
      <c r="BO194" t="s" s="0">
        <v>4774</v>
      </c>
      <c r="BP194" t="s" s="0">
        <v>250</v>
      </c>
      <c r="BQ194" t="s" s="0">
        <v>4804</v>
      </c>
      <c r="BR194" t="s" s="0">
        <v>81</v>
      </c>
      <c r="BS194" t="s" s="0">
        <v>4805</v>
      </c>
      <c r="BT194" t="s" s="384">
        <f>HYPERLINK("https://www.webofscience.com/wos/woscc/full-record/WOS:001306486900006","View Record in Web of Science")</f>
        <v>123</v>
      </c>
      <c r="BU194" t="s" s="0">
        <v>222</v>
      </c>
      <c r="BV194" t="s" s="0">
        <v>81</v>
      </c>
      <c r="BW194" t="s" s="0">
        <v>81</v>
      </c>
      <c r="BX194" t="s" s="0">
        <v>124</v>
      </c>
    </row>
    <row r="195">
      <c r="A195" t="s" s="0">
        <v>77</v>
      </c>
      <c r="B195" t="s" s="0">
        <v>77</v>
      </c>
      <c r="C195" t="s" s="0">
        <v>77</v>
      </c>
      <c r="D195" t="s" s="0">
        <v>77</v>
      </c>
      <c r="E195" t="s" s="0">
        <v>4806</v>
      </c>
      <c r="F195" t="s" s="0">
        <v>4807</v>
      </c>
      <c r="G195" t="s" s="0">
        <v>4808</v>
      </c>
      <c r="H195" t="s" s="0">
        <v>81</v>
      </c>
      <c r="I195" t="s" s="0">
        <v>82</v>
      </c>
      <c r="J195" t="s" s="0">
        <v>4809</v>
      </c>
      <c r="K195" t="s" s="0">
        <v>4810</v>
      </c>
      <c r="L195" t="s" s="0">
        <v>4811</v>
      </c>
      <c r="M195" t="s" s="0">
        <v>4812</v>
      </c>
      <c r="N195" t="s" s="0">
        <v>4813</v>
      </c>
      <c r="O195" t="s" s="0">
        <v>4814</v>
      </c>
      <c r="P195" t="s" s="0">
        <v>4815</v>
      </c>
      <c r="Q195" t="s" s="0">
        <v>90</v>
      </c>
      <c r="R195" t="s" s="0">
        <v>81</v>
      </c>
      <c r="S195" t="s" s="0">
        <v>81</v>
      </c>
      <c r="T195" t="s" s="0">
        <v>81</v>
      </c>
      <c r="U195" t="s" s="0">
        <v>81</v>
      </c>
      <c r="V195" t="s" s="0">
        <v>4816</v>
      </c>
      <c r="W195" t="s" s="0">
        <v>2786</v>
      </c>
      <c r="X195" t="s" s="0">
        <v>81</v>
      </c>
      <c r="Y195" t="s" s="0">
        <v>81</v>
      </c>
      <c r="Z195" t="s" s="0">
        <v>93</v>
      </c>
      <c r="AA195" t="s" s="0">
        <v>94</v>
      </c>
      <c r="AB195" t="s" s="0">
        <v>81</v>
      </c>
      <c r="AC195" t="s" s="0">
        <v>81</v>
      </c>
      <c r="AD195" t="s" s="0">
        <v>81</v>
      </c>
      <c r="AE195" t="s" s="0">
        <v>81</v>
      </c>
      <c r="AF195" t="s" s="0">
        <v>81</v>
      </c>
      <c r="AG195" t="s" s="0">
        <v>4817</v>
      </c>
      <c r="AH195" t="s" s="0">
        <v>4818</v>
      </c>
      <c r="AI195" t="s" s="0">
        <v>4819</v>
      </c>
      <c r="AJ195" t="s" s="0">
        <v>4820</v>
      </c>
      <c r="AK195" t="s" s="0">
        <v>81</v>
      </c>
      <c r="AL195" t="s" s="0">
        <v>99</v>
      </c>
      <c r="AM195" t="s" s="0">
        <v>137</v>
      </c>
      <c r="AN195" t="s" s="0">
        <v>137</v>
      </c>
      <c r="AO195" t="s" s="0">
        <v>158</v>
      </c>
      <c r="AP195" t="s" s="0">
        <v>182</v>
      </c>
      <c r="AQ195" t="s" s="0">
        <v>588</v>
      </c>
      <c r="AR195" t="s" s="0">
        <v>589</v>
      </c>
      <c r="AS195" t="s" s="0">
        <v>590</v>
      </c>
      <c r="AT195" t="s" s="0">
        <v>2788</v>
      </c>
      <c r="AU195" t="s" s="0">
        <v>2789</v>
      </c>
      <c r="AV195" t="s" s="0">
        <v>81</v>
      </c>
      <c r="AW195" t="s" s="0">
        <v>2790</v>
      </c>
      <c r="AX195" t="s" s="0">
        <v>2791</v>
      </c>
      <c r="AY195" t="s" s="0">
        <v>212</v>
      </c>
      <c r="AZ195" t="s" s="0">
        <v>212</v>
      </c>
      <c r="BA195" t="s" s="0">
        <v>652</v>
      </c>
      <c r="BB195" t="s" s="0">
        <v>81</v>
      </c>
      <c r="BC195" t="s" s="0">
        <v>81</v>
      </c>
      <c r="BD195" t="s" s="0">
        <v>81</v>
      </c>
      <c r="BE195" t="s" s="0">
        <v>81</v>
      </c>
      <c r="BF195" t="s" s="0">
        <v>81</v>
      </c>
      <c r="BG195" t="s" s="0">
        <v>4821</v>
      </c>
      <c r="BH195" t="s" s="0">
        <v>4822</v>
      </c>
      <c r="BI195" t="s" s="0">
        <v>81</v>
      </c>
      <c r="BJ195" t="s" s="0">
        <v>4823</v>
      </c>
      <c r="BK195" t="s" s="385">
        <f>HYPERLINK("http://dx.doi.org/10.1109/JSTARS.2025.3637891","http://dx.doi.org/10.1109/JSTARS.2025.3637891")</f>
        <v>4824</v>
      </c>
      <c r="BL195" t="s" s="0">
        <v>81</v>
      </c>
      <c r="BM195" t="s" s="0">
        <v>81</v>
      </c>
      <c r="BN195" t="s" s="0">
        <v>182</v>
      </c>
      <c r="BO195" t="s" s="0">
        <v>2796</v>
      </c>
      <c r="BP195" t="s" s="0">
        <v>2797</v>
      </c>
      <c r="BQ195" t="s" s="0">
        <v>4825</v>
      </c>
      <c r="BR195" t="s" s="0">
        <v>81</v>
      </c>
      <c r="BS195" t="s" s="0">
        <v>4826</v>
      </c>
      <c r="BT195" t="s" s="386">
        <f>HYPERLINK("https://www.webofscience.com/wos/woscc/full-record/WOS:001649663000001","View Record in Web of Science")</f>
        <v>123</v>
      </c>
      <c r="BU195" t="s" s="0">
        <v>222</v>
      </c>
      <c r="BV195" t="s" s="0">
        <v>81</v>
      </c>
      <c r="BW195" t="s" s="0">
        <v>81</v>
      </c>
      <c r="BX195" t="s" s="0">
        <v>124</v>
      </c>
    </row>
    <row r="196">
      <c r="A196" t="s" s="0">
        <v>77</v>
      </c>
      <c r="B196" t="s" s="0">
        <v>77</v>
      </c>
      <c r="C196" t="s" s="0">
        <v>301</v>
      </c>
      <c r="D196" t="s" s="0">
        <v>77</v>
      </c>
      <c r="E196" t="s" s="0">
        <v>4827</v>
      </c>
      <c r="F196" t="s" s="0">
        <v>4828</v>
      </c>
      <c r="G196" t="s" s="0">
        <v>4829</v>
      </c>
      <c r="H196" t="s" s="0">
        <v>81</v>
      </c>
      <c r="I196" t="s" s="0">
        <v>82</v>
      </c>
      <c r="J196" t="s" s="0">
        <v>4830</v>
      </c>
      <c r="K196" t="s" s="0">
        <v>4831</v>
      </c>
      <c r="L196" t="s" s="0">
        <v>4832</v>
      </c>
      <c r="M196" t="s" s="0">
        <v>4833</v>
      </c>
      <c r="N196" t="s" s="0">
        <v>4834</v>
      </c>
      <c r="O196" t="s" s="0">
        <v>4835</v>
      </c>
      <c r="P196" t="s" s="0">
        <v>4836</v>
      </c>
      <c r="Q196" t="s" s="0">
        <v>90</v>
      </c>
      <c r="R196" t="s" s="0">
        <v>81</v>
      </c>
      <c r="S196" t="s" s="0">
        <v>81</v>
      </c>
      <c r="T196" t="s" s="0">
        <v>81</v>
      </c>
      <c r="U196" t="s" s="0">
        <v>81</v>
      </c>
      <c r="V196" t="s" s="0">
        <v>4837</v>
      </c>
      <c r="W196" t="s" s="0">
        <v>4838</v>
      </c>
      <c r="X196" t="s" s="0">
        <v>81</v>
      </c>
      <c r="Y196" t="s" s="0">
        <v>81</v>
      </c>
      <c r="Z196" t="s" s="0">
        <v>93</v>
      </c>
      <c r="AA196" t="s" s="0">
        <v>94</v>
      </c>
      <c r="AB196" t="s" s="0">
        <v>81</v>
      </c>
      <c r="AC196" t="s" s="0">
        <v>81</v>
      </c>
      <c r="AD196" t="s" s="0">
        <v>81</v>
      </c>
      <c r="AE196" t="s" s="0">
        <v>81</v>
      </c>
      <c r="AF196" t="s" s="0">
        <v>81</v>
      </c>
      <c r="AG196" t="s" s="0">
        <v>4839</v>
      </c>
      <c r="AH196" t="s" s="0">
        <v>4840</v>
      </c>
      <c r="AI196" t="s" s="0">
        <v>4841</v>
      </c>
      <c r="AJ196" t="s" s="0">
        <v>4842</v>
      </c>
      <c r="AK196" t="s" s="0">
        <v>81</v>
      </c>
      <c r="AL196" t="s" s="0">
        <v>207</v>
      </c>
      <c r="AM196" t="s" s="0">
        <v>182</v>
      </c>
      <c r="AN196" t="s" s="0">
        <v>117</v>
      </c>
      <c r="AO196" t="s" s="0">
        <v>100</v>
      </c>
      <c r="AP196" t="s" s="0">
        <v>676</v>
      </c>
      <c r="AQ196" t="s" s="0">
        <v>4843</v>
      </c>
      <c r="AR196" t="s" s="0">
        <v>269</v>
      </c>
      <c r="AS196" t="s" s="0">
        <v>4844</v>
      </c>
      <c r="AT196" t="s" s="0">
        <v>4845</v>
      </c>
      <c r="AU196" t="s" s="0">
        <v>4846</v>
      </c>
      <c r="AV196" t="s" s="0">
        <v>81</v>
      </c>
      <c r="AW196" t="s" s="0">
        <v>4847</v>
      </c>
      <c r="AX196" t="s" s="0">
        <v>4848</v>
      </c>
      <c r="AY196" t="s" s="0">
        <v>4849</v>
      </c>
      <c r="AZ196" t="s" s="0">
        <v>678</v>
      </c>
      <c r="BA196" t="s" s="0">
        <v>448</v>
      </c>
      <c r="BB196" t="s" s="0">
        <v>333</v>
      </c>
      <c r="BC196" t="s" s="0">
        <v>81</v>
      </c>
      <c r="BD196" t="s" s="0">
        <v>628</v>
      </c>
      <c r="BE196" t="s" s="0">
        <v>81</v>
      </c>
      <c r="BF196" t="s" s="0">
        <v>81</v>
      </c>
      <c r="BG196" t="s" s="0">
        <v>4850</v>
      </c>
      <c r="BH196" t="s" s="0">
        <v>4851</v>
      </c>
      <c r="BI196" t="s" s="0">
        <v>81</v>
      </c>
      <c r="BJ196" t="s" s="0">
        <v>4852</v>
      </c>
      <c r="BK196" t="s" s="387">
        <f>HYPERLINK("http://dx.doi.org/10.1016/j.jksuci.2022.03.011","http://dx.doi.org/10.1016/j.jksuci.2022.03.011")</f>
        <v>4853</v>
      </c>
      <c r="BL196" t="s" s="0">
        <v>81</v>
      </c>
      <c r="BM196" t="s" s="0">
        <v>81</v>
      </c>
      <c r="BN196" t="s" s="0">
        <v>117</v>
      </c>
      <c r="BO196" t="s" s="0">
        <v>1409</v>
      </c>
      <c r="BP196" t="s" s="0">
        <v>250</v>
      </c>
      <c r="BQ196" t="s" s="0">
        <v>4854</v>
      </c>
      <c r="BR196" t="s" s="0">
        <v>81</v>
      </c>
      <c r="BS196" t="s" s="0">
        <v>4855</v>
      </c>
      <c r="BT196" t="s" s="388">
        <f>HYPERLINK("https://www.webofscience.com/wos/woscc/full-record/WOS:000835043700011","View Record in Web of Science")</f>
        <v>123</v>
      </c>
      <c r="BU196" t="s" s="0">
        <v>870</v>
      </c>
      <c r="BV196" t="s" s="0">
        <v>81</v>
      </c>
      <c r="BW196" t="s" s="0">
        <v>81</v>
      </c>
      <c r="BX196" t="s" s="0">
        <v>124</v>
      </c>
    </row>
    <row r="197">
      <c r="A197" t="s" s="0">
        <v>77</v>
      </c>
      <c r="B197" t="s" s="0">
        <v>77</v>
      </c>
      <c r="C197" t="s" s="0">
        <v>77</v>
      </c>
      <c r="D197" t="s" s="0">
        <v>77</v>
      </c>
      <c r="E197" t="s" s="0">
        <v>4856</v>
      </c>
      <c r="F197" t="s" s="0">
        <v>4857</v>
      </c>
      <c r="G197" t="s" s="0">
        <v>4858</v>
      </c>
      <c r="H197" t="s" s="0">
        <v>81</v>
      </c>
      <c r="I197" t="s" s="0">
        <v>82</v>
      </c>
      <c r="J197" t="s" s="0">
        <v>4859</v>
      </c>
      <c r="K197" t="s" s="0">
        <v>4860</v>
      </c>
      <c r="L197" t="s" s="0">
        <v>81</v>
      </c>
      <c r="M197" t="s" s="0">
        <v>81</v>
      </c>
      <c r="N197" t="s" s="0">
        <v>81</v>
      </c>
      <c r="O197" t="s" s="0">
        <v>4861</v>
      </c>
      <c r="P197" t="s" s="0">
        <v>4862</v>
      </c>
      <c r="Q197" t="s" s="0">
        <v>90</v>
      </c>
      <c r="R197" t="s" s="0">
        <v>81</v>
      </c>
      <c r="S197" t="s" s="0">
        <v>81</v>
      </c>
      <c r="T197" t="s" s="0">
        <v>81</v>
      </c>
      <c r="U197" t="s" s="0">
        <v>81</v>
      </c>
      <c r="V197" t="s" s="0">
        <v>4863</v>
      </c>
      <c r="W197" t="s" s="0">
        <v>4864</v>
      </c>
      <c r="X197" t="s" s="0">
        <v>81</v>
      </c>
      <c r="Y197" t="s" s="0">
        <v>81</v>
      </c>
      <c r="Z197" t="s" s="0">
        <v>93</v>
      </c>
      <c r="AA197" t="s" s="0">
        <v>94</v>
      </c>
      <c r="AB197" t="s" s="0">
        <v>81</v>
      </c>
      <c r="AC197" t="s" s="0">
        <v>81</v>
      </c>
      <c r="AD197" t="s" s="0">
        <v>81</v>
      </c>
      <c r="AE197" t="s" s="0">
        <v>81</v>
      </c>
      <c r="AF197" t="s" s="0">
        <v>81</v>
      </c>
      <c r="AG197" t="s" s="0">
        <v>4865</v>
      </c>
      <c r="AH197" t="s" s="0">
        <v>81</v>
      </c>
      <c r="AI197" t="s" s="0">
        <v>4866</v>
      </c>
      <c r="AJ197" t="s" s="0">
        <v>4867</v>
      </c>
      <c r="AK197" t="s" s="0">
        <v>81</v>
      </c>
      <c r="AL197" t="s" s="0">
        <v>2525</v>
      </c>
      <c r="AM197" t="s" s="0">
        <v>77</v>
      </c>
      <c r="AN197" t="s" s="0">
        <v>77</v>
      </c>
      <c r="AO197" t="s" s="0">
        <v>100</v>
      </c>
      <c r="AP197" t="s" s="0">
        <v>102</v>
      </c>
      <c r="AQ197" t="s" s="0">
        <v>704</v>
      </c>
      <c r="AR197" t="s" s="0">
        <v>506</v>
      </c>
      <c r="AS197" t="s" s="0">
        <v>705</v>
      </c>
      <c r="AT197" t="s" s="0">
        <v>4868</v>
      </c>
      <c r="AU197" t="s" s="0">
        <v>4869</v>
      </c>
      <c r="AV197" t="s" s="0">
        <v>81</v>
      </c>
      <c r="AW197" t="s" s="0">
        <v>4870</v>
      </c>
      <c r="AX197" t="s" s="0">
        <v>4871</v>
      </c>
      <c r="AY197" t="s" s="0">
        <v>4799</v>
      </c>
      <c r="AZ197" t="s" s="0">
        <v>309</v>
      </c>
      <c r="BA197" t="s" s="0">
        <v>217</v>
      </c>
      <c r="BB197" t="s" s="0">
        <v>399</v>
      </c>
      <c r="BC197" t="s" s="0">
        <v>2965</v>
      </c>
      <c r="BD197" t="s" s="0">
        <v>81</v>
      </c>
      <c r="BE197" t="s" s="0">
        <v>81</v>
      </c>
      <c r="BF197" t="s" s="0">
        <v>81</v>
      </c>
      <c r="BG197" t="s" s="0">
        <v>81</v>
      </c>
      <c r="BH197" t="s" s="0">
        <v>81</v>
      </c>
      <c r="BI197" t="s" s="0">
        <v>4872</v>
      </c>
      <c r="BJ197" t="s" s="0">
        <v>4873</v>
      </c>
      <c r="BK197" t="s" s="389">
        <f>HYPERLINK("http://dx.doi.org/10.1145/3672565","http://dx.doi.org/10.1145/3672565")</f>
        <v>4874</v>
      </c>
      <c r="BL197" t="s" s="0">
        <v>81</v>
      </c>
      <c r="BM197" t="s" s="0">
        <v>81</v>
      </c>
      <c r="BN197" t="s" s="0">
        <v>275</v>
      </c>
      <c r="BO197" t="s" s="0">
        <v>4875</v>
      </c>
      <c r="BP197" t="s" s="0">
        <v>250</v>
      </c>
      <c r="BQ197" t="s" s="0">
        <v>4876</v>
      </c>
      <c r="BR197" t="s" s="0">
        <v>81</v>
      </c>
      <c r="BS197" t="s" s="0">
        <v>4877</v>
      </c>
      <c r="BT197" t="s" s="390">
        <f>HYPERLINK("https://www.webofscience.com/wos/woscc/full-record/WOS:001325876400001","View Record in Web of Science")</f>
        <v>123</v>
      </c>
      <c r="BU197" t="s" s="0">
        <v>716</v>
      </c>
      <c r="BV197" t="s" s="0">
        <v>81</v>
      </c>
      <c r="BW197" t="s" s="0">
        <v>81</v>
      </c>
      <c r="BX197" t="s" s="0">
        <v>124</v>
      </c>
    </row>
    <row r="198">
      <c r="A198" t="s" s="0">
        <v>77</v>
      </c>
      <c r="B198" t="s" s="0">
        <v>77</v>
      </c>
      <c r="C198" t="s" s="0">
        <v>77</v>
      </c>
      <c r="D198" t="s" s="0">
        <v>77</v>
      </c>
      <c r="E198" t="s" s="0">
        <v>4878</v>
      </c>
      <c r="F198" t="s" s="0">
        <v>4879</v>
      </c>
      <c r="G198" t="s" s="0">
        <v>4880</v>
      </c>
      <c r="H198" t="s" s="0">
        <v>81</v>
      </c>
      <c r="I198" t="s" s="0">
        <v>82</v>
      </c>
      <c r="J198" t="s" s="0">
        <v>4881</v>
      </c>
      <c r="K198" t="s" s="0">
        <v>4882</v>
      </c>
      <c r="L198" t="s" s="0">
        <v>4883</v>
      </c>
      <c r="M198" t="s" s="0">
        <v>4884</v>
      </c>
      <c r="N198" t="s" s="0">
        <v>4885</v>
      </c>
      <c r="O198" t="s" s="0">
        <v>4886</v>
      </c>
      <c r="P198" t="s" s="0">
        <v>4887</v>
      </c>
      <c r="Q198" t="s" s="0">
        <v>90</v>
      </c>
      <c r="R198" t="s" s="0">
        <v>81</v>
      </c>
      <c r="S198" t="s" s="0">
        <v>81</v>
      </c>
      <c r="T198" t="s" s="0">
        <v>81</v>
      </c>
      <c r="U198" t="s" s="0">
        <v>81</v>
      </c>
      <c r="V198" t="s" s="0">
        <v>4888</v>
      </c>
      <c r="W198" t="s" s="0">
        <v>4606</v>
      </c>
      <c r="X198" t="s" s="0">
        <v>81</v>
      </c>
      <c r="Y198" t="s" s="0">
        <v>81</v>
      </c>
      <c r="Z198" t="s" s="0">
        <v>93</v>
      </c>
      <c r="AA198" t="s" s="0">
        <v>94</v>
      </c>
      <c r="AB198" t="s" s="0">
        <v>81</v>
      </c>
      <c r="AC198" t="s" s="0">
        <v>81</v>
      </c>
      <c r="AD198" t="s" s="0">
        <v>81</v>
      </c>
      <c r="AE198" t="s" s="0">
        <v>81</v>
      </c>
      <c r="AF198" t="s" s="0">
        <v>81</v>
      </c>
      <c r="AG198" t="s" s="0">
        <v>4889</v>
      </c>
      <c r="AH198" t="s" s="0">
        <v>4890</v>
      </c>
      <c r="AI198" t="s" s="0">
        <v>81</v>
      </c>
      <c r="AJ198" t="s" s="0">
        <v>81</v>
      </c>
      <c r="AK198" t="s" s="0">
        <v>81</v>
      </c>
      <c r="AL198" t="s" s="0">
        <v>1218</v>
      </c>
      <c r="AM198" t="s" s="0">
        <v>77</v>
      </c>
      <c r="AN198" t="s" s="0">
        <v>77</v>
      </c>
      <c r="AO198" t="s" s="0">
        <v>77</v>
      </c>
      <c r="AP198" t="s" s="0">
        <v>77</v>
      </c>
      <c r="AQ198" t="s" s="0">
        <v>620</v>
      </c>
      <c r="AR198" t="s" s="0">
        <v>621</v>
      </c>
      <c r="AS198" t="s" s="0">
        <v>622</v>
      </c>
      <c r="AT198" t="s" s="0">
        <v>4611</v>
      </c>
      <c r="AU198" t="s" s="0">
        <v>4612</v>
      </c>
      <c r="AV198" t="s" s="0">
        <v>81</v>
      </c>
      <c r="AW198" t="s" s="0">
        <v>4606</v>
      </c>
      <c r="AX198" t="s" s="0">
        <v>4613</v>
      </c>
      <c r="AY198" t="s" s="0">
        <v>4891</v>
      </c>
      <c r="AZ198" t="s" s="0">
        <v>212</v>
      </c>
      <c r="BA198" t="s" s="0">
        <v>4892</v>
      </c>
      <c r="BB198" t="s" s="0">
        <v>81</v>
      </c>
      <c r="BC198" t="s" s="0">
        <v>81</v>
      </c>
      <c r="BD198" t="s" s="0">
        <v>628</v>
      </c>
      <c r="BE198" t="s" s="0">
        <v>81</v>
      </c>
      <c r="BF198" t="s" s="0">
        <v>81</v>
      </c>
      <c r="BG198" t="s" s="0">
        <v>81</v>
      </c>
      <c r="BH198" t="s" s="0">
        <v>81</v>
      </c>
      <c r="BI198" t="s" s="0">
        <v>4893</v>
      </c>
      <c r="BJ198" t="s" s="0">
        <v>4894</v>
      </c>
      <c r="BK198" t="s" s="391">
        <f>HYPERLINK("http://dx.doi.org/10.1016/j.measurement.2026.122694","http://dx.doi.org/10.1016/j.measurement.2026.122694")</f>
        <v>4895</v>
      </c>
      <c r="BL198" t="s" s="0">
        <v>81</v>
      </c>
      <c r="BM198" t="s" s="0">
        <v>81</v>
      </c>
      <c r="BN198" t="s" s="0">
        <v>461</v>
      </c>
      <c r="BO198" t="s" s="0">
        <v>4619</v>
      </c>
      <c r="BP198" t="s" s="0">
        <v>4620</v>
      </c>
      <c r="BQ198" t="s" s="0">
        <v>4896</v>
      </c>
      <c r="BR198" t="s" s="0">
        <v>81</v>
      </c>
      <c r="BS198" t="s" s="0">
        <v>4897</v>
      </c>
      <c r="BT198" t="s" s="392">
        <f>HYPERLINK("https://www.webofscience.com/wos/woscc/full-record/WOS:001841110200001","View Record in Web of Science")</f>
        <v>123</v>
      </c>
      <c r="BU198" t="s" s="0">
        <v>81</v>
      </c>
      <c r="BV198" t="s" s="0">
        <v>81</v>
      </c>
      <c r="BW198" t="s" s="0">
        <v>81</v>
      </c>
      <c r="BX198" t="s" s="0">
        <v>124</v>
      </c>
    </row>
    <row r="199">
      <c r="A199" t="s" s="0">
        <v>77</v>
      </c>
      <c r="B199" t="s" s="0">
        <v>77</v>
      </c>
      <c r="C199" t="s" s="0">
        <v>137</v>
      </c>
      <c r="D199" t="s" s="0">
        <v>77</v>
      </c>
      <c r="E199" t="s" s="0">
        <v>4898</v>
      </c>
      <c r="F199" t="s" s="0">
        <v>4899</v>
      </c>
      <c r="G199" t="s" s="0">
        <v>4900</v>
      </c>
      <c r="H199" t="s" s="0">
        <v>81</v>
      </c>
      <c r="I199" t="s" s="0">
        <v>82</v>
      </c>
      <c r="J199" t="s" s="0">
        <v>4901</v>
      </c>
      <c r="K199" t="s" s="0">
        <v>4902</v>
      </c>
      <c r="L199" t="s" s="0">
        <v>4903</v>
      </c>
      <c r="M199" t="s" s="0">
        <v>199</v>
      </c>
      <c r="N199" t="s" s="0">
        <v>4904</v>
      </c>
      <c r="O199" t="s" s="0">
        <v>4905</v>
      </c>
      <c r="P199" t="s" s="0">
        <v>4906</v>
      </c>
      <c r="Q199" t="s" s="0">
        <v>90</v>
      </c>
      <c r="R199" t="s" s="0">
        <v>81</v>
      </c>
      <c r="S199" t="s" s="0">
        <v>81</v>
      </c>
      <c r="T199" t="s" s="0">
        <v>81</v>
      </c>
      <c r="U199" t="s" s="0">
        <v>81</v>
      </c>
      <c r="V199" t="s" s="0">
        <v>4907</v>
      </c>
      <c r="W199" t="s" s="0">
        <v>585</v>
      </c>
      <c r="X199" t="s" s="0">
        <v>81</v>
      </c>
      <c r="Y199" t="s" s="0">
        <v>81</v>
      </c>
      <c r="Z199" t="s" s="0">
        <v>93</v>
      </c>
      <c r="AA199" t="s" s="0">
        <v>94</v>
      </c>
      <c r="AB199" t="s" s="0">
        <v>81</v>
      </c>
      <c r="AC199" t="s" s="0">
        <v>81</v>
      </c>
      <c r="AD199" t="s" s="0">
        <v>81</v>
      </c>
      <c r="AE199" t="s" s="0">
        <v>81</v>
      </c>
      <c r="AF199" t="s" s="0">
        <v>81</v>
      </c>
      <c r="AG199" t="s" s="0">
        <v>4908</v>
      </c>
      <c r="AH199" t="s" s="0">
        <v>4909</v>
      </c>
      <c r="AI199" t="s" s="0">
        <v>4910</v>
      </c>
      <c r="AJ199" t="s" s="0">
        <v>4911</v>
      </c>
      <c r="AK199" t="s" s="0">
        <v>81</v>
      </c>
      <c r="AL199" t="s" s="0">
        <v>785</v>
      </c>
      <c r="AM199" t="s" s="0">
        <v>101</v>
      </c>
      <c r="AN199" t="s" s="0">
        <v>100</v>
      </c>
      <c r="AO199" t="s" s="0">
        <v>101</v>
      </c>
      <c r="AP199" t="s" s="0">
        <v>182</v>
      </c>
      <c r="AQ199" t="s" s="0">
        <v>588</v>
      </c>
      <c r="AR199" t="s" s="0">
        <v>589</v>
      </c>
      <c r="AS199" t="s" s="0">
        <v>590</v>
      </c>
      <c r="AT199" t="s" s="0">
        <v>591</v>
      </c>
      <c r="AU199" t="s" s="0">
        <v>592</v>
      </c>
      <c r="AV199" t="s" s="0">
        <v>81</v>
      </c>
      <c r="AW199" t="s" s="0">
        <v>593</v>
      </c>
      <c r="AX199" t="s" s="0">
        <v>594</v>
      </c>
      <c r="AY199" t="s" s="0">
        <v>404</v>
      </c>
      <c r="AZ199" t="s" s="0">
        <v>111</v>
      </c>
      <c r="BA199" t="s" s="0">
        <v>566</v>
      </c>
      <c r="BB199" t="s" s="0">
        <v>101</v>
      </c>
      <c r="BC199" t="s" s="0">
        <v>81</v>
      </c>
      <c r="BD199" t="s" s="0">
        <v>81</v>
      </c>
      <c r="BE199" t="s" s="0">
        <v>81</v>
      </c>
      <c r="BF199" t="s" s="0">
        <v>81</v>
      </c>
      <c r="BG199" t="s" s="0">
        <v>4912</v>
      </c>
      <c r="BH199" t="s" s="0">
        <v>2500</v>
      </c>
      <c r="BI199" t="s" s="0">
        <v>81</v>
      </c>
      <c r="BJ199" t="s" s="0">
        <v>4913</v>
      </c>
      <c r="BK199" t="s" s="393">
        <f>HYPERLINK("http://dx.doi.org/10.1109/JBHI.2024.3501386","http://dx.doi.org/10.1109/JBHI.2024.3501386")</f>
        <v>4914</v>
      </c>
      <c r="BL199" t="s" s="0">
        <v>81</v>
      </c>
      <c r="BM199" t="s" s="0">
        <v>81</v>
      </c>
      <c r="BN199" t="s" s="0">
        <v>213</v>
      </c>
      <c r="BO199" t="s" s="0">
        <v>600</v>
      </c>
      <c r="BP199" t="s" s="0">
        <v>601</v>
      </c>
      <c r="BQ199" t="s" s="0">
        <v>4915</v>
      </c>
      <c r="BR199" t="s" s="0">
        <v>4916</v>
      </c>
      <c r="BS199" t="s" s="0">
        <v>4917</v>
      </c>
      <c r="BT199" t="s" s="394">
        <f>HYPERLINK("https://www.webofscience.com/wos/woscc/full-record/WOS:001427944500003","View Record in Web of Science")</f>
        <v>123</v>
      </c>
      <c r="BU199" t="s" s="0">
        <v>81</v>
      </c>
      <c r="BV199" t="s" s="0">
        <v>81</v>
      </c>
      <c r="BW199" t="s" s="0">
        <v>81</v>
      </c>
      <c r="BX199" t="s" s="0">
        <v>124</v>
      </c>
    </row>
    <row r="200">
      <c r="A200" t="s" s="0">
        <v>77</v>
      </c>
      <c r="B200" t="s" s="0">
        <v>77</v>
      </c>
      <c r="C200" t="s" s="0">
        <v>77</v>
      </c>
      <c r="D200" t="s" s="0">
        <v>77</v>
      </c>
      <c r="E200" t="s" s="0">
        <v>4918</v>
      </c>
      <c r="F200" t="s" s="0">
        <v>4919</v>
      </c>
      <c r="G200" t="s" s="0">
        <v>4920</v>
      </c>
      <c r="H200" t="s" s="0">
        <v>81</v>
      </c>
      <c r="I200" t="s" s="0">
        <v>195</v>
      </c>
      <c r="J200" t="s" s="0">
        <v>4921</v>
      </c>
      <c r="K200" t="s" s="0">
        <v>4922</v>
      </c>
      <c r="L200" t="s" s="0">
        <v>4923</v>
      </c>
      <c r="M200" t="s" s="0">
        <v>4923</v>
      </c>
      <c r="N200" t="s" s="0">
        <v>4924</v>
      </c>
      <c r="O200" t="s" s="0">
        <v>4925</v>
      </c>
      <c r="P200" t="s" s="0">
        <v>4926</v>
      </c>
      <c r="Q200" t="s" s="0">
        <v>90</v>
      </c>
      <c r="R200" t="s" s="0">
        <v>81</v>
      </c>
      <c r="S200" t="s" s="0">
        <v>81</v>
      </c>
      <c r="T200" t="s" s="0">
        <v>81</v>
      </c>
      <c r="U200" t="s" s="0">
        <v>81</v>
      </c>
      <c r="V200" t="s" s="0">
        <v>4927</v>
      </c>
      <c r="W200" t="s" s="0">
        <v>4928</v>
      </c>
      <c r="X200" t="s" s="0">
        <v>81</v>
      </c>
      <c r="Y200" t="s" s="0">
        <v>81</v>
      </c>
      <c r="Z200" t="s" s="0">
        <v>93</v>
      </c>
      <c r="AA200" t="s" s="0">
        <v>94</v>
      </c>
      <c r="AB200" t="s" s="0">
        <v>81</v>
      </c>
      <c r="AC200" t="s" s="0">
        <v>81</v>
      </c>
      <c r="AD200" t="s" s="0">
        <v>81</v>
      </c>
      <c r="AE200" t="s" s="0">
        <v>81</v>
      </c>
      <c r="AF200" t="s" s="0">
        <v>81</v>
      </c>
      <c r="AG200" t="s" s="0">
        <v>4929</v>
      </c>
      <c r="AH200" t="s" s="0">
        <v>4930</v>
      </c>
      <c r="AI200" t="s" s="0">
        <v>81</v>
      </c>
      <c r="AJ200" t="s" s="0">
        <v>81</v>
      </c>
      <c r="AK200" t="s" s="0">
        <v>81</v>
      </c>
      <c r="AL200" t="s" s="0">
        <v>2498</v>
      </c>
      <c r="AM200" t="s" s="0">
        <v>77</v>
      </c>
      <c r="AN200" t="s" s="0">
        <v>77</v>
      </c>
      <c r="AO200" t="s" s="0">
        <v>100</v>
      </c>
      <c r="AP200" t="s" s="0">
        <v>100</v>
      </c>
      <c r="AQ200" t="s" s="0">
        <v>421</v>
      </c>
      <c r="AR200" t="s" s="0">
        <v>422</v>
      </c>
      <c r="AS200" t="s" s="0">
        <v>423</v>
      </c>
      <c r="AT200" t="s" s="0">
        <v>81</v>
      </c>
      <c r="AU200" t="s" s="0">
        <v>4931</v>
      </c>
      <c r="AV200" t="s" s="0">
        <v>81</v>
      </c>
      <c r="AW200" t="s" s="0">
        <v>4932</v>
      </c>
      <c r="AX200" t="s" s="0">
        <v>4933</v>
      </c>
      <c r="AY200" t="s" s="0">
        <v>4934</v>
      </c>
      <c r="AZ200" t="s" s="0">
        <v>212</v>
      </c>
      <c r="BA200" t="s" s="0">
        <v>138</v>
      </c>
      <c r="BB200" t="s" s="0">
        <v>81</v>
      </c>
      <c r="BC200" t="s" s="0">
        <v>81</v>
      </c>
      <c r="BD200" t="s" s="0">
        <v>81</v>
      </c>
      <c r="BE200" t="s" s="0">
        <v>81</v>
      </c>
      <c r="BF200" t="s" s="0">
        <v>81</v>
      </c>
      <c r="BG200" t="s" s="0">
        <v>81</v>
      </c>
      <c r="BH200" t="s" s="0">
        <v>81</v>
      </c>
      <c r="BI200" t="s" s="0">
        <v>4935</v>
      </c>
      <c r="BJ200" t="s" s="0">
        <v>4936</v>
      </c>
      <c r="BK200" t="s" s="395">
        <f>HYPERLINK("http://dx.doi.org/10.3389/frai.2025.1731633","http://dx.doi.org/10.3389/frai.2025.1731633")</f>
        <v>4937</v>
      </c>
      <c r="BL200" t="s" s="0">
        <v>81</v>
      </c>
      <c r="BM200" t="s" s="0">
        <v>81</v>
      </c>
      <c r="BN200" t="s" s="0">
        <v>461</v>
      </c>
      <c r="BO200" t="s" s="0">
        <v>4774</v>
      </c>
      <c r="BP200" t="s" s="0">
        <v>250</v>
      </c>
      <c r="BQ200" t="s" s="0">
        <v>4938</v>
      </c>
      <c r="BR200" t="s" s="0">
        <v>4939</v>
      </c>
      <c r="BS200" t="s" s="0">
        <v>4940</v>
      </c>
      <c r="BT200" t="s" s="396">
        <f>HYPERLINK("https://www.webofscience.com/wos/woscc/full-record/WOS:001690694700001","View Record in Web of Science")</f>
        <v>123</v>
      </c>
      <c r="BU200" t="s" s="0">
        <v>191</v>
      </c>
      <c r="BV200" t="s" s="0">
        <v>81</v>
      </c>
      <c r="BW200" t="s" s="0">
        <v>81</v>
      </c>
      <c r="BX200" t="s" s="0">
        <v>124</v>
      </c>
    </row>
    <row r="201">
      <c r="A201" t="s" s="0">
        <v>77</v>
      </c>
      <c r="B201" t="s" s="0">
        <v>77</v>
      </c>
      <c r="C201" t="s" s="0">
        <v>77</v>
      </c>
      <c r="D201" t="s" s="0">
        <v>77</v>
      </c>
      <c r="E201" t="s" s="0">
        <v>4941</v>
      </c>
      <c r="F201" t="s" s="0">
        <v>4942</v>
      </c>
      <c r="G201" t="s" s="0">
        <v>4943</v>
      </c>
      <c r="H201" t="s" s="0">
        <v>81</v>
      </c>
      <c r="I201" t="s" s="0">
        <v>195</v>
      </c>
      <c r="J201" t="s" s="0">
        <v>4944</v>
      </c>
      <c r="K201" t="s" s="0">
        <v>4945</v>
      </c>
      <c r="L201" t="s" s="0">
        <v>4946</v>
      </c>
      <c r="M201" t="s" s="0">
        <v>4947</v>
      </c>
      <c r="N201" t="s" s="0">
        <v>4948</v>
      </c>
      <c r="O201" t="s" s="0">
        <v>4949</v>
      </c>
      <c r="P201" t="s" s="0">
        <v>4950</v>
      </c>
      <c r="Q201" t="s" s="0">
        <v>90</v>
      </c>
      <c r="R201" t="s" s="0">
        <v>81</v>
      </c>
      <c r="S201" t="s" s="0">
        <v>81</v>
      </c>
      <c r="T201" t="s" s="0">
        <v>81</v>
      </c>
      <c r="U201" t="s" s="0">
        <v>81</v>
      </c>
      <c r="V201" t="s" s="0">
        <v>4951</v>
      </c>
      <c r="W201" t="s" s="0">
        <v>4928</v>
      </c>
      <c r="X201" t="s" s="0">
        <v>81</v>
      </c>
      <c r="Y201" t="s" s="0">
        <v>81</v>
      </c>
      <c r="Z201" t="s" s="0">
        <v>93</v>
      </c>
      <c r="AA201" t="s" s="0">
        <v>94</v>
      </c>
      <c r="AB201" t="s" s="0">
        <v>81</v>
      </c>
      <c r="AC201" t="s" s="0">
        <v>81</v>
      </c>
      <c r="AD201" t="s" s="0">
        <v>81</v>
      </c>
      <c r="AE201" t="s" s="0">
        <v>81</v>
      </c>
      <c r="AF201" t="s" s="0">
        <v>81</v>
      </c>
      <c r="AG201" t="s" s="0">
        <v>4952</v>
      </c>
      <c r="AH201" t="s" s="0">
        <v>4953</v>
      </c>
      <c r="AI201" t="s" s="0">
        <v>81</v>
      </c>
      <c r="AJ201" t="s" s="0">
        <v>81</v>
      </c>
      <c r="AK201" t="s" s="0">
        <v>81</v>
      </c>
      <c r="AL201" t="s" s="0">
        <v>4954</v>
      </c>
      <c r="AM201" t="s" s="0">
        <v>77</v>
      </c>
      <c r="AN201" t="s" s="0">
        <v>77</v>
      </c>
      <c r="AO201" t="s" s="0">
        <v>77</v>
      </c>
      <c r="AP201" t="s" s="0">
        <v>100</v>
      </c>
      <c r="AQ201" t="s" s="0">
        <v>421</v>
      </c>
      <c r="AR201" t="s" s="0">
        <v>422</v>
      </c>
      <c r="AS201" t="s" s="0">
        <v>423</v>
      </c>
      <c r="AT201" t="s" s="0">
        <v>81</v>
      </c>
      <c r="AU201" t="s" s="0">
        <v>4931</v>
      </c>
      <c r="AV201" t="s" s="0">
        <v>81</v>
      </c>
      <c r="AW201" t="s" s="0">
        <v>4932</v>
      </c>
      <c r="AX201" t="s" s="0">
        <v>4933</v>
      </c>
      <c r="AY201" t="s" s="0">
        <v>2875</v>
      </c>
      <c r="AZ201" t="s" s="0">
        <v>111</v>
      </c>
      <c r="BA201" t="s" s="0">
        <v>138</v>
      </c>
      <c r="BB201" t="s" s="0">
        <v>81</v>
      </c>
      <c r="BC201" t="s" s="0">
        <v>81</v>
      </c>
      <c r="BD201" t="s" s="0">
        <v>81</v>
      </c>
      <c r="BE201" t="s" s="0">
        <v>81</v>
      </c>
      <c r="BF201" t="s" s="0">
        <v>81</v>
      </c>
      <c r="BG201" t="s" s="0">
        <v>81</v>
      </c>
      <c r="BH201" t="s" s="0">
        <v>81</v>
      </c>
      <c r="BI201" t="s" s="0">
        <v>4955</v>
      </c>
      <c r="BJ201" t="s" s="0">
        <v>4956</v>
      </c>
      <c r="BK201" t="s" s="397">
        <f>HYPERLINK("http://dx.doi.org/10.3389/frai.2025.1731062","http://dx.doi.org/10.3389/frai.2025.1731062")</f>
        <v>4957</v>
      </c>
      <c r="BL201" t="s" s="0">
        <v>81</v>
      </c>
      <c r="BM201" t="s" s="0">
        <v>81</v>
      </c>
      <c r="BN201" t="s" s="0">
        <v>461</v>
      </c>
      <c r="BO201" t="s" s="0">
        <v>4774</v>
      </c>
      <c r="BP201" t="s" s="0">
        <v>250</v>
      </c>
      <c r="BQ201" t="s" s="0">
        <v>4958</v>
      </c>
      <c r="BR201" t="s" s="0">
        <v>4959</v>
      </c>
      <c r="BS201" t="s" s="0">
        <v>4960</v>
      </c>
      <c r="BT201" t="s" s="398">
        <f>HYPERLINK("https://www.webofscience.com/wos/woscc/full-record/WOS:001651595900001","View Record in Web of Science")</f>
        <v>123</v>
      </c>
      <c r="BU201" t="s" s="0">
        <v>191</v>
      </c>
      <c r="BV201" t="s" s="0">
        <v>81</v>
      </c>
      <c r="BW201" t="s" s="0">
        <v>81</v>
      </c>
      <c r="BX201" t="s" s="0">
        <v>124</v>
      </c>
    </row>
    <row r="202">
      <c r="A202" t="s" s="0">
        <v>77</v>
      </c>
      <c r="B202" t="s" s="0">
        <v>77</v>
      </c>
      <c r="C202" t="s" s="0">
        <v>137</v>
      </c>
      <c r="D202" t="s" s="0">
        <v>77</v>
      </c>
      <c r="E202" t="s" s="0">
        <v>4961</v>
      </c>
      <c r="F202" t="s" s="0">
        <v>4962</v>
      </c>
      <c r="G202" t="s" s="0">
        <v>4963</v>
      </c>
      <c r="H202" t="s" s="0">
        <v>81</v>
      </c>
      <c r="I202" t="s" s="0">
        <v>82</v>
      </c>
      <c r="J202" t="s" s="0">
        <v>4964</v>
      </c>
      <c r="K202" t="s" s="0">
        <v>4965</v>
      </c>
      <c r="L202" t="s" s="0">
        <v>81</v>
      </c>
      <c r="M202" t="s" s="0">
        <v>81</v>
      </c>
      <c r="N202" t="s" s="0">
        <v>81</v>
      </c>
      <c r="O202" t="s" s="0">
        <v>4966</v>
      </c>
      <c r="P202" t="s" s="0">
        <v>81</v>
      </c>
      <c r="Q202" t="s" s="0">
        <v>90</v>
      </c>
      <c r="R202" t="s" s="0">
        <v>81</v>
      </c>
      <c r="S202" t="s" s="0">
        <v>81</v>
      </c>
      <c r="T202" t="s" s="0">
        <v>81</v>
      </c>
      <c r="U202" t="s" s="0">
        <v>81</v>
      </c>
      <c r="V202" t="s" s="0">
        <v>4967</v>
      </c>
      <c r="W202" t="s" s="0">
        <v>4968</v>
      </c>
      <c r="X202" t="s" s="0">
        <v>81</v>
      </c>
      <c r="Y202" t="s" s="0">
        <v>81</v>
      </c>
      <c r="Z202" t="s" s="0">
        <v>93</v>
      </c>
      <c r="AA202" t="s" s="0">
        <v>94</v>
      </c>
      <c r="AB202" t="s" s="0">
        <v>81</v>
      </c>
      <c r="AC202" t="s" s="0">
        <v>81</v>
      </c>
      <c r="AD202" t="s" s="0">
        <v>81</v>
      </c>
      <c r="AE202" t="s" s="0">
        <v>81</v>
      </c>
      <c r="AF202" t="s" s="0">
        <v>81</v>
      </c>
      <c r="AG202" t="s" s="0">
        <v>4969</v>
      </c>
      <c r="AH202" t="s" s="0">
        <v>81</v>
      </c>
      <c r="AI202" t="s" s="0">
        <v>81</v>
      </c>
      <c r="AJ202" t="s" s="0">
        <v>81</v>
      </c>
      <c r="AK202" t="s" s="0">
        <v>81</v>
      </c>
      <c r="AL202" t="s" s="0">
        <v>850</v>
      </c>
      <c r="AM202" t="s" s="0">
        <v>399</v>
      </c>
      <c r="AN202" t="s" s="0">
        <v>172</v>
      </c>
      <c r="AO202" t="s" s="0">
        <v>101</v>
      </c>
      <c r="AP202" t="s" s="0">
        <v>333</v>
      </c>
      <c r="AQ202" t="s" s="0">
        <v>421</v>
      </c>
      <c r="AR202" t="s" s="0">
        <v>422</v>
      </c>
      <c r="AS202" t="s" s="0">
        <v>423</v>
      </c>
      <c r="AT202" t="s" s="0">
        <v>81</v>
      </c>
      <c r="AU202" t="s" s="0">
        <v>4970</v>
      </c>
      <c r="AV202" t="s" s="0">
        <v>81</v>
      </c>
      <c r="AW202" t="s" s="0">
        <v>4971</v>
      </c>
      <c r="AX202" t="s" s="0">
        <v>4972</v>
      </c>
      <c r="AY202" t="s" s="0">
        <v>4973</v>
      </c>
      <c r="AZ202" t="s" s="0">
        <v>111</v>
      </c>
      <c r="BA202" t="s" s="0">
        <v>1110</v>
      </c>
      <c r="BB202" t="s" s="0">
        <v>81</v>
      </c>
      <c r="BC202" t="s" s="0">
        <v>81</v>
      </c>
      <c r="BD202" t="s" s="0">
        <v>81</v>
      </c>
      <c r="BE202" t="s" s="0">
        <v>81</v>
      </c>
      <c r="BF202" t="s" s="0">
        <v>81</v>
      </c>
      <c r="BG202" t="s" s="0">
        <v>81</v>
      </c>
      <c r="BH202" t="s" s="0">
        <v>81</v>
      </c>
      <c r="BI202" t="s" s="0">
        <v>4974</v>
      </c>
      <c r="BJ202" t="s" s="0">
        <v>4975</v>
      </c>
      <c r="BK202" t="s" s="399">
        <f>HYPERLINK("http://dx.doi.org/10.3389/fphys.2025.1605406","http://dx.doi.org/10.3389/fphys.2025.1605406")</f>
        <v>4976</v>
      </c>
      <c r="BL202" t="s" s="0">
        <v>81</v>
      </c>
      <c r="BM202" t="s" s="0">
        <v>81</v>
      </c>
      <c r="BN202" t="s" s="0">
        <v>1110</v>
      </c>
      <c r="BO202" t="s" s="0">
        <v>4977</v>
      </c>
      <c r="BP202" t="s" s="0">
        <v>4977</v>
      </c>
      <c r="BQ202" t="s" s="0">
        <v>4978</v>
      </c>
      <c r="BR202" t="s" s="0">
        <v>4979</v>
      </c>
      <c r="BS202" t="s" s="0">
        <v>4980</v>
      </c>
      <c r="BT202" t="s" s="400">
        <f>HYPERLINK("https://www.webofscience.com/wos/woscc/full-record/WOS:001584638200001","View Record in Web of Science")</f>
        <v>123</v>
      </c>
      <c r="BU202" t="s" s="0">
        <v>191</v>
      </c>
      <c r="BV202" t="s" s="0">
        <v>81</v>
      </c>
      <c r="BW202" t="s" s="0">
        <v>81</v>
      </c>
      <c r="BX202" t="s" s="0">
        <v>124</v>
      </c>
    </row>
    <row r="203">
      <c r="A203" t="s" s="0">
        <v>77</v>
      </c>
      <c r="B203" t="s" s="0">
        <v>77</v>
      </c>
      <c r="C203" t="s" s="0">
        <v>77</v>
      </c>
      <c r="D203" t="s" s="0">
        <v>77</v>
      </c>
      <c r="E203" t="s" s="0">
        <v>4981</v>
      </c>
      <c r="F203" t="s" s="0">
        <v>4982</v>
      </c>
      <c r="G203" t="s" s="0">
        <v>4983</v>
      </c>
      <c r="H203" t="s" s="0">
        <v>81</v>
      </c>
      <c r="I203" t="s" s="0">
        <v>82</v>
      </c>
      <c r="J203" t="s" s="0">
        <v>4984</v>
      </c>
      <c r="K203" t="s" s="0">
        <v>4985</v>
      </c>
      <c r="L203" t="s" s="0">
        <v>81</v>
      </c>
      <c r="M203" t="s" s="0">
        <v>81</v>
      </c>
      <c r="N203" t="s" s="0">
        <v>81</v>
      </c>
      <c r="O203" t="s" s="0">
        <v>4986</v>
      </c>
      <c r="P203" t="s" s="0">
        <v>4987</v>
      </c>
      <c r="Q203" t="s" s="0">
        <v>90</v>
      </c>
      <c r="R203" t="s" s="0">
        <v>81</v>
      </c>
      <c r="S203" t="s" s="0">
        <v>81</v>
      </c>
      <c r="T203" t="s" s="0">
        <v>81</v>
      </c>
      <c r="U203" t="s" s="0">
        <v>81</v>
      </c>
      <c r="V203" t="s" s="0">
        <v>4988</v>
      </c>
      <c r="W203" t="s" s="0">
        <v>2933</v>
      </c>
      <c r="X203" t="s" s="0">
        <v>81</v>
      </c>
      <c r="Y203" t="s" s="0">
        <v>81</v>
      </c>
      <c r="Z203" t="s" s="0">
        <v>93</v>
      </c>
      <c r="AA203" t="s" s="0">
        <v>94</v>
      </c>
      <c r="AB203" t="s" s="0">
        <v>81</v>
      </c>
      <c r="AC203" t="s" s="0">
        <v>81</v>
      </c>
      <c r="AD203" t="s" s="0">
        <v>81</v>
      </c>
      <c r="AE203" t="s" s="0">
        <v>81</v>
      </c>
      <c r="AF203" t="s" s="0">
        <v>81</v>
      </c>
      <c r="AG203" t="s" s="0">
        <v>4989</v>
      </c>
      <c r="AH203" t="s" s="0">
        <v>81</v>
      </c>
      <c r="AI203" t="s" s="0">
        <v>81</v>
      </c>
      <c r="AJ203" t="s" s="0">
        <v>81</v>
      </c>
      <c r="AK203" t="s" s="0">
        <v>81</v>
      </c>
      <c r="AL203" t="s" s="0">
        <v>390</v>
      </c>
      <c r="AM203" t="s" s="0">
        <v>77</v>
      </c>
      <c r="AN203" t="s" s="0">
        <v>77</v>
      </c>
      <c r="AO203" t="s" s="0">
        <v>100</v>
      </c>
      <c r="AP203" t="s" s="0">
        <v>100</v>
      </c>
      <c r="AQ203" t="s" s="0">
        <v>537</v>
      </c>
      <c r="AR203" t="s" s="0">
        <v>506</v>
      </c>
      <c r="AS203" t="s" s="0">
        <v>2493</v>
      </c>
      <c r="AT203" t="s" s="0">
        <v>2936</v>
      </c>
      <c r="AU203" t="s" s="0">
        <v>2937</v>
      </c>
      <c r="AV203" t="s" s="0">
        <v>81</v>
      </c>
      <c r="AW203" t="s" s="0">
        <v>2938</v>
      </c>
      <c r="AX203" t="s" s="0">
        <v>2939</v>
      </c>
      <c r="AY203" t="s" s="0">
        <v>827</v>
      </c>
      <c r="AZ203" t="s" s="0">
        <v>212</v>
      </c>
      <c r="BA203" t="s" s="0">
        <v>139</v>
      </c>
      <c r="BB203" t="s" s="0">
        <v>183</v>
      </c>
      <c r="BC203" t="s" s="0">
        <v>81</v>
      </c>
      <c r="BD203" t="s" s="0">
        <v>81</v>
      </c>
      <c r="BE203" t="s" s="0">
        <v>81</v>
      </c>
      <c r="BF203" t="s" s="0">
        <v>81</v>
      </c>
      <c r="BG203" t="s" s="0">
        <v>4990</v>
      </c>
      <c r="BH203" t="s" s="0">
        <v>4991</v>
      </c>
      <c r="BI203" t="s" s="0">
        <v>81</v>
      </c>
      <c r="BJ203" t="s" s="0">
        <v>4992</v>
      </c>
      <c r="BK203" t="s" s="401">
        <f>HYPERLINK("http://dx.doi.org/10.1016/j.acra.2026.03.044","http://dx.doi.org/10.1016/j.acra.2026.03.044")</f>
        <v>4993</v>
      </c>
      <c r="BL203" t="s" s="0">
        <v>81</v>
      </c>
      <c r="BM203" t="s" s="0">
        <v>81</v>
      </c>
      <c r="BN203" t="s" s="0">
        <v>117</v>
      </c>
      <c r="BO203" t="s" s="0">
        <v>519</v>
      </c>
      <c r="BP203" t="s" s="0">
        <v>519</v>
      </c>
      <c r="BQ203" t="s" s="0">
        <v>4994</v>
      </c>
      <c r="BR203" t="s" s="0">
        <v>4995</v>
      </c>
      <c r="BS203" t="s" s="0">
        <v>4996</v>
      </c>
      <c r="BT203" t="s" s="402">
        <f>HYPERLINK("https://www.webofscience.com/wos/woscc/full-record/WOS:001789528500001","View Record in Web of Science")</f>
        <v>123</v>
      </c>
      <c r="BU203" t="s" s="0">
        <v>81</v>
      </c>
      <c r="BV203" t="s" s="0">
        <v>81</v>
      </c>
      <c r="BW203" t="s" s="0">
        <v>81</v>
      </c>
      <c r="BX203" t="s" s="0">
        <v>124</v>
      </c>
    </row>
    <row r="204">
      <c r="A204" t="s" s="0">
        <v>77</v>
      </c>
      <c r="B204" t="s" s="0">
        <v>77</v>
      </c>
      <c r="C204" t="s" s="0">
        <v>77</v>
      </c>
      <c r="D204" t="s" s="0">
        <v>77</v>
      </c>
      <c r="E204" t="s" s="0">
        <v>4997</v>
      </c>
      <c r="F204" t="s" s="0">
        <v>4998</v>
      </c>
      <c r="G204" t="s" s="0">
        <v>4999</v>
      </c>
      <c r="H204" t="s" s="0">
        <v>81</v>
      </c>
      <c r="I204" t="s" s="0">
        <v>82</v>
      </c>
      <c r="J204" t="s" s="0">
        <v>5000</v>
      </c>
      <c r="K204" t="s" s="0">
        <v>5001</v>
      </c>
      <c r="L204" t="s" s="0">
        <v>5002</v>
      </c>
      <c r="M204" t="s" s="0">
        <v>5003</v>
      </c>
      <c r="N204" t="s" s="0">
        <v>5004</v>
      </c>
      <c r="O204" t="s" s="0">
        <v>5005</v>
      </c>
      <c r="P204" t="s" s="0">
        <v>5006</v>
      </c>
      <c r="Q204" t="s" s="0">
        <v>90</v>
      </c>
      <c r="R204" t="s" s="0">
        <v>81</v>
      </c>
      <c r="S204" t="s" s="0">
        <v>81</v>
      </c>
      <c r="T204" t="s" s="0">
        <v>81</v>
      </c>
      <c r="U204" t="s" s="0">
        <v>81</v>
      </c>
      <c r="V204" t="s" s="0">
        <v>5007</v>
      </c>
      <c r="W204" t="s" s="0">
        <v>1792</v>
      </c>
      <c r="X204" t="s" s="0">
        <v>81</v>
      </c>
      <c r="Y204" t="s" s="0">
        <v>81</v>
      </c>
      <c r="Z204" t="s" s="0">
        <v>93</v>
      </c>
      <c r="AA204" t="s" s="0">
        <v>94</v>
      </c>
      <c r="AB204" t="s" s="0">
        <v>81</v>
      </c>
      <c r="AC204" t="s" s="0">
        <v>81</v>
      </c>
      <c r="AD204" t="s" s="0">
        <v>81</v>
      </c>
      <c r="AE204" t="s" s="0">
        <v>81</v>
      </c>
      <c r="AF204" t="s" s="0">
        <v>81</v>
      </c>
      <c r="AG204" t="s" s="0">
        <v>5008</v>
      </c>
      <c r="AH204" t="s" s="0">
        <v>5009</v>
      </c>
      <c r="AI204" t="s" s="0">
        <v>5010</v>
      </c>
      <c r="AJ204" t="s" s="0">
        <v>81</v>
      </c>
      <c r="AK204" t="s" s="0">
        <v>81</v>
      </c>
      <c r="AL204" t="s" s="0">
        <v>5011</v>
      </c>
      <c r="AM204" t="s" s="0">
        <v>77</v>
      </c>
      <c r="AN204" t="s" s="0">
        <v>77</v>
      </c>
      <c r="AO204" t="s" s="0">
        <v>182</v>
      </c>
      <c r="AP204" t="s" s="0">
        <v>182</v>
      </c>
      <c r="AQ204" t="s" s="0">
        <v>786</v>
      </c>
      <c r="AR204" t="s" s="0">
        <v>787</v>
      </c>
      <c r="AS204" t="s" s="0">
        <v>788</v>
      </c>
      <c r="AT204" t="s" s="0">
        <v>1796</v>
      </c>
      <c r="AU204" t="s" s="0">
        <v>1797</v>
      </c>
      <c r="AV204" t="s" s="0">
        <v>81</v>
      </c>
      <c r="AW204" t="s" s="0">
        <v>1798</v>
      </c>
      <c r="AX204" t="s" s="0">
        <v>1799</v>
      </c>
      <c r="AY204" t="s" s="0">
        <v>5012</v>
      </c>
      <c r="AZ204" t="s" s="0">
        <v>212</v>
      </c>
      <c r="BA204" t="s" s="0">
        <v>5013</v>
      </c>
      <c r="BB204" t="s" s="0">
        <v>81</v>
      </c>
      <c r="BC204" t="s" s="0">
        <v>81</v>
      </c>
      <c r="BD204" t="s" s="0">
        <v>81</v>
      </c>
      <c r="BE204" t="s" s="0">
        <v>81</v>
      </c>
      <c r="BF204" t="s" s="0">
        <v>81</v>
      </c>
      <c r="BG204" t="s" s="0">
        <v>81</v>
      </c>
      <c r="BH204" t="s" s="0">
        <v>81</v>
      </c>
      <c r="BI204" t="s" s="0">
        <v>5014</v>
      </c>
      <c r="BJ204" t="s" s="0">
        <v>5015</v>
      </c>
      <c r="BK204" t="s" s="403">
        <f>HYPERLINK("http://dx.doi.org/10.1016/j.eswa.2026.131440","http://dx.doi.org/10.1016/j.eswa.2026.131440")</f>
        <v>5016</v>
      </c>
      <c r="BL204" t="s" s="0">
        <v>81</v>
      </c>
      <c r="BM204" t="s" s="0">
        <v>1221</v>
      </c>
      <c r="BN204" t="s" s="0">
        <v>275</v>
      </c>
      <c r="BO204" t="s" s="0">
        <v>1805</v>
      </c>
      <c r="BP204" t="s" s="0">
        <v>1806</v>
      </c>
      <c r="BQ204" t="s" s="0">
        <v>5017</v>
      </c>
      <c r="BR204" t="s" s="0">
        <v>81</v>
      </c>
      <c r="BS204" t="s" s="0">
        <v>5018</v>
      </c>
      <c r="BT204" t="s" s="404">
        <f>HYPERLINK("https://www.webofscience.com/wos/woscc/full-record/WOS:001689609400001","View Record in Web of Science")</f>
        <v>123</v>
      </c>
      <c r="BU204" t="s" s="0">
        <v>81</v>
      </c>
      <c r="BV204" t="s" s="0">
        <v>81</v>
      </c>
      <c r="BW204" t="s" s="0">
        <v>81</v>
      </c>
      <c r="BX204" t="s" s="0">
        <v>124</v>
      </c>
    </row>
    <row r="205">
      <c r="A205" t="s" s="0">
        <v>77</v>
      </c>
      <c r="B205" t="s" s="0">
        <v>77</v>
      </c>
      <c r="C205" t="s" s="0">
        <v>77</v>
      </c>
      <c r="D205" t="s" s="0">
        <v>77</v>
      </c>
      <c r="E205" t="s" s="0">
        <v>5019</v>
      </c>
      <c r="F205" t="s" s="0">
        <v>5020</v>
      </c>
      <c r="G205" t="s" s="0">
        <v>5021</v>
      </c>
      <c r="H205" t="s" s="0">
        <v>81</v>
      </c>
      <c r="I205" t="s" s="0">
        <v>82</v>
      </c>
      <c r="J205" t="s" s="0">
        <v>5022</v>
      </c>
      <c r="K205" t="s" s="0">
        <v>5023</v>
      </c>
      <c r="L205" t="s" s="0">
        <v>5024</v>
      </c>
      <c r="M205" t="s" s="0">
        <v>5025</v>
      </c>
      <c r="N205" t="s" s="0">
        <v>5026</v>
      </c>
      <c r="O205" t="s" s="0">
        <v>5027</v>
      </c>
      <c r="P205" t="s" s="0">
        <v>5028</v>
      </c>
      <c r="Q205" t="s" s="0">
        <v>90</v>
      </c>
      <c r="R205" t="s" s="0">
        <v>81</v>
      </c>
      <c r="S205" t="s" s="0">
        <v>81</v>
      </c>
      <c r="T205" t="s" s="0">
        <v>81</v>
      </c>
      <c r="U205" t="s" s="0">
        <v>81</v>
      </c>
      <c r="V205" t="s" s="0">
        <v>5029</v>
      </c>
      <c r="W205" t="s" s="0">
        <v>5030</v>
      </c>
      <c r="X205" t="s" s="0">
        <v>81</v>
      </c>
      <c r="Y205" t="s" s="0">
        <v>81</v>
      </c>
      <c r="Z205" t="s" s="0">
        <v>93</v>
      </c>
      <c r="AA205" t="s" s="0">
        <v>94</v>
      </c>
      <c r="AB205" t="s" s="0">
        <v>81</v>
      </c>
      <c r="AC205" t="s" s="0">
        <v>81</v>
      </c>
      <c r="AD205" t="s" s="0">
        <v>81</v>
      </c>
      <c r="AE205" t="s" s="0">
        <v>81</v>
      </c>
      <c r="AF205" t="s" s="0">
        <v>81</v>
      </c>
      <c r="AG205" t="s" s="0">
        <v>5031</v>
      </c>
      <c r="AH205" t="s" s="0">
        <v>81</v>
      </c>
      <c r="AI205" t="s" s="0">
        <v>5032</v>
      </c>
      <c r="AJ205" t="s" s="0">
        <v>5033</v>
      </c>
      <c r="AK205" t="s" s="0">
        <v>81</v>
      </c>
      <c r="AL205" t="s" s="0">
        <v>1331</v>
      </c>
      <c r="AM205" t="s" s="0">
        <v>137</v>
      </c>
      <c r="AN205" t="s" s="0">
        <v>137</v>
      </c>
      <c r="AO205" t="s" s="0">
        <v>117</v>
      </c>
      <c r="AP205" t="s" s="0">
        <v>1110</v>
      </c>
      <c r="AQ205" t="s" s="0">
        <v>588</v>
      </c>
      <c r="AR205" t="s" s="0">
        <v>589</v>
      </c>
      <c r="AS205" t="s" s="0">
        <v>590</v>
      </c>
      <c r="AT205" t="s" s="0">
        <v>81</v>
      </c>
      <c r="AU205" t="s" s="0">
        <v>5034</v>
      </c>
      <c r="AV205" t="s" s="0">
        <v>81</v>
      </c>
      <c r="AW205" t="s" s="0">
        <v>5035</v>
      </c>
      <c r="AX205" t="s" s="0">
        <v>5036</v>
      </c>
      <c r="AY205" t="s" s="0">
        <v>212</v>
      </c>
      <c r="AZ205" t="s" s="0">
        <v>212</v>
      </c>
      <c r="BA205" t="s" s="0">
        <v>448</v>
      </c>
      <c r="BB205" t="s" s="0">
        <v>81</v>
      </c>
      <c r="BC205" t="s" s="0">
        <v>81</v>
      </c>
      <c r="BD205" t="s" s="0">
        <v>81</v>
      </c>
      <c r="BE205" t="s" s="0">
        <v>81</v>
      </c>
      <c r="BF205" t="s" s="0">
        <v>81</v>
      </c>
      <c r="BG205" t="s" s="0">
        <v>137</v>
      </c>
      <c r="BH205" t="s" s="0">
        <v>117</v>
      </c>
      <c r="BI205" t="s" s="0">
        <v>81</v>
      </c>
      <c r="BJ205" t="s" s="0">
        <v>5037</v>
      </c>
      <c r="BK205" t="s" s="405">
        <f>HYPERLINK("http://dx.doi.org/10.1109/TASLPRO.2025.3634976","http://dx.doi.org/10.1109/TASLPRO.2025.3634976")</f>
        <v>5038</v>
      </c>
      <c r="BL205" t="s" s="0">
        <v>81</v>
      </c>
      <c r="BM205" t="s" s="0">
        <v>81</v>
      </c>
      <c r="BN205" t="s" s="0">
        <v>117</v>
      </c>
      <c r="BO205" t="s" s="0">
        <v>5039</v>
      </c>
      <c r="BP205" t="s" s="0">
        <v>5040</v>
      </c>
      <c r="BQ205" t="s" s="0">
        <v>5041</v>
      </c>
      <c r="BR205" t="s" s="0">
        <v>81</v>
      </c>
      <c r="BS205" t="s" s="0">
        <v>5042</v>
      </c>
      <c r="BT205" t="s" s="406">
        <f>HYPERLINK("https://www.webofscience.com/wos/woscc/full-record/WOS:001642136500005","View Record in Web of Science")</f>
        <v>123</v>
      </c>
      <c r="BU205" t="s" s="0">
        <v>81</v>
      </c>
      <c r="BV205" t="s" s="0">
        <v>81</v>
      </c>
      <c r="BW205" t="s" s="0">
        <v>81</v>
      </c>
      <c r="BX205" t="s" s="0">
        <v>124</v>
      </c>
    </row>
    <row r="206">
      <c r="A206" t="s" s="0">
        <v>77</v>
      </c>
      <c r="B206" t="s" s="0">
        <v>77</v>
      </c>
      <c r="C206" t="s" s="0">
        <v>77</v>
      </c>
      <c r="D206" t="s" s="0">
        <v>77</v>
      </c>
      <c r="E206" t="s" s="0">
        <v>5043</v>
      </c>
      <c r="F206" t="s" s="0">
        <v>5044</v>
      </c>
      <c r="G206" t="s" s="0">
        <v>5045</v>
      </c>
      <c r="H206" t="s" s="0">
        <v>81</v>
      </c>
      <c r="I206" t="s" s="0">
        <v>82</v>
      </c>
      <c r="J206" t="s" s="0">
        <v>5046</v>
      </c>
      <c r="K206" t="s" s="0">
        <v>5047</v>
      </c>
      <c r="L206" t="s" s="0">
        <v>5048</v>
      </c>
      <c r="M206" t="s" s="0">
        <v>5049</v>
      </c>
      <c r="N206" t="s" s="0">
        <v>5050</v>
      </c>
      <c r="O206" t="s" s="0">
        <v>5051</v>
      </c>
      <c r="P206" t="s" s="0">
        <v>5052</v>
      </c>
      <c r="Q206" t="s" s="0">
        <v>90</v>
      </c>
      <c r="R206" t="s" s="0">
        <v>81</v>
      </c>
      <c r="S206" t="s" s="0">
        <v>81</v>
      </c>
      <c r="T206" t="s" s="0">
        <v>81</v>
      </c>
      <c r="U206" t="s" s="0">
        <v>81</v>
      </c>
      <c r="V206" t="s" s="0">
        <v>5053</v>
      </c>
      <c r="W206" t="s" s="0">
        <v>234</v>
      </c>
      <c r="X206" t="s" s="0">
        <v>81</v>
      </c>
      <c r="Y206" t="s" s="0">
        <v>81</v>
      </c>
      <c r="Z206" t="s" s="0">
        <v>93</v>
      </c>
      <c r="AA206" t="s" s="0">
        <v>94</v>
      </c>
      <c r="AB206" t="s" s="0">
        <v>81</v>
      </c>
      <c r="AC206" t="s" s="0">
        <v>81</v>
      </c>
      <c r="AD206" t="s" s="0">
        <v>81</v>
      </c>
      <c r="AE206" t="s" s="0">
        <v>81</v>
      </c>
      <c r="AF206" t="s" s="0">
        <v>81</v>
      </c>
      <c r="AG206" t="s" s="0">
        <v>5054</v>
      </c>
      <c r="AH206" t="s" s="0">
        <v>81</v>
      </c>
      <c r="AI206" t="s" s="0">
        <v>81</v>
      </c>
      <c r="AJ206" t="s" s="0">
        <v>81</v>
      </c>
      <c r="AK206" t="s" s="0">
        <v>81</v>
      </c>
      <c r="AL206" t="s" s="0">
        <v>300</v>
      </c>
      <c r="AM206" t="s" s="0">
        <v>77</v>
      </c>
      <c r="AN206" t="s" s="0">
        <v>77</v>
      </c>
      <c r="AO206" t="s" s="0">
        <v>101</v>
      </c>
      <c r="AP206" t="s" s="0">
        <v>101</v>
      </c>
      <c r="AQ206" t="s" s="0">
        <v>140</v>
      </c>
      <c r="AR206" t="s" s="0">
        <v>141</v>
      </c>
      <c r="AS206" t="s" s="0">
        <v>142</v>
      </c>
      <c r="AT206" t="s" s="0">
        <v>240</v>
      </c>
      <c r="AU206" t="s" s="0">
        <v>241</v>
      </c>
      <c r="AV206" t="s" s="0">
        <v>81</v>
      </c>
      <c r="AW206" t="s" s="0">
        <v>242</v>
      </c>
      <c r="AX206" t="s" s="0">
        <v>243</v>
      </c>
      <c r="AY206" t="s" s="0">
        <v>822</v>
      </c>
      <c r="AZ206" t="s" s="0">
        <v>212</v>
      </c>
      <c r="BA206" t="s" s="0">
        <v>1968</v>
      </c>
      <c r="BB206" t="s" s="0">
        <v>81</v>
      </c>
      <c r="BC206" t="s" s="0">
        <v>81</v>
      </c>
      <c r="BD206" t="s" s="0">
        <v>81</v>
      </c>
      <c r="BE206" t="s" s="0">
        <v>81</v>
      </c>
      <c r="BF206" t="s" s="0">
        <v>81</v>
      </c>
      <c r="BG206" t="s" s="0">
        <v>81</v>
      </c>
      <c r="BH206" t="s" s="0">
        <v>81</v>
      </c>
      <c r="BI206" t="s" s="0">
        <v>5055</v>
      </c>
      <c r="BJ206" t="s" s="0">
        <v>5056</v>
      </c>
      <c r="BK206" t="s" s="407">
        <f>HYPERLINK("http://dx.doi.org/10.1016/j.inffus.2026.104384","http://dx.doi.org/10.1016/j.inffus.2026.104384")</f>
        <v>5057</v>
      </c>
      <c r="BL206" t="s" s="0">
        <v>81</v>
      </c>
      <c r="BM206" t="s" s="0">
        <v>81</v>
      </c>
      <c r="BN206" t="s" s="0">
        <v>152</v>
      </c>
      <c r="BO206" t="s" s="0">
        <v>249</v>
      </c>
      <c r="BP206" t="s" s="0">
        <v>250</v>
      </c>
      <c r="BQ206" t="s" s="0">
        <v>5058</v>
      </c>
      <c r="BR206" t="s" s="0">
        <v>81</v>
      </c>
      <c r="BS206" t="s" s="0">
        <v>5059</v>
      </c>
      <c r="BT206" t="s" s="408">
        <f>HYPERLINK("https://www.webofscience.com/wos/woscc/full-record/WOS:001759525000001","View Record in Web of Science")</f>
        <v>123</v>
      </c>
      <c r="BU206" t="s" s="0">
        <v>81</v>
      </c>
      <c r="BV206" t="s" s="0">
        <v>81</v>
      </c>
      <c r="BW206" t="s" s="0">
        <v>81</v>
      </c>
      <c r="BX206" t="s" s="0">
        <v>124</v>
      </c>
    </row>
    <row r="207">
      <c r="A207" t="s" s="0">
        <v>137</v>
      </c>
      <c r="B207" t="s" s="0">
        <v>77</v>
      </c>
      <c r="C207" t="s" s="0">
        <v>101</v>
      </c>
      <c r="D207" t="s" s="0">
        <v>77</v>
      </c>
      <c r="E207" t="s" s="0">
        <v>5060</v>
      </c>
      <c r="F207" t="s" s="0">
        <v>5061</v>
      </c>
      <c r="G207" t="s" s="0">
        <v>5062</v>
      </c>
      <c r="H207" t="s" s="0">
        <v>81</v>
      </c>
      <c r="I207" t="s" s="0">
        <v>82</v>
      </c>
      <c r="J207" t="s" s="0">
        <v>5063</v>
      </c>
      <c r="K207" t="s" s="0">
        <v>5064</v>
      </c>
      <c r="L207" t="s" s="0">
        <v>5065</v>
      </c>
      <c r="M207" t="s" s="0">
        <v>5065</v>
      </c>
      <c r="N207" t="s" s="0">
        <v>5066</v>
      </c>
      <c r="O207" t="s" s="0">
        <v>5067</v>
      </c>
      <c r="P207" t="s" s="0">
        <v>5068</v>
      </c>
      <c r="Q207" t="s" s="0">
        <v>90</v>
      </c>
      <c r="R207" t="s" s="0">
        <v>81</v>
      </c>
      <c r="S207" t="s" s="0">
        <v>81</v>
      </c>
      <c r="T207" t="s" s="0">
        <v>81</v>
      </c>
      <c r="U207" t="s" s="0">
        <v>81</v>
      </c>
      <c r="V207" t="s" s="0">
        <v>5069</v>
      </c>
      <c r="W207" t="s" s="0">
        <v>296</v>
      </c>
      <c r="X207" t="s" s="0">
        <v>81</v>
      </c>
      <c r="Y207" t="s" s="0">
        <v>81</v>
      </c>
      <c r="Z207" t="s" s="0">
        <v>93</v>
      </c>
      <c r="AA207" t="s" s="0">
        <v>94</v>
      </c>
      <c r="AB207" t="s" s="0">
        <v>81</v>
      </c>
      <c r="AC207" t="s" s="0">
        <v>81</v>
      </c>
      <c r="AD207" t="s" s="0">
        <v>81</v>
      </c>
      <c r="AE207" t="s" s="0">
        <v>81</v>
      </c>
      <c r="AF207" t="s" s="0">
        <v>81</v>
      </c>
      <c r="AG207" t="s" s="0">
        <v>5070</v>
      </c>
      <c r="AH207" t="s" s="0">
        <v>5071</v>
      </c>
      <c r="AI207" t="s" s="0">
        <v>5072</v>
      </c>
      <c r="AJ207" t="s" s="0">
        <v>5073</v>
      </c>
      <c r="AK207" t="s" s="0">
        <v>81</v>
      </c>
      <c r="AL207" t="s" s="0">
        <v>1832</v>
      </c>
      <c r="AM207" t="s" s="0">
        <v>213</v>
      </c>
      <c r="AN207" t="s" s="0">
        <v>102</v>
      </c>
      <c r="AO207" t="s" s="0">
        <v>399</v>
      </c>
      <c r="AP207" t="s" s="0">
        <v>886</v>
      </c>
      <c r="AQ207" t="s" s="0">
        <v>302</v>
      </c>
      <c r="AR207" t="s" s="0">
        <v>303</v>
      </c>
      <c r="AS207" t="s" s="0">
        <v>304</v>
      </c>
      <c r="AT207" t="s" s="0">
        <v>305</v>
      </c>
      <c r="AU207" t="s" s="0">
        <v>81</v>
      </c>
      <c r="AV207" t="s" s="0">
        <v>81</v>
      </c>
      <c r="AW207" t="s" s="0">
        <v>306</v>
      </c>
      <c r="AX207" t="s" s="0">
        <v>307</v>
      </c>
      <c r="AY207" t="s" s="0">
        <v>5074</v>
      </c>
      <c r="AZ207" t="s" s="0">
        <v>111</v>
      </c>
      <c r="BA207" t="s" s="0">
        <v>405</v>
      </c>
      <c r="BB207" t="s" s="0">
        <v>137</v>
      </c>
      <c r="BC207" t="s" s="0">
        <v>81</v>
      </c>
      <c r="BD207" t="s" s="0">
        <v>81</v>
      </c>
      <c r="BE207" t="s" s="0">
        <v>81</v>
      </c>
      <c r="BF207" t="s" s="0">
        <v>81</v>
      </c>
      <c r="BG207" t="s" s="0">
        <v>81</v>
      </c>
      <c r="BH207" t="s" s="0">
        <v>81</v>
      </c>
      <c r="BI207" t="s" s="0">
        <v>5075</v>
      </c>
      <c r="BJ207" t="s" s="0">
        <v>5076</v>
      </c>
      <c r="BK207" t="s" s="409">
        <f>HYPERLINK("http://dx.doi.org/10.1038/s41598-025-03524-4","http://dx.doi.org/10.1038/s41598-025-03524-4")</f>
        <v>5077</v>
      </c>
      <c r="BL207" t="s" s="0">
        <v>81</v>
      </c>
      <c r="BM207" t="s" s="0">
        <v>81</v>
      </c>
      <c r="BN207" t="s" s="0">
        <v>117</v>
      </c>
      <c r="BO207" t="s" s="0">
        <v>313</v>
      </c>
      <c r="BP207" t="s" s="0">
        <v>314</v>
      </c>
      <c r="BQ207" t="s" s="0">
        <v>5078</v>
      </c>
      <c r="BR207" t="s" s="0">
        <v>5079</v>
      </c>
      <c r="BS207" t="s" s="0">
        <v>5080</v>
      </c>
      <c r="BT207" t="s" s="410">
        <f>HYPERLINK("https://www.webofscience.com/wos/woscc/full-record/WOS:001522988600008","View Record in Web of Science")</f>
        <v>123</v>
      </c>
      <c r="BU207" t="s" s="0">
        <v>191</v>
      </c>
      <c r="BV207" t="s" s="0">
        <v>81</v>
      </c>
      <c r="BW207" t="s" s="0">
        <v>81</v>
      </c>
      <c r="BX207" t="s" s="0">
        <v>124</v>
      </c>
    </row>
    <row r="208">
      <c r="A208" t="s" s="0">
        <v>77</v>
      </c>
      <c r="B208" t="s" s="0">
        <v>77</v>
      </c>
      <c r="C208" t="s" s="0">
        <v>77</v>
      </c>
      <c r="D208" t="s" s="0">
        <v>77</v>
      </c>
      <c r="E208" t="s" s="0">
        <v>5081</v>
      </c>
      <c r="F208" t="s" s="0">
        <v>5082</v>
      </c>
      <c r="G208" t="s" s="0">
        <v>5083</v>
      </c>
      <c r="H208" t="s" s="0">
        <v>81</v>
      </c>
      <c r="I208" t="s" s="0">
        <v>82</v>
      </c>
      <c r="J208" t="s" s="0">
        <v>5084</v>
      </c>
      <c r="K208" t="s" s="0">
        <v>5085</v>
      </c>
      <c r="L208" t="s" s="0">
        <v>5086</v>
      </c>
      <c r="M208" t="s" s="0">
        <v>5087</v>
      </c>
      <c r="N208" t="s" s="0">
        <v>5088</v>
      </c>
      <c r="O208" t="s" s="0">
        <v>5089</v>
      </c>
      <c r="P208" t="s" s="0">
        <v>5090</v>
      </c>
      <c r="Q208" t="s" s="0">
        <v>90</v>
      </c>
      <c r="R208" t="s" s="0">
        <v>81</v>
      </c>
      <c r="S208" t="s" s="0">
        <v>81</v>
      </c>
      <c r="T208" t="s" s="0">
        <v>81</v>
      </c>
      <c r="U208" t="s" s="0">
        <v>81</v>
      </c>
      <c r="V208" t="s" s="0">
        <v>5091</v>
      </c>
      <c r="W208" t="s" s="0">
        <v>5092</v>
      </c>
      <c r="X208" t="s" s="0">
        <v>81</v>
      </c>
      <c r="Y208" t="s" s="0">
        <v>81</v>
      </c>
      <c r="Z208" t="s" s="0">
        <v>93</v>
      </c>
      <c r="AA208" t="s" s="0">
        <v>94</v>
      </c>
      <c r="AB208" t="s" s="0">
        <v>81</v>
      </c>
      <c r="AC208" t="s" s="0">
        <v>81</v>
      </c>
      <c r="AD208" t="s" s="0">
        <v>81</v>
      </c>
      <c r="AE208" t="s" s="0">
        <v>81</v>
      </c>
      <c r="AF208" t="s" s="0">
        <v>81</v>
      </c>
      <c r="AG208" t="s" s="0">
        <v>5093</v>
      </c>
      <c r="AH208" t="s" s="0">
        <v>81</v>
      </c>
      <c r="AI208" t="s" s="0">
        <v>81</v>
      </c>
      <c r="AJ208" t="s" s="0">
        <v>81</v>
      </c>
      <c r="AK208" t="s" s="0">
        <v>81</v>
      </c>
      <c r="AL208" t="s" s="0">
        <v>183</v>
      </c>
      <c r="AM208" t="s" s="0">
        <v>267</v>
      </c>
      <c r="AN208" t="s" s="0">
        <v>267</v>
      </c>
      <c r="AO208" t="s" s="0">
        <v>138</v>
      </c>
      <c r="AP208" t="s" s="0">
        <v>4206</v>
      </c>
      <c r="AQ208" t="s" s="0">
        <v>620</v>
      </c>
      <c r="AR208" t="s" s="0">
        <v>621</v>
      </c>
      <c r="AS208" t="s" s="0">
        <v>622</v>
      </c>
      <c r="AT208" t="s" s="0">
        <v>5094</v>
      </c>
      <c r="AU208" t="s" s="0">
        <v>5095</v>
      </c>
      <c r="AV208" t="s" s="0">
        <v>81</v>
      </c>
      <c r="AW208" t="s" s="0">
        <v>5096</v>
      </c>
      <c r="AX208" t="s" s="0">
        <v>5097</v>
      </c>
      <c r="AY208" t="s" s="0">
        <v>5098</v>
      </c>
      <c r="AZ208" t="s" s="0">
        <v>111</v>
      </c>
      <c r="BA208" t="s" s="0">
        <v>5099</v>
      </c>
      <c r="BB208" t="s" s="0">
        <v>81</v>
      </c>
      <c r="BC208" t="s" s="0">
        <v>81</v>
      </c>
      <c r="BD208" t="s" s="0">
        <v>81</v>
      </c>
      <c r="BE208" t="s" s="0">
        <v>81</v>
      </c>
      <c r="BF208" t="s" s="0">
        <v>81</v>
      </c>
      <c r="BG208" t="s" s="0">
        <v>81</v>
      </c>
      <c r="BH208" t="s" s="0">
        <v>81</v>
      </c>
      <c r="BI208" t="s" s="0">
        <v>5100</v>
      </c>
      <c r="BJ208" t="s" s="0">
        <v>5101</v>
      </c>
      <c r="BK208" t="s" s="411">
        <f>HYPERLINK("http://dx.doi.org/10.1016/j.apacoust.2024.110301","http://dx.doi.org/10.1016/j.apacoust.2024.110301")</f>
        <v>5102</v>
      </c>
      <c r="BL208" t="s" s="0">
        <v>81</v>
      </c>
      <c r="BM208" t="s" s="0">
        <v>1335</v>
      </c>
      <c r="BN208" t="s" s="0">
        <v>461</v>
      </c>
      <c r="BO208" t="s" s="0">
        <v>5103</v>
      </c>
      <c r="BP208" t="s" s="0">
        <v>5103</v>
      </c>
      <c r="BQ208" t="s" s="0">
        <v>5104</v>
      </c>
      <c r="BR208" t="s" s="0">
        <v>81</v>
      </c>
      <c r="BS208" t="s" s="0">
        <v>5105</v>
      </c>
      <c r="BT208" t="s" s="412">
        <f>HYPERLINK("https://www.webofscience.com/wos/woscc/full-record/WOS:001331025000001","View Record in Web of Science")</f>
        <v>123</v>
      </c>
      <c r="BU208" t="s" s="0">
        <v>81</v>
      </c>
      <c r="BV208" t="s" s="0">
        <v>81</v>
      </c>
      <c r="BW208" t="s" s="0">
        <v>81</v>
      </c>
      <c r="BX208" t="s" s="0">
        <v>124</v>
      </c>
    </row>
    <row r="209">
      <c r="A209" t="s" s="0">
        <v>137</v>
      </c>
      <c r="B209" t="s" s="0">
        <v>77</v>
      </c>
      <c r="C209" t="s" s="0">
        <v>77</v>
      </c>
      <c r="D209" t="s" s="0">
        <v>77</v>
      </c>
      <c r="E209" t="s" s="0">
        <v>5106</v>
      </c>
      <c r="F209" t="s" s="0">
        <v>5107</v>
      </c>
      <c r="G209" t="s" s="0">
        <v>5108</v>
      </c>
      <c r="H209" t="s" s="0">
        <v>81</v>
      </c>
      <c r="I209" t="s" s="0">
        <v>82</v>
      </c>
      <c r="J209" t="s" s="0">
        <v>5109</v>
      </c>
      <c r="K209" t="s" s="0">
        <v>5110</v>
      </c>
      <c r="L209" t="s" s="0">
        <v>5111</v>
      </c>
      <c r="M209" t="s" s="0">
        <v>5112</v>
      </c>
      <c r="N209" t="s" s="0">
        <v>5113</v>
      </c>
      <c r="O209" t="s" s="0">
        <v>5114</v>
      </c>
      <c r="P209" t="s" s="0">
        <v>5115</v>
      </c>
      <c r="Q209" t="s" s="0">
        <v>90</v>
      </c>
      <c r="R209" t="s" s="0">
        <v>81</v>
      </c>
      <c r="S209" t="s" s="0">
        <v>81</v>
      </c>
      <c r="T209" t="s" s="0">
        <v>81</v>
      </c>
      <c r="U209" t="s" s="0">
        <v>81</v>
      </c>
      <c r="V209" t="s" s="0">
        <v>5116</v>
      </c>
      <c r="W209" t="s" s="0">
        <v>5117</v>
      </c>
      <c r="X209" t="s" s="0">
        <v>81</v>
      </c>
      <c r="Y209" t="s" s="0">
        <v>81</v>
      </c>
      <c r="Z209" t="s" s="0">
        <v>93</v>
      </c>
      <c r="AA209" t="s" s="0">
        <v>94</v>
      </c>
      <c r="AB209" t="s" s="0">
        <v>81</v>
      </c>
      <c r="AC209" t="s" s="0">
        <v>81</v>
      </c>
      <c r="AD209" t="s" s="0">
        <v>81</v>
      </c>
      <c r="AE209" t="s" s="0">
        <v>81</v>
      </c>
      <c r="AF209" t="s" s="0">
        <v>81</v>
      </c>
      <c r="AG209" t="s" s="0">
        <v>5118</v>
      </c>
      <c r="AH209" t="s" s="0">
        <v>5119</v>
      </c>
      <c r="AI209" t="s" s="0">
        <v>5120</v>
      </c>
      <c r="AJ209" t="s" s="0">
        <v>81</v>
      </c>
      <c r="AK209" t="s" s="0">
        <v>81</v>
      </c>
      <c r="AL209" t="s" s="0">
        <v>1138</v>
      </c>
      <c r="AM209" t="s" s="0">
        <v>301</v>
      </c>
      <c r="AN209" t="s" s="0">
        <v>301</v>
      </c>
      <c r="AO209" t="s" s="0">
        <v>101</v>
      </c>
      <c r="AP209" t="s" s="0">
        <v>183</v>
      </c>
      <c r="AQ209" t="s" s="0">
        <v>421</v>
      </c>
      <c r="AR209" t="s" s="0">
        <v>422</v>
      </c>
      <c r="AS209" t="s" s="0">
        <v>423</v>
      </c>
      <c r="AT209" t="s" s="0">
        <v>5121</v>
      </c>
      <c r="AU209" t="s" s="0">
        <v>81</v>
      </c>
      <c r="AV209" t="s" s="0">
        <v>81</v>
      </c>
      <c r="AW209" t="s" s="0">
        <v>5122</v>
      </c>
      <c r="AX209" t="s" s="0">
        <v>5123</v>
      </c>
      <c r="AY209" t="s" s="0">
        <v>5124</v>
      </c>
      <c r="AZ209" t="s" s="0">
        <v>111</v>
      </c>
      <c r="BA209" t="s" s="0">
        <v>102</v>
      </c>
      <c r="BB209" t="s" s="0">
        <v>81</v>
      </c>
      <c r="BC209" t="s" s="0">
        <v>81</v>
      </c>
      <c r="BD209" t="s" s="0">
        <v>81</v>
      </c>
      <c r="BE209" t="s" s="0">
        <v>81</v>
      </c>
      <c r="BF209" t="s" s="0">
        <v>81</v>
      </c>
      <c r="BG209" t="s" s="0">
        <v>81</v>
      </c>
      <c r="BH209" t="s" s="0">
        <v>81</v>
      </c>
      <c r="BI209" t="s" s="0">
        <v>5125</v>
      </c>
      <c r="BJ209" t="s" s="0">
        <v>5126</v>
      </c>
      <c r="BK209" t="s" s="413">
        <f>HYPERLINK("http://dx.doi.org/10.3389/fnagi.2025.1527323","http://dx.doi.org/10.3389/fnagi.2025.1527323")</f>
        <v>5127</v>
      </c>
      <c r="BL209" t="s" s="0">
        <v>81</v>
      </c>
      <c r="BM209" t="s" s="0">
        <v>81</v>
      </c>
      <c r="BN209" t="s" s="0">
        <v>405</v>
      </c>
      <c r="BO209" t="s" s="0">
        <v>5128</v>
      </c>
      <c r="BP209" t="s" s="0">
        <v>5129</v>
      </c>
      <c r="BQ209" t="s" s="0">
        <v>5130</v>
      </c>
      <c r="BR209" t="s" s="0">
        <v>5131</v>
      </c>
      <c r="BS209" t="s" s="0">
        <v>5132</v>
      </c>
      <c r="BT209" t="s" s="414">
        <f>HYPERLINK("https://www.webofscience.com/wos/woscc/full-record/WOS:001431332300001","View Record in Web of Science")</f>
        <v>123</v>
      </c>
      <c r="BU209" t="s" s="0">
        <v>191</v>
      </c>
      <c r="BV209" t="s" s="0">
        <v>81</v>
      </c>
      <c r="BW209" t="s" s="0">
        <v>81</v>
      </c>
      <c r="BX209" t="s" s="0">
        <v>124</v>
      </c>
    </row>
    <row r="210">
      <c r="A210" t="s" s="0">
        <v>101</v>
      </c>
      <c r="B210" t="s" s="0">
        <v>77</v>
      </c>
      <c r="C210" t="s" s="0">
        <v>137</v>
      </c>
      <c r="D210" t="s" s="0">
        <v>77</v>
      </c>
      <c r="E210" t="s" s="0">
        <v>5133</v>
      </c>
      <c r="F210" t="s" s="0">
        <v>5134</v>
      </c>
      <c r="G210" t="s" s="0">
        <v>5135</v>
      </c>
      <c r="H210" t="s" s="0">
        <v>81</v>
      </c>
      <c r="I210" t="s" s="0">
        <v>82</v>
      </c>
      <c r="J210" t="s" s="0">
        <v>5136</v>
      </c>
      <c r="K210" t="s" s="0">
        <v>5137</v>
      </c>
      <c r="L210" t="s" s="0">
        <v>5138</v>
      </c>
      <c r="M210" t="s" s="0">
        <v>5139</v>
      </c>
      <c r="N210" t="s" s="0">
        <v>5140</v>
      </c>
      <c r="O210" t="s" s="0">
        <v>5141</v>
      </c>
      <c r="P210" t="s" s="0">
        <v>5142</v>
      </c>
      <c r="Q210" t="s" s="0">
        <v>90</v>
      </c>
      <c r="R210" t="s" s="0">
        <v>81</v>
      </c>
      <c r="S210" t="s" s="0">
        <v>81</v>
      </c>
      <c r="T210" t="s" s="0">
        <v>81</v>
      </c>
      <c r="U210" t="s" s="0">
        <v>81</v>
      </c>
      <c r="V210" t="s" s="0">
        <v>5143</v>
      </c>
      <c r="W210" t="s" s="0">
        <v>5144</v>
      </c>
      <c r="X210" t="s" s="0">
        <v>81</v>
      </c>
      <c r="Y210" t="s" s="0">
        <v>81</v>
      </c>
      <c r="Z210" t="s" s="0">
        <v>93</v>
      </c>
      <c r="AA210" t="s" s="0">
        <v>94</v>
      </c>
      <c r="AB210" t="s" s="0">
        <v>81</v>
      </c>
      <c r="AC210" t="s" s="0">
        <v>81</v>
      </c>
      <c r="AD210" t="s" s="0">
        <v>81</v>
      </c>
      <c r="AE210" t="s" s="0">
        <v>81</v>
      </c>
      <c r="AF210" t="s" s="0">
        <v>81</v>
      </c>
      <c r="AG210" t="s" s="0">
        <v>5145</v>
      </c>
      <c r="AH210" t="s" s="0">
        <v>5146</v>
      </c>
      <c r="AI210" t="s" s="0">
        <v>5147</v>
      </c>
      <c r="AJ210" t="s" s="0">
        <v>5148</v>
      </c>
      <c r="AK210" t="s" s="0">
        <v>81</v>
      </c>
      <c r="AL210" t="s" s="0">
        <v>448</v>
      </c>
      <c r="AM210" t="s" s="0">
        <v>117</v>
      </c>
      <c r="AN210" t="s" s="0">
        <v>1110</v>
      </c>
      <c r="AO210" t="s" s="0">
        <v>100</v>
      </c>
      <c r="AP210" t="s" s="0">
        <v>171</v>
      </c>
      <c r="AQ210" t="s" s="0">
        <v>140</v>
      </c>
      <c r="AR210" t="s" s="0">
        <v>141</v>
      </c>
      <c r="AS210" t="s" s="0">
        <v>142</v>
      </c>
      <c r="AT210" t="s" s="0">
        <v>5149</v>
      </c>
      <c r="AU210" t="s" s="0">
        <v>5150</v>
      </c>
      <c r="AV210" t="s" s="0">
        <v>81</v>
      </c>
      <c r="AW210" t="s" s="0">
        <v>5151</v>
      </c>
      <c r="AX210" t="s" s="0">
        <v>5152</v>
      </c>
      <c r="AY210" t="s" s="0">
        <v>5153</v>
      </c>
      <c r="AZ210" t="s" s="0">
        <v>309</v>
      </c>
      <c r="BA210" t="s" s="0">
        <v>5154</v>
      </c>
      <c r="BB210" t="s" s="0">
        <v>81</v>
      </c>
      <c r="BC210" t="s" s="0">
        <v>81</v>
      </c>
      <c r="BD210" t="s" s="0">
        <v>81</v>
      </c>
      <c r="BE210" t="s" s="0">
        <v>81</v>
      </c>
      <c r="BF210" t="s" s="0">
        <v>81</v>
      </c>
      <c r="BG210" t="s" s="0">
        <v>81</v>
      </c>
      <c r="BH210" t="s" s="0">
        <v>81</v>
      </c>
      <c r="BI210" t="s" s="0">
        <v>5155</v>
      </c>
      <c r="BJ210" t="s" s="0">
        <v>5156</v>
      </c>
      <c r="BK210" t="s" s="415">
        <f>HYPERLINK("http://dx.doi.org/10.1016/j.scitotenv.2024.176598","http://dx.doi.org/10.1016/j.scitotenv.2024.176598")</f>
        <v>5157</v>
      </c>
      <c r="BL210" t="s" s="0">
        <v>81</v>
      </c>
      <c r="BM210" t="s" s="0">
        <v>1335</v>
      </c>
      <c r="BN210" t="s" s="0">
        <v>152</v>
      </c>
      <c r="BO210" t="s" s="0">
        <v>5158</v>
      </c>
      <c r="BP210" t="s" s="0">
        <v>2718</v>
      </c>
      <c r="BQ210" t="s" s="0">
        <v>5159</v>
      </c>
      <c r="BR210" t="s" s="0">
        <v>5160</v>
      </c>
      <c r="BS210" t="s" s="0">
        <v>5161</v>
      </c>
      <c r="BT210" t="s" s="416">
        <f>HYPERLINK("https://www.webofscience.com/wos/woscc/full-record/WOS:001332704500001","View Record in Web of Science")</f>
        <v>123</v>
      </c>
      <c r="BU210" t="s" s="0">
        <v>81</v>
      </c>
      <c r="BV210" t="s" s="0">
        <v>81</v>
      </c>
      <c r="BW210" t="s" s="0">
        <v>81</v>
      </c>
      <c r="BX210" t="s" s="0">
        <v>124</v>
      </c>
    </row>
    <row r="211">
      <c r="A211" t="s" s="0">
        <v>77</v>
      </c>
      <c r="B211" t="s" s="0">
        <v>77</v>
      </c>
      <c r="C211" t="s" s="0">
        <v>77</v>
      </c>
      <c r="D211" t="s" s="0">
        <v>77</v>
      </c>
      <c r="E211" t="s" s="0">
        <v>5162</v>
      </c>
      <c r="F211" t="s" s="0">
        <v>5163</v>
      </c>
      <c r="G211" t="s" s="0">
        <v>5164</v>
      </c>
      <c r="H211" t="s" s="0">
        <v>81</v>
      </c>
      <c r="I211" t="s" s="0">
        <v>82</v>
      </c>
      <c r="J211" t="s" s="0">
        <v>5165</v>
      </c>
      <c r="K211" t="s" s="0">
        <v>5166</v>
      </c>
      <c r="L211" t="s" s="0">
        <v>81</v>
      </c>
      <c r="M211" t="s" s="0">
        <v>81</v>
      </c>
      <c r="N211" t="s" s="0">
        <v>81</v>
      </c>
      <c r="O211" t="s" s="0">
        <v>5167</v>
      </c>
      <c r="P211" t="s" s="0">
        <v>5168</v>
      </c>
      <c r="Q211" t="s" s="0">
        <v>90</v>
      </c>
      <c r="R211" t="s" s="0">
        <v>81</v>
      </c>
      <c r="S211" t="s" s="0">
        <v>81</v>
      </c>
      <c r="T211" t="s" s="0">
        <v>81</v>
      </c>
      <c r="U211" t="s" s="0">
        <v>81</v>
      </c>
      <c r="V211" t="s" s="0">
        <v>5169</v>
      </c>
      <c r="W211" t="s" s="0">
        <v>5170</v>
      </c>
      <c r="X211" t="s" s="0">
        <v>81</v>
      </c>
      <c r="Y211" t="s" s="0">
        <v>81</v>
      </c>
      <c r="Z211" t="s" s="0">
        <v>93</v>
      </c>
      <c r="AA211" t="s" s="0">
        <v>94</v>
      </c>
      <c r="AB211" t="s" s="0">
        <v>81</v>
      </c>
      <c r="AC211" t="s" s="0">
        <v>81</v>
      </c>
      <c r="AD211" t="s" s="0">
        <v>81</v>
      </c>
      <c r="AE211" t="s" s="0">
        <v>81</v>
      </c>
      <c r="AF211" t="s" s="0">
        <v>81</v>
      </c>
      <c r="AG211" t="s" s="0">
        <v>5171</v>
      </c>
      <c r="AH211" t="s" s="0">
        <v>81</v>
      </c>
      <c r="AI211" t="s" s="0">
        <v>81</v>
      </c>
      <c r="AJ211" t="s" s="0">
        <v>81</v>
      </c>
      <c r="AK211" t="s" s="0">
        <v>81</v>
      </c>
      <c r="AL211" t="s" s="0">
        <v>390</v>
      </c>
      <c r="AM211" t="s" s="0">
        <v>77</v>
      </c>
      <c r="AN211" t="s" s="0">
        <v>77</v>
      </c>
      <c r="AO211" t="s" s="0">
        <v>77</v>
      </c>
      <c r="AP211" t="s" s="0">
        <v>77</v>
      </c>
      <c r="AQ211" t="s" s="0">
        <v>5172</v>
      </c>
      <c r="AR211" t="s" s="0">
        <v>3329</v>
      </c>
      <c r="AS211" t="s" s="0">
        <v>5173</v>
      </c>
      <c r="AT211" t="s" s="0">
        <v>5174</v>
      </c>
      <c r="AU211" t="s" s="0">
        <v>5175</v>
      </c>
      <c r="AV211" t="s" s="0">
        <v>81</v>
      </c>
      <c r="AW211" t="s" s="0">
        <v>5176</v>
      </c>
      <c r="AX211" t="s" s="0">
        <v>5177</v>
      </c>
      <c r="AY211" t="s" s="0">
        <v>1967</v>
      </c>
      <c r="AZ211" t="s" s="0">
        <v>212</v>
      </c>
      <c r="BA211" t="s" s="0">
        <v>207</v>
      </c>
      <c r="BB211" t="s" s="0">
        <v>138</v>
      </c>
      <c r="BC211" t="s" s="0">
        <v>81</v>
      </c>
      <c r="BD211" t="s" s="0">
        <v>81</v>
      </c>
      <c r="BE211" t="s" s="0">
        <v>81</v>
      </c>
      <c r="BF211" t="s" s="0">
        <v>81</v>
      </c>
      <c r="BG211" t="s" s="0">
        <v>5178</v>
      </c>
      <c r="BH211" t="s" s="0">
        <v>5179</v>
      </c>
      <c r="BI211" t="s" s="0">
        <v>81</v>
      </c>
      <c r="BJ211" t="s" s="0">
        <v>5180</v>
      </c>
      <c r="BK211" t="s" s="417">
        <f>HYPERLINK("http://dx.doi.org/10.1007/s12206-026-0705-z","http://dx.doi.org/10.1007/s12206-026-0705-z")</f>
        <v>5181</v>
      </c>
      <c r="BL211" t="s" s="0">
        <v>81</v>
      </c>
      <c r="BM211" t="s" s="0">
        <v>1967</v>
      </c>
      <c r="BN211" t="s" s="0">
        <v>152</v>
      </c>
      <c r="BO211" t="s" s="0">
        <v>5182</v>
      </c>
      <c r="BP211" t="s" s="0">
        <v>219</v>
      </c>
      <c r="BQ211" t="s" s="0">
        <v>5183</v>
      </c>
      <c r="BR211" t="s" s="0">
        <v>81</v>
      </c>
      <c r="BS211" t="s" s="0">
        <v>5184</v>
      </c>
      <c r="BT211" t="s" s="418">
        <f>HYPERLINK("https://www.webofscience.com/wos/woscc/full-record/WOS:001841956400001","View Record in Web of Science")</f>
        <v>123</v>
      </c>
      <c r="BU211" t="s" s="0">
        <v>81</v>
      </c>
      <c r="BV211" t="s" s="0">
        <v>81</v>
      </c>
      <c r="BW211" t="s" s="0">
        <v>81</v>
      </c>
      <c r="BX211" t="s" s="0">
        <v>124</v>
      </c>
    </row>
    <row r="212">
      <c r="A212" t="s" s="0">
        <v>77</v>
      </c>
      <c r="B212" t="s" s="0">
        <v>77</v>
      </c>
      <c r="C212" t="s" s="0">
        <v>77</v>
      </c>
      <c r="D212" t="s" s="0">
        <v>77</v>
      </c>
      <c r="E212" t="s" s="0">
        <v>5185</v>
      </c>
      <c r="F212" t="s" s="0">
        <v>5186</v>
      </c>
      <c r="G212" t="s" s="0">
        <v>5187</v>
      </c>
      <c r="H212" t="s" s="0">
        <v>81</v>
      </c>
      <c r="I212" t="s" s="0">
        <v>82</v>
      </c>
      <c r="J212" t="s" s="0">
        <v>5188</v>
      </c>
      <c r="K212" t="s" s="0">
        <v>5189</v>
      </c>
      <c r="L212" t="s" s="0">
        <v>5190</v>
      </c>
      <c r="M212" t="s" s="0">
        <v>5191</v>
      </c>
      <c r="N212" t="s" s="0">
        <v>5192</v>
      </c>
      <c r="O212" t="s" s="0">
        <v>5193</v>
      </c>
      <c r="P212" t="s" s="0">
        <v>5194</v>
      </c>
      <c r="Q212" t="s" s="0">
        <v>90</v>
      </c>
      <c r="R212" t="s" s="0">
        <v>81</v>
      </c>
      <c r="S212" t="s" s="0">
        <v>81</v>
      </c>
      <c r="T212" t="s" s="0">
        <v>81</v>
      </c>
      <c r="U212" t="s" s="0">
        <v>81</v>
      </c>
      <c r="V212" t="s" s="0">
        <v>5195</v>
      </c>
      <c r="W212" t="s" s="0">
        <v>5170</v>
      </c>
      <c r="X212" t="s" s="0">
        <v>81</v>
      </c>
      <c r="Y212" t="s" s="0">
        <v>81</v>
      </c>
      <c r="Z212" t="s" s="0">
        <v>93</v>
      </c>
      <c r="AA212" t="s" s="0">
        <v>94</v>
      </c>
      <c r="AB212" t="s" s="0">
        <v>81</v>
      </c>
      <c r="AC212" t="s" s="0">
        <v>81</v>
      </c>
      <c r="AD212" t="s" s="0">
        <v>81</v>
      </c>
      <c r="AE212" t="s" s="0">
        <v>81</v>
      </c>
      <c r="AF212" t="s" s="0">
        <v>81</v>
      </c>
      <c r="AG212" t="s" s="0">
        <v>5196</v>
      </c>
      <c r="AH212" t="s" s="0">
        <v>81</v>
      </c>
      <c r="AI212" t="s" s="0">
        <v>5197</v>
      </c>
      <c r="AJ212" t="s" s="0">
        <v>81</v>
      </c>
      <c r="AK212" t="s" s="0">
        <v>81</v>
      </c>
      <c r="AL212" t="s" s="0">
        <v>2520</v>
      </c>
      <c r="AM212" t="s" s="0">
        <v>77</v>
      </c>
      <c r="AN212" t="s" s="0">
        <v>77</v>
      </c>
      <c r="AO212" t="s" s="0">
        <v>101</v>
      </c>
      <c r="AP212" t="s" s="0">
        <v>101</v>
      </c>
      <c r="AQ212" t="s" s="0">
        <v>5172</v>
      </c>
      <c r="AR212" t="s" s="0">
        <v>3329</v>
      </c>
      <c r="AS212" t="s" s="0">
        <v>5173</v>
      </c>
      <c r="AT212" t="s" s="0">
        <v>5174</v>
      </c>
      <c r="AU212" t="s" s="0">
        <v>5175</v>
      </c>
      <c r="AV212" t="s" s="0">
        <v>81</v>
      </c>
      <c r="AW212" t="s" s="0">
        <v>5176</v>
      </c>
      <c r="AX212" t="s" s="0">
        <v>5177</v>
      </c>
      <c r="AY212" t="s" s="0">
        <v>2187</v>
      </c>
      <c r="AZ212" t="s" s="0">
        <v>212</v>
      </c>
      <c r="BA212" t="s" s="0">
        <v>207</v>
      </c>
      <c r="BB212" t="s" s="0">
        <v>333</v>
      </c>
      <c r="BC212" t="s" s="0">
        <v>81</v>
      </c>
      <c r="BD212" t="s" s="0">
        <v>81</v>
      </c>
      <c r="BE212" t="s" s="0">
        <v>81</v>
      </c>
      <c r="BF212" t="s" s="0">
        <v>81</v>
      </c>
      <c r="BG212" t="s" s="0">
        <v>5198</v>
      </c>
      <c r="BH212" t="s" s="0">
        <v>5199</v>
      </c>
      <c r="BI212" t="s" s="0">
        <v>81</v>
      </c>
      <c r="BJ212" t="s" s="0">
        <v>5200</v>
      </c>
      <c r="BK212" t="s" s="419">
        <f>HYPERLINK("http://dx.doi.org/10.1007/s12206-026-0513-5","http://dx.doi.org/10.1007/s12206-026-0513-5")</f>
        <v>5201</v>
      </c>
      <c r="BL212" t="s" s="0">
        <v>81</v>
      </c>
      <c r="BM212" t="s" s="0">
        <v>2187</v>
      </c>
      <c r="BN212" t="s" s="0">
        <v>1110</v>
      </c>
      <c r="BO212" t="s" s="0">
        <v>5182</v>
      </c>
      <c r="BP212" t="s" s="0">
        <v>219</v>
      </c>
      <c r="BQ212" t="s" s="0">
        <v>5202</v>
      </c>
      <c r="BR212" t="s" s="0">
        <v>81</v>
      </c>
      <c r="BS212" t="s" s="0">
        <v>5203</v>
      </c>
      <c r="BT212" t="s" s="420">
        <f>HYPERLINK("https://www.webofscience.com/wos/woscc/full-record/WOS:001783157700001","View Record in Web of Science")</f>
        <v>123</v>
      </c>
      <c r="BU212" t="s" s="0">
        <v>81</v>
      </c>
      <c r="BV212" t="s" s="0">
        <v>81</v>
      </c>
      <c r="BW212" t="s" s="0">
        <v>81</v>
      </c>
      <c r="BX212" t="s" s="0">
        <v>124</v>
      </c>
    </row>
    <row r="213">
      <c r="A213" t="s" s="0">
        <v>77</v>
      </c>
      <c r="B213" t="s" s="0">
        <v>77</v>
      </c>
      <c r="C213" t="s" s="0">
        <v>77</v>
      </c>
      <c r="D213" t="s" s="0">
        <v>77</v>
      </c>
      <c r="E213" t="s" s="0">
        <v>5204</v>
      </c>
      <c r="F213" t="s" s="0">
        <v>5205</v>
      </c>
      <c r="G213" t="s" s="0">
        <v>5206</v>
      </c>
      <c r="H213" t="s" s="0">
        <v>81</v>
      </c>
      <c r="I213" t="s" s="0">
        <v>82</v>
      </c>
      <c r="J213" t="s" s="0">
        <v>5207</v>
      </c>
      <c r="K213" t="s" s="0">
        <v>5208</v>
      </c>
      <c r="L213" t="s" s="0">
        <v>5209</v>
      </c>
      <c r="M213" t="s" s="0">
        <v>5210</v>
      </c>
      <c r="N213" t="s" s="0">
        <v>5211</v>
      </c>
      <c r="O213" t="s" s="0">
        <v>5212</v>
      </c>
      <c r="P213" t="s" s="0">
        <v>5213</v>
      </c>
      <c r="Q213" t="s" s="0">
        <v>90</v>
      </c>
      <c r="R213" t="s" s="0">
        <v>81</v>
      </c>
      <c r="S213" t="s" s="0">
        <v>81</v>
      </c>
      <c r="T213" t="s" s="0">
        <v>81</v>
      </c>
      <c r="U213" t="s" s="0">
        <v>81</v>
      </c>
      <c r="V213" t="s" s="0">
        <v>5214</v>
      </c>
      <c r="W213" t="s" s="0">
        <v>1375</v>
      </c>
      <c r="X213" t="s" s="0">
        <v>81</v>
      </c>
      <c r="Y213" t="s" s="0">
        <v>81</v>
      </c>
      <c r="Z213" t="s" s="0">
        <v>93</v>
      </c>
      <c r="AA213" t="s" s="0">
        <v>94</v>
      </c>
      <c r="AB213" t="s" s="0">
        <v>81</v>
      </c>
      <c r="AC213" t="s" s="0">
        <v>81</v>
      </c>
      <c r="AD213" t="s" s="0">
        <v>81</v>
      </c>
      <c r="AE213" t="s" s="0">
        <v>81</v>
      </c>
      <c r="AF213" t="s" s="0">
        <v>81</v>
      </c>
      <c r="AG213" t="s" s="0">
        <v>5215</v>
      </c>
      <c r="AH213" t="s" s="0">
        <v>81</v>
      </c>
      <c r="AI213" t="s" s="0">
        <v>81</v>
      </c>
      <c r="AJ213" t="s" s="0">
        <v>81</v>
      </c>
      <c r="AK213" t="s" s="0">
        <v>81</v>
      </c>
      <c r="AL213" t="s" s="0">
        <v>2596</v>
      </c>
      <c r="AM213" t="s" s="0">
        <v>77</v>
      </c>
      <c r="AN213" t="s" s="0">
        <v>77</v>
      </c>
      <c r="AO213" t="s" s="0">
        <v>183</v>
      </c>
      <c r="AP213" t="s" s="0">
        <v>138</v>
      </c>
      <c r="AQ213" t="s" s="0">
        <v>505</v>
      </c>
      <c r="AR213" t="s" s="0">
        <v>506</v>
      </c>
      <c r="AS213" t="s" s="0">
        <v>507</v>
      </c>
      <c r="AT213" t="s" s="0">
        <v>1377</v>
      </c>
      <c r="AU213" t="s" s="0">
        <v>1378</v>
      </c>
      <c r="AV213" t="s" s="0">
        <v>81</v>
      </c>
      <c r="AW213" t="s" s="0">
        <v>1379</v>
      </c>
      <c r="AX213" t="s" s="0">
        <v>1380</v>
      </c>
      <c r="AY213" t="s" s="0">
        <v>5216</v>
      </c>
      <c r="AZ213" t="s" s="0">
        <v>111</v>
      </c>
      <c r="BA213" t="s" s="0">
        <v>390</v>
      </c>
      <c r="BB213" t="s" s="0">
        <v>137</v>
      </c>
      <c r="BC213" t="s" s="0">
        <v>81</v>
      </c>
      <c r="BD213" t="s" s="0">
        <v>81</v>
      </c>
      <c r="BE213" t="s" s="0">
        <v>81</v>
      </c>
      <c r="BF213" t="s" s="0">
        <v>81</v>
      </c>
      <c r="BG213" t="s" s="0">
        <v>81</v>
      </c>
      <c r="BH213" t="s" s="0">
        <v>81</v>
      </c>
      <c r="BI213" t="s" s="0">
        <v>1832</v>
      </c>
      <c r="BJ213" t="s" s="0">
        <v>5217</v>
      </c>
      <c r="BK213" t="s" s="421">
        <f>HYPERLINK("http://dx.doi.org/10.1007/s00530-025-02088-7","http://dx.doi.org/10.1007/s00530-025-02088-7")</f>
        <v>5218</v>
      </c>
      <c r="BL213" t="s" s="0">
        <v>81</v>
      </c>
      <c r="BM213" t="s" s="0">
        <v>81</v>
      </c>
      <c r="BN213" t="s" s="0">
        <v>895</v>
      </c>
      <c r="BO213" t="s" s="0">
        <v>1384</v>
      </c>
      <c r="BP213" t="s" s="0">
        <v>250</v>
      </c>
      <c r="BQ213" t="s" s="0">
        <v>5219</v>
      </c>
      <c r="BR213" t="s" s="0">
        <v>81</v>
      </c>
      <c r="BS213" t="s" s="0">
        <v>5220</v>
      </c>
      <c r="BT213" t="s" s="422">
        <f>HYPERLINK("https://www.webofscience.com/wos/woscc/full-record/WOS:001631727700008","View Record in Web of Science")</f>
        <v>123</v>
      </c>
      <c r="BU213" t="s" s="0">
        <v>81</v>
      </c>
      <c r="BV213" t="s" s="0">
        <v>81</v>
      </c>
      <c r="BW213" t="s" s="0">
        <v>81</v>
      </c>
      <c r="BX213" t="s" s="0">
        <v>124</v>
      </c>
    </row>
    <row r="214">
      <c r="A214" t="s" s="0">
        <v>77</v>
      </c>
      <c r="B214" t="s" s="0">
        <v>77</v>
      </c>
      <c r="C214" t="s" s="0">
        <v>77</v>
      </c>
      <c r="D214" t="s" s="0">
        <v>77</v>
      </c>
      <c r="E214" t="s" s="0">
        <v>5221</v>
      </c>
      <c r="F214" t="s" s="0">
        <v>5222</v>
      </c>
      <c r="G214" t="s" s="0">
        <v>5223</v>
      </c>
      <c r="H214" t="s" s="0">
        <v>81</v>
      </c>
      <c r="I214" t="s" s="0">
        <v>82</v>
      </c>
      <c r="J214" t="s" s="0">
        <v>5224</v>
      </c>
      <c r="K214" t="s" s="0">
        <v>5225</v>
      </c>
      <c r="L214" t="s" s="0">
        <v>5226</v>
      </c>
      <c r="M214" t="s" s="0">
        <v>5227</v>
      </c>
      <c r="N214" t="s" s="0">
        <v>5228</v>
      </c>
      <c r="O214" t="s" s="0">
        <v>5229</v>
      </c>
      <c r="P214" t="s" s="0">
        <v>5230</v>
      </c>
      <c r="Q214" t="s" s="0">
        <v>90</v>
      </c>
      <c r="R214" t="s" s="0">
        <v>81</v>
      </c>
      <c r="S214" t="s" s="0">
        <v>81</v>
      </c>
      <c r="T214" t="s" s="0">
        <v>81</v>
      </c>
      <c r="U214" t="s" s="0">
        <v>81</v>
      </c>
      <c r="V214" t="s" s="0">
        <v>5231</v>
      </c>
      <c r="W214" t="s" s="0">
        <v>5232</v>
      </c>
      <c r="X214" t="s" s="0">
        <v>81</v>
      </c>
      <c r="Y214" t="s" s="0">
        <v>81</v>
      </c>
      <c r="Z214" t="s" s="0">
        <v>93</v>
      </c>
      <c r="AA214" t="s" s="0">
        <v>94</v>
      </c>
      <c r="AB214" t="s" s="0">
        <v>81</v>
      </c>
      <c r="AC214" t="s" s="0">
        <v>81</v>
      </c>
      <c r="AD214" t="s" s="0">
        <v>81</v>
      </c>
      <c r="AE214" t="s" s="0">
        <v>81</v>
      </c>
      <c r="AF214" t="s" s="0">
        <v>81</v>
      </c>
      <c r="AG214" t="s" s="0">
        <v>81</v>
      </c>
      <c r="AH214" t="s" s="0">
        <v>5233</v>
      </c>
      <c r="AI214" t="s" s="0">
        <v>5234</v>
      </c>
      <c r="AJ214" t="s" s="0">
        <v>5235</v>
      </c>
      <c r="AK214" t="s" s="0">
        <v>81</v>
      </c>
      <c r="AL214" t="s" s="0">
        <v>1085</v>
      </c>
      <c r="AM214" t="s" s="0">
        <v>77</v>
      </c>
      <c r="AN214" t="s" s="0">
        <v>77</v>
      </c>
      <c r="AO214" t="s" s="0">
        <v>77</v>
      </c>
      <c r="AP214" t="s" s="0">
        <v>77</v>
      </c>
      <c r="AQ214" t="s" s="0">
        <v>1772</v>
      </c>
      <c r="AR214" t="s" s="0">
        <v>1773</v>
      </c>
      <c r="AS214" t="s" s="0">
        <v>1774</v>
      </c>
      <c r="AT214" t="s" s="0">
        <v>81</v>
      </c>
      <c r="AU214" t="s" s="0">
        <v>5236</v>
      </c>
      <c r="AV214" t="s" s="0">
        <v>81</v>
      </c>
      <c r="AW214" t="s" s="0">
        <v>5232</v>
      </c>
      <c r="AX214" t="s" s="0">
        <v>5237</v>
      </c>
      <c r="AY214" t="s" s="0">
        <v>2474</v>
      </c>
      <c r="AZ214" t="s" s="0">
        <v>212</v>
      </c>
      <c r="BA214" t="s" s="0">
        <v>173</v>
      </c>
      <c r="BB214" t="s" s="0">
        <v>333</v>
      </c>
      <c r="BC214" t="s" s="0">
        <v>81</v>
      </c>
      <c r="BD214" t="s" s="0">
        <v>81</v>
      </c>
      <c r="BE214" t="s" s="0">
        <v>81</v>
      </c>
      <c r="BF214" t="s" s="0">
        <v>81</v>
      </c>
      <c r="BG214" t="s" s="0">
        <v>81</v>
      </c>
      <c r="BH214" t="s" s="0">
        <v>81</v>
      </c>
      <c r="BI214" t="s" s="0">
        <v>5238</v>
      </c>
      <c r="BJ214" t="s" s="0">
        <v>5239</v>
      </c>
      <c r="BK214" t="s" s="423">
        <f>HYPERLINK("http://dx.doi.org/10.1371/journal.pone.0351405","http://dx.doi.org/10.1371/journal.pone.0351405")</f>
        <v>5240</v>
      </c>
      <c r="BL214" t="s" s="0">
        <v>81</v>
      </c>
      <c r="BM214" t="s" s="0">
        <v>2187</v>
      </c>
      <c r="BN214" t="s" s="0">
        <v>652</v>
      </c>
      <c r="BO214" t="s" s="0">
        <v>313</v>
      </c>
      <c r="BP214" t="s" s="0">
        <v>314</v>
      </c>
      <c r="BQ214" t="s" s="0">
        <v>5241</v>
      </c>
      <c r="BR214" t="s" s="0">
        <v>5242</v>
      </c>
      <c r="BS214" t="s" s="0">
        <v>5243</v>
      </c>
      <c r="BT214" t="s" s="424">
        <f>HYPERLINK("https://www.webofscience.com/wos/woscc/full-record/WOS:001792566300026","View Record in Web of Science")</f>
        <v>123</v>
      </c>
      <c r="BU214" t="s" s="0">
        <v>191</v>
      </c>
      <c r="BV214" t="s" s="0">
        <v>81</v>
      </c>
      <c r="BW214" t="s" s="0">
        <v>81</v>
      </c>
      <c r="BX214" t="s" s="0">
        <v>124</v>
      </c>
    </row>
    <row r="215">
      <c r="A215" t="s" s="0">
        <v>77</v>
      </c>
      <c r="B215" t="s" s="0">
        <v>77</v>
      </c>
      <c r="C215" t="s" s="0">
        <v>77</v>
      </c>
      <c r="D215" t="s" s="0">
        <v>77</v>
      </c>
      <c r="E215" t="s" s="0">
        <v>5244</v>
      </c>
      <c r="F215" t="s" s="0">
        <v>5245</v>
      </c>
      <c r="G215" t="s" s="0">
        <v>5246</v>
      </c>
      <c r="H215" t="s" s="0">
        <v>81</v>
      </c>
      <c r="I215" t="s" s="0">
        <v>82</v>
      </c>
      <c r="J215" t="s" s="0">
        <v>5247</v>
      </c>
      <c r="K215" t="s" s="0">
        <v>5248</v>
      </c>
      <c r="L215" t="s" s="0">
        <v>5249</v>
      </c>
      <c r="M215" t="s" s="0">
        <v>5250</v>
      </c>
      <c r="N215" t="s" s="0">
        <v>5251</v>
      </c>
      <c r="O215" t="s" s="0">
        <v>5252</v>
      </c>
      <c r="P215" t="s" s="0">
        <v>5253</v>
      </c>
      <c r="Q215" t="s" s="0">
        <v>90</v>
      </c>
      <c r="R215" t="s" s="0">
        <v>81</v>
      </c>
      <c r="S215" t="s" s="0">
        <v>81</v>
      </c>
      <c r="T215" t="s" s="0">
        <v>81</v>
      </c>
      <c r="U215" t="s" s="0">
        <v>81</v>
      </c>
      <c r="V215" t="s" s="0">
        <v>5254</v>
      </c>
      <c r="W215" t="s" s="0">
        <v>5255</v>
      </c>
      <c r="X215" t="s" s="0">
        <v>81</v>
      </c>
      <c r="Y215" t="s" s="0">
        <v>81</v>
      </c>
      <c r="Z215" t="s" s="0">
        <v>93</v>
      </c>
      <c r="AA215" t="s" s="0">
        <v>94</v>
      </c>
      <c r="AB215" t="s" s="0">
        <v>81</v>
      </c>
      <c r="AC215" t="s" s="0">
        <v>81</v>
      </c>
      <c r="AD215" t="s" s="0">
        <v>81</v>
      </c>
      <c r="AE215" t="s" s="0">
        <v>81</v>
      </c>
      <c r="AF215" t="s" s="0">
        <v>81</v>
      </c>
      <c r="AG215" t="s" s="0">
        <v>5256</v>
      </c>
      <c r="AH215" t="s" s="0">
        <v>81</v>
      </c>
      <c r="AI215" t="s" s="0">
        <v>81</v>
      </c>
      <c r="AJ215" t="s" s="0">
        <v>81</v>
      </c>
      <c r="AK215" t="s" s="0">
        <v>81</v>
      </c>
      <c r="AL215" t="s" s="0">
        <v>457</v>
      </c>
      <c r="AM215" t="s" s="0">
        <v>77</v>
      </c>
      <c r="AN215" t="s" s="0">
        <v>77</v>
      </c>
      <c r="AO215" t="s" s="0">
        <v>172</v>
      </c>
      <c r="AP215" t="s" s="0">
        <v>172</v>
      </c>
      <c r="AQ215" t="s" s="0">
        <v>174</v>
      </c>
      <c r="AR215" t="s" s="0">
        <v>175</v>
      </c>
      <c r="AS215" t="s" s="0">
        <v>208</v>
      </c>
      <c r="AT215" t="s" s="0">
        <v>81</v>
      </c>
      <c r="AU215" t="s" s="0">
        <v>5257</v>
      </c>
      <c r="AV215" t="s" s="0">
        <v>81</v>
      </c>
      <c r="AW215" t="s" s="0">
        <v>5255</v>
      </c>
      <c r="AX215" t="s" s="0">
        <v>5258</v>
      </c>
      <c r="AY215" t="s" s="0">
        <v>5259</v>
      </c>
      <c r="AZ215" t="s" s="0">
        <v>212</v>
      </c>
      <c r="BA215" t="s" s="0">
        <v>405</v>
      </c>
      <c r="BB215" t="s" s="0">
        <v>333</v>
      </c>
      <c r="BC215" t="s" s="0">
        <v>81</v>
      </c>
      <c r="BD215" t="s" s="0">
        <v>81</v>
      </c>
      <c r="BE215" t="s" s="0">
        <v>81</v>
      </c>
      <c r="BF215" t="s" s="0">
        <v>81</v>
      </c>
      <c r="BG215" t="s" s="0">
        <v>81</v>
      </c>
      <c r="BH215" t="s" s="0">
        <v>81</v>
      </c>
      <c r="BI215" t="s" s="0">
        <v>5260</v>
      </c>
      <c r="BJ215" t="s" s="0">
        <v>5261</v>
      </c>
      <c r="BK215" t="s" s="425">
        <f>HYPERLINK("http://dx.doi.org/10.3390/foods15061095","http://dx.doi.org/10.3390/foods15061095")</f>
        <v>5262</v>
      </c>
      <c r="BL215" t="s" s="0">
        <v>81</v>
      </c>
      <c r="BM215" t="s" s="0">
        <v>81</v>
      </c>
      <c r="BN215" t="s" s="0">
        <v>676</v>
      </c>
      <c r="BO215" t="s" s="0">
        <v>5263</v>
      </c>
      <c r="BP215" t="s" s="0">
        <v>5263</v>
      </c>
      <c r="BQ215" t="s" s="0">
        <v>5264</v>
      </c>
      <c r="BR215" t="s" s="0">
        <v>5265</v>
      </c>
      <c r="BS215" t="s" s="0">
        <v>5266</v>
      </c>
      <c r="BT215" t="s" s="426">
        <f>HYPERLINK("https://www.webofscience.com/wos/woscc/full-record/WOS:001726132700001","View Record in Web of Science")</f>
        <v>123</v>
      </c>
      <c r="BU215" t="s" s="0">
        <v>191</v>
      </c>
      <c r="BV215" t="s" s="0">
        <v>81</v>
      </c>
      <c r="BW215" t="s" s="0">
        <v>81</v>
      </c>
      <c r="BX215" t="s" s="0">
        <v>124</v>
      </c>
    </row>
    <row r="216">
      <c r="A216" t="s" s="0">
        <v>77</v>
      </c>
      <c r="B216" t="s" s="0">
        <v>77</v>
      </c>
      <c r="C216" t="s" s="0">
        <v>77</v>
      </c>
      <c r="D216" t="s" s="0">
        <v>77</v>
      </c>
      <c r="E216" t="s" s="0">
        <v>5267</v>
      </c>
      <c r="F216" t="s" s="0">
        <v>5268</v>
      </c>
      <c r="G216" t="s" s="0">
        <v>5269</v>
      </c>
      <c r="H216" t="s" s="0">
        <v>81</v>
      </c>
      <c r="I216" t="s" s="0">
        <v>82</v>
      </c>
      <c r="J216" t="s" s="0">
        <v>5270</v>
      </c>
      <c r="K216" t="s" s="0">
        <v>5271</v>
      </c>
      <c r="L216" t="s" s="0">
        <v>5272</v>
      </c>
      <c r="M216" t="s" s="0">
        <v>5273</v>
      </c>
      <c r="N216" t="s" s="0">
        <v>5274</v>
      </c>
      <c r="O216" t="s" s="0">
        <v>5275</v>
      </c>
      <c r="P216" t="s" s="0">
        <v>5276</v>
      </c>
      <c r="Q216" t="s" s="0">
        <v>90</v>
      </c>
      <c r="R216" t="s" s="0">
        <v>81</v>
      </c>
      <c r="S216" t="s" s="0">
        <v>81</v>
      </c>
      <c r="T216" t="s" s="0">
        <v>81</v>
      </c>
      <c r="U216" t="s" s="0">
        <v>81</v>
      </c>
      <c r="V216" t="s" s="0">
        <v>5277</v>
      </c>
      <c r="W216" t="s" s="0">
        <v>5278</v>
      </c>
      <c r="X216" t="s" s="0">
        <v>81</v>
      </c>
      <c r="Y216" t="s" s="0">
        <v>81</v>
      </c>
      <c r="Z216" t="s" s="0">
        <v>93</v>
      </c>
      <c r="AA216" t="s" s="0">
        <v>94</v>
      </c>
      <c r="AB216" t="s" s="0">
        <v>81</v>
      </c>
      <c r="AC216" t="s" s="0">
        <v>81</v>
      </c>
      <c r="AD216" t="s" s="0">
        <v>81</v>
      </c>
      <c r="AE216" t="s" s="0">
        <v>81</v>
      </c>
      <c r="AF216" t="s" s="0">
        <v>81</v>
      </c>
      <c r="AG216" t="s" s="0">
        <v>5279</v>
      </c>
      <c r="AH216" t="s" s="0">
        <v>81</v>
      </c>
      <c r="AI216" t="s" s="0">
        <v>5280</v>
      </c>
      <c r="AJ216" t="s" s="0">
        <v>5281</v>
      </c>
      <c r="AK216" t="s" s="0">
        <v>81</v>
      </c>
      <c r="AL216" t="s" s="0">
        <v>207</v>
      </c>
      <c r="AM216" t="s" s="0">
        <v>138</v>
      </c>
      <c r="AN216" t="s" s="0">
        <v>172</v>
      </c>
      <c r="AO216" t="s" s="0">
        <v>183</v>
      </c>
      <c r="AP216" t="s" s="0">
        <v>217</v>
      </c>
      <c r="AQ216" t="s" s="0">
        <v>174</v>
      </c>
      <c r="AR216" t="s" s="0">
        <v>175</v>
      </c>
      <c r="AS216" t="s" s="0">
        <v>208</v>
      </c>
      <c r="AT216" t="s" s="0">
        <v>81</v>
      </c>
      <c r="AU216" t="s" s="0">
        <v>5282</v>
      </c>
      <c r="AV216" t="s" s="0">
        <v>81</v>
      </c>
      <c r="AW216" t="s" s="0">
        <v>5283</v>
      </c>
      <c r="AX216" t="s" s="0">
        <v>5284</v>
      </c>
      <c r="AY216" t="s" s="0">
        <v>5285</v>
      </c>
      <c r="AZ216" t="s" s="0">
        <v>111</v>
      </c>
      <c r="BA216" t="s" s="0">
        <v>399</v>
      </c>
      <c r="BB216" t="s" s="0">
        <v>183</v>
      </c>
      <c r="BC216" t="s" s="0">
        <v>81</v>
      </c>
      <c r="BD216" t="s" s="0">
        <v>81</v>
      </c>
      <c r="BE216" t="s" s="0">
        <v>81</v>
      </c>
      <c r="BF216" t="s" s="0">
        <v>81</v>
      </c>
      <c r="BG216" t="s" s="0">
        <v>81</v>
      </c>
      <c r="BH216" t="s" s="0">
        <v>81</v>
      </c>
      <c r="BI216" t="s" s="0">
        <v>5286</v>
      </c>
      <c r="BJ216" t="s" s="0">
        <v>5287</v>
      </c>
      <c r="BK216" t="s" s="427">
        <f>HYPERLINK("http://dx.doi.org/10.3390/drones9070496","http://dx.doi.org/10.3390/drones9070496")</f>
        <v>5288</v>
      </c>
      <c r="BL216" t="s" s="0">
        <v>81</v>
      </c>
      <c r="BM216" t="s" s="0">
        <v>81</v>
      </c>
      <c r="BN216" t="s" s="0">
        <v>895</v>
      </c>
      <c r="BO216" t="s" s="0">
        <v>5289</v>
      </c>
      <c r="BP216" t="s" s="0">
        <v>5289</v>
      </c>
      <c r="BQ216" t="s" s="0">
        <v>5290</v>
      </c>
      <c r="BR216" t="s" s="0">
        <v>81</v>
      </c>
      <c r="BS216" t="s" s="0">
        <v>5291</v>
      </c>
      <c r="BT216" t="s" s="428">
        <f>HYPERLINK("https://www.webofscience.com/wos/woscc/full-record/WOS:001535809100001","View Record in Web of Science")</f>
        <v>123</v>
      </c>
      <c r="BU216" t="s" s="0">
        <v>191</v>
      </c>
      <c r="BV216" t="s" s="0">
        <v>81</v>
      </c>
      <c r="BW216" t="s" s="0">
        <v>81</v>
      </c>
      <c r="BX216" t="s" s="0">
        <v>124</v>
      </c>
    </row>
    <row r="217">
      <c r="A217" t="s" s="0">
        <v>301</v>
      </c>
      <c r="B217" t="s" s="0">
        <v>77</v>
      </c>
      <c r="C217" t="s" s="0">
        <v>101</v>
      </c>
      <c r="D217" t="s" s="0">
        <v>77</v>
      </c>
      <c r="E217" t="s" s="0">
        <v>5292</v>
      </c>
      <c r="F217" t="s" s="0">
        <v>5293</v>
      </c>
      <c r="G217" t="s" s="0">
        <v>5294</v>
      </c>
      <c r="H217" t="s" s="0">
        <v>81</v>
      </c>
      <c r="I217" t="s" s="0">
        <v>82</v>
      </c>
      <c r="J217" t="s" s="0">
        <v>5295</v>
      </c>
      <c r="K217" t="s" s="0">
        <v>5296</v>
      </c>
      <c r="L217" t="s" s="0">
        <v>5297</v>
      </c>
      <c r="M217" t="s" s="0">
        <v>199</v>
      </c>
      <c r="N217" t="s" s="0">
        <v>5298</v>
      </c>
      <c r="O217" t="s" s="0">
        <v>5299</v>
      </c>
      <c r="P217" t="s" s="0">
        <v>5300</v>
      </c>
      <c r="Q217" t="s" s="0">
        <v>90</v>
      </c>
      <c r="R217" t="s" s="0">
        <v>81</v>
      </c>
      <c r="S217" t="s" s="0">
        <v>81</v>
      </c>
      <c r="T217" t="s" s="0">
        <v>81</v>
      </c>
      <c r="U217" t="s" s="0">
        <v>81</v>
      </c>
      <c r="V217" t="s" s="0">
        <v>5301</v>
      </c>
      <c r="W217" t="s" s="0">
        <v>5302</v>
      </c>
      <c r="X217" t="s" s="0">
        <v>81</v>
      </c>
      <c r="Y217" t="s" s="0">
        <v>81</v>
      </c>
      <c r="Z217" t="s" s="0">
        <v>93</v>
      </c>
      <c r="AA217" t="s" s="0">
        <v>94</v>
      </c>
      <c r="AB217" t="s" s="0">
        <v>81</v>
      </c>
      <c r="AC217" t="s" s="0">
        <v>81</v>
      </c>
      <c r="AD217" t="s" s="0">
        <v>81</v>
      </c>
      <c r="AE217" t="s" s="0">
        <v>81</v>
      </c>
      <c r="AF217" t="s" s="0">
        <v>81</v>
      </c>
      <c r="AG217" t="s" s="0">
        <v>5303</v>
      </c>
      <c r="AH217" t="s" s="0">
        <v>5304</v>
      </c>
      <c r="AI217" t="s" s="0">
        <v>5305</v>
      </c>
      <c r="AJ217" t="s" s="0">
        <v>5306</v>
      </c>
      <c r="AK217" t="s" s="0">
        <v>81</v>
      </c>
      <c r="AL217" t="s" s="0">
        <v>275</v>
      </c>
      <c r="AM217" t="s" s="0">
        <v>1217</v>
      </c>
      <c r="AN217" t="s" s="0">
        <v>1747</v>
      </c>
      <c r="AO217" t="s" s="0">
        <v>138</v>
      </c>
      <c r="AP217" t="s" s="0">
        <v>1990</v>
      </c>
      <c r="AQ217" t="s" s="0">
        <v>5307</v>
      </c>
      <c r="AR217" t="s" s="0">
        <v>422</v>
      </c>
      <c r="AS217" t="s" s="0">
        <v>5308</v>
      </c>
      <c r="AT217" t="s" s="0">
        <v>5309</v>
      </c>
      <c r="AU217" t="s" s="0">
        <v>5310</v>
      </c>
      <c r="AV217" t="s" s="0">
        <v>81</v>
      </c>
      <c r="AW217" t="s" s="0">
        <v>5311</v>
      </c>
      <c r="AX217" t="s" s="0">
        <v>5312</v>
      </c>
      <c r="AY217" t="s" s="0">
        <v>5313</v>
      </c>
      <c r="AZ217" t="s" s="0">
        <v>181</v>
      </c>
      <c r="BA217" t="s" s="0">
        <v>5314</v>
      </c>
      <c r="BB217" t="s" s="0">
        <v>81</v>
      </c>
      <c r="BC217" t="s" s="0">
        <v>81</v>
      </c>
      <c r="BD217" t="s" s="0">
        <v>81</v>
      </c>
      <c r="BE217" t="s" s="0">
        <v>81</v>
      </c>
      <c r="BF217" t="s" s="0">
        <v>81</v>
      </c>
      <c r="BG217" t="s" s="0">
        <v>81</v>
      </c>
      <c r="BH217" t="s" s="0">
        <v>81</v>
      </c>
      <c r="BI217" t="s" s="0">
        <v>5315</v>
      </c>
      <c r="BJ217" t="s" s="0">
        <v>5316</v>
      </c>
      <c r="BK217" t="s" s="429">
        <f>HYPERLINK("http://dx.doi.org/10.1016/j.sna.2023.114433","http://dx.doi.org/10.1016/j.sna.2023.114433")</f>
        <v>5317</v>
      </c>
      <c r="BL217" t="s" s="0">
        <v>81</v>
      </c>
      <c r="BM217" t="s" s="0">
        <v>5318</v>
      </c>
      <c r="BN217" t="s" s="0">
        <v>117</v>
      </c>
      <c r="BO217" t="s" s="0">
        <v>5319</v>
      </c>
      <c r="BP217" t="s" s="0">
        <v>4620</v>
      </c>
      <c r="BQ217" t="s" s="0">
        <v>5320</v>
      </c>
      <c r="BR217" t="s" s="0">
        <v>81</v>
      </c>
      <c r="BS217" t="s" s="0">
        <v>5321</v>
      </c>
      <c r="BT217" t="s" s="430">
        <f>HYPERLINK("https://www.webofscience.com/wos/woscc/full-record/WOS:001005413600001","View Record in Web of Science")</f>
        <v>123</v>
      </c>
      <c r="BU217" t="s" s="0">
        <v>81</v>
      </c>
      <c r="BV217" t="s" s="0">
        <v>81</v>
      </c>
      <c r="BW217" t="s" s="0">
        <v>81</v>
      </c>
      <c r="BX217" t="s" s="0">
        <v>124</v>
      </c>
    </row>
    <row r="218">
      <c r="A218" t="s" s="0">
        <v>77</v>
      </c>
      <c r="B218" t="s" s="0">
        <v>77</v>
      </c>
      <c r="C218" t="s" s="0">
        <v>137</v>
      </c>
      <c r="D218" t="s" s="0">
        <v>77</v>
      </c>
      <c r="E218" t="s" s="0">
        <v>5322</v>
      </c>
      <c r="F218" t="s" s="0">
        <v>5323</v>
      </c>
      <c r="G218" t="s" s="0">
        <v>5324</v>
      </c>
      <c r="H218" t="s" s="0">
        <v>81</v>
      </c>
      <c r="I218" t="s" s="0">
        <v>82</v>
      </c>
      <c r="J218" t="s" s="0">
        <v>5325</v>
      </c>
      <c r="K218" t="s" s="0">
        <v>5326</v>
      </c>
      <c r="L218" t="s" s="0">
        <v>5327</v>
      </c>
      <c r="M218" t="s" s="0">
        <v>5328</v>
      </c>
      <c r="N218" t="s" s="0">
        <v>5329</v>
      </c>
      <c r="O218" t="s" s="0">
        <v>5330</v>
      </c>
      <c r="P218" t="s" s="0">
        <v>5331</v>
      </c>
      <c r="Q218" t="s" s="0">
        <v>90</v>
      </c>
      <c r="R218" t="s" s="0">
        <v>81</v>
      </c>
      <c r="S218" t="s" s="0">
        <v>81</v>
      </c>
      <c r="T218" t="s" s="0">
        <v>81</v>
      </c>
      <c r="U218" t="s" s="0">
        <v>81</v>
      </c>
      <c r="V218" t="s" s="0">
        <v>5332</v>
      </c>
      <c r="W218" t="s" s="0">
        <v>5333</v>
      </c>
      <c r="X218" t="s" s="0">
        <v>81</v>
      </c>
      <c r="Y218" t="s" s="0">
        <v>81</v>
      </c>
      <c r="Z218" t="s" s="0">
        <v>93</v>
      </c>
      <c r="AA218" t="s" s="0">
        <v>94</v>
      </c>
      <c r="AB218" t="s" s="0">
        <v>81</v>
      </c>
      <c r="AC218" t="s" s="0">
        <v>81</v>
      </c>
      <c r="AD218" t="s" s="0">
        <v>81</v>
      </c>
      <c r="AE218" t="s" s="0">
        <v>81</v>
      </c>
      <c r="AF218" t="s" s="0">
        <v>81</v>
      </c>
      <c r="AG218" t="s" s="0">
        <v>5334</v>
      </c>
      <c r="AH218" t="s" s="0">
        <v>81</v>
      </c>
      <c r="AI218" t="s" s="0">
        <v>5335</v>
      </c>
      <c r="AJ218" t="s" s="0">
        <v>5336</v>
      </c>
      <c r="AK218" t="s" s="0">
        <v>81</v>
      </c>
      <c r="AL218" t="s" s="0">
        <v>207</v>
      </c>
      <c r="AM218" t="s" s="0">
        <v>183</v>
      </c>
      <c r="AN218" t="s" s="0">
        <v>183</v>
      </c>
      <c r="AO218" t="s" s="0">
        <v>158</v>
      </c>
      <c r="AP218" t="s" s="0">
        <v>102</v>
      </c>
      <c r="AQ218" t="s" s="0">
        <v>588</v>
      </c>
      <c r="AR218" t="s" s="0">
        <v>589</v>
      </c>
      <c r="AS218" t="s" s="0">
        <v>590</v>
      </c>
      <c r="AT218" t="s" s="0">
        <v>5337</v>
      </c>
      <c r="AU218" t="s" s="0">
        <v>5338</v>
      </c>
      <c r="AV218" t="s" s="0">
        <v>81</v>
      </c>
      <c r="AW218" t="s" s="0">
        <v>5339</v>
      </c>
      <c r="AX218" t="s" s="0">
        <v>5340</v>
      </c>
      <c r="AY218" t="s" s="0">
        <v>111</v>
      </c>
      <c r="AZ218" t="s" s="0">
        <v>111</v>
      </c>
      <c r="BA218" t="s" s="0">
        <v>886</v>
      </c>
      <c r="BB218" t="s" s="0">
        <v>81</v>
      </c>
      <c r="BC218" t="s" s="0">
        <v>81</v>
      </c>
      <c r="BD218" t="s" s="0">
        <v>81</v>
      </c>
      <c r="BE218" t="s" s="0">
        <v>81</v>
      </c>
      <c r="BF218" t="s" s="0">
        <v>81</v>
      </c>
      <c r="BG218" t="s" s="0">
        <v>5341</v>
      </c>
      <c r="BH218" t="s" s="0">
        <v>5342</v>
      </c>
      <c r="BI218" t="s" s="0">
        <v>81</v>
      </c>
      <c r="BJ218" t="s" s="0">
        <v>5343</v>
      </c>
      <c r="BK218" t="s" s="431">
        <f>HYPERLINK("http://dx.doi.org/10.1109/TMM.2025.3535347","http://dx.doi.org/10.1109/TMM.2025.3535347")</f>
        <v>5344</v>
      </c>
      <c r="BL218" t="s" s="0">
        <v>81</v>
      </c>
      <c r="BM218" t="s" s="0">
        <v>81</v>
      </c>
      <c r="BN218" t="s" s="0">
        <v>152</v>
      </c>
      <c r="BO218" t="s" s="0">
        <v>5345</v>
      </c>
      <c r="BP218" t="s" s="0">
        <v>5346</v>
      </c>
      <c r="BQ218" t="s" s="0">
        <v>5347</v>
      </c>
      <c r="BR218" t="s" s="0">
        <v>81</v>
      </c>
      <c r="BS218" t="s" s="0">
        <v>5348</v>
      </c>
      <c r="BT218" t="s" s="432">
        <f>HYPERLINK("https://www.webofscience.com/wos/woscc/full-record/WOS:001525570100030","View Record in Web of Science")</f>
        <v>123</v>
      </c>
      <c r="BU218" t="s" s="0">
        <v>81</v>
      </c>
      <c r="BV218" t="s" s="0">
        <v>81</v>
      </c>
      <c r="BW218" t="s" s="0">
        <v>81</v>
      </c>
      <c r="BX218" t="s" s="0">
        <v>124</v>
      </c>
    </row>
    <row r="219">
      <c r="A219" t="s" s="0">
        <v>77</v>
      </c>
      <c r="B219" t="s" s="0">
        <v>77</v>
      </c>
      <c r="C219" t="s" s="0">
        <v>77</v>
      </c>
      <c r="D219" t="s" s="0">
        <v>77</v>
      </c>
      <c r="E219" t="s" s="0">
        <v>5349</v>
      </c>
      <c r="F219" t="s" s="0">
        <v>5350</v>
      </c>
      <c r="G219" t="s" s="0">
        <v>5351</v>
      </c>
      <c r="H219" t="s" s="0">
        <v>81</v>
      </c>
      <c r="I219" t="s" s="0">
        <v>82</v>
      </c>
      <c r="J219" t="s" s="0">
        <v>5352</v>
      </c>
      <c r="K219" t="s" s="0">
        <v>5353</v>
      </c>
      <c r="L219" t="s" s="0">
        <v>81</v>
      </c>
      <c r="M219" t="s" s="0">
        <v>81</v>
      </c>
      <c r="N219" t="s" s="0">
        <v>81</v>
      </c>
      <c r="O219" t="s" s="0">
        <v>5354</v>
      </c>
      <c r="P219" t="s" s="0">
        <v>5355</v>
      </c>
      <c r="Q219" t="s" s="0">
        <v>90</v>
      </c>
      <c r="R219" t="s" s="0">
        <v>81</v>
      </c>
      <c r="S219" t="s" s="0">
        <v>81</v>
      </c>
      <c r="T219" t="s" s="0">
        <v>81</v>
      </c>
      <c r="U219" t="s" s="0">
        <v>81</v>
      </c>
      <c r="V219" t="s" s="0">
        <v>5356</v>
      </c>
      <c r="W219" t="s" s="0">
        <v>5357</v>
      </c>
      <c r="X219" t="s" s="0">
        <v>81</v>
      </c>
      <c r="Y219" t="s" s="0">
        <v>81</v>
      </c>
      <c r="Z219" t="s" s="0">
        <v>93</v>
      </c>
      <c r="AA219" t="s" s="0">
        <v>330</v>
      </c>
      <c r="AB219" t="s" s="0">
        <v>81</v>
      </c>
      <c r="AC219" t="s" s="0">
        <v>81</v>
      </c>
      <c r="AD219" t="s" s="0">
        <v>81</v>
      </c>
      <c r="AE219" t="s" s="0">
        <v>81</v>
      </c>
      <c r="AF219" t="s" s="0">
        <v>81</v>
      </c>
      <c r="AG219" t="s" s="0">
        <v>5358</v>
      </c>
      <c r="AH219" t="s" s="0">
        <v>81</v>
      </c>
      <c r="AI219" t="s" s="0">
        <v>81</v>
      </c>
      <c r="AJ219" t="s" s="0">
        <v>81</v>
      </c>
      <c r="AK219" t="s" s="0">
        <v>81</v>
      </c>
      <c r="AL219" t="s" s="0">
        <v>457</v>
      </c>
      <c r="AM219" t="s" s="0">
        <v>77</v>
      </c>
      <c r="AN219" t="s" s="0">
        <v>77</v>
      </c>
      <c r="AO219" t="s" s="0">
        <v>77</v>
      </c>
      <c r="AP219" t="s" s="0">
        <v>77</v>
      </c>
      <c r="AQ219" t="s" s="0">
        <v>5359</v>
      </c>
      <c r="AR219" t="s" s="0">
        <v>5360</v>
      </c>
      <c r="AS219" t="s" s="0">
        <v>5361</v>
      </c>
      <c r="AT219" t="s" s="0">
        <v>5362</v>
      </c>
      <c r="AU219" t="s" s="0">
        <v>5363</v>
      </c>
      <c r="AV219" t="s" s="0">
        <v>81</v>
      </c>
      <c r="AW219" t="s" s="0">
        <v>5364</v>
      </c>
      <c r="AX219" t="s" s="0">
        <v>5365</v>
      </c>
      <c r="AY219" t="s" s="0">
        <v>81</v>
      </c>
      <c r="AZ219" t="s" s="0">
        <v>212</v>
      </c>
      <c r="BA219" t="s" s="0">
        <v>81</v>
      </c>
      <c r="BB219" t="s" s="0">
        <v>81</v>
      </c>
      <c r="BC219" t="s" s="0">
        <v>81</v>
      </c>
      <c r="BD219" t="s" s="0">
        <v>81</v>
      </c>
      <c r="BE219" t="s" s="0">
        <v>81</v>
      </c>
      <c r="BF219" t="s" s="0">
        <v>81</v>
      </c>
      <c r="BG219" t="s" s="0">
        <v>81</v>
      </c>
      <c r="BH219" t="s" s="0">
        <v>81</v>
      </c>
      <c r="BI219" t="s" s="0">
        <v>81</v>
      </c>
      <c r="BJ219" t="s" s="0">
        <v>5366</v>
      </c>
      <c r="BK219" t="s" s="433">
        <f>HYPERLINK("http://dx.doi.org/10.1080/10589759.2026.2651926","http://dx.doi.org/10.1080/10589759.2026.2651926")</f>
        <v>5367</v>
      </c>
      <c r="BL219" t="s" s="0">
        <v>81</v>
      </c>
      <c r="BM219" t="s" s="0">
        <v>279</v>
      </c>
      <c r="BN219" t="s" s="0">
        <v>171</v>
      </c>
      <c r="BO219" t="s" s="0">
        <v>5368</v>
      </c>
      <c r="BP219" t="s" s="0">
        <v>5369</v>
      </c>
      <c r="BQ219" t="s" s="0">
        <v>5370</v>
      </c>
      <c r="BR219" t="s" s="0">
        <v>81</v>
      </c>
      <c r="BS219" t="s" s="0">
        <v>5371</v>
      </c>
      <c r="BT219" t="s" s="434">
        <f>HYPERLINK("https://www.webofscience.com/wos/woscc/full-record/WOS:001739970000001","View Record in Web of Science")</f>
        <v>123</v>
      </c>
      <c r="BU219" t="s" s="0">
        <v>81</v>
      </c>
      <c r="BV219" t="s" s="0">
        <v>81</v>
      </c>
      <c r="BW219" t="s" s="0">
        <v>81</v>
      </c>
      <c r="BX219" t="s" s="0">
        <v>124</v>
      </c>
    </row>
    <row r="220">
      <c r="A220" t="s" s="0">
        <v>77</v>
      </c>
      <c r="B220" t="s" s="0">
        <v>77</v>
      </c>
      <c r="C220" t="s" s="0">
        <v>77</v>
      </c>
      <c r="D220" t="s" s="0">
        <v>77</v>
      </c>
      <c r="E220" t="s" s="0">
        <v>5372</v>
      </c>
      <c r="F220" t="s" s="0">
        <v>5373</v>
      </c>
      <c r="G220" t="s" s="0">
        <v>5374</v>
      </c>
      <c r="H220" t="s" s="0">
        <v>81</v>
      </c>
      <c r="I220" t="s" s="0">
        <v>82</v>
      </c>
      <c r="J220" t="s" s="0">
        <v>5375</v>
      </c>
      <c r="K220" t="s" s="0">
        <v>5376</v>
      </c>
      <c r="L220" t="s" s="0">
        <v>5377</v>
      </c>
      <c r="M220" t="s" s="0">
        <v>5378</v>
      </c>
      <c r="N220" t="s" s="0">
        <v>5379</v>
      </c>
      <c r="O220" t="s" s="0">
        <v>5380</v>
      </c>
      <c r="P220" t="s" s="0">
        <v>5381</v>
      </c>
      <c r="Q220" t="s" s="0">
        <v>90</v>
      </c>
      <c r="R220" t="s" s="0">
        <v>81</v>
      </c>
      <c r="S220" t="s" s="0">
        <v>81</v>
      </c>
      <c r="T220" t="s" s="0">
        <v>81</v>
      </c>
      <c r="U220" t="s" s="0">
        <v>81</v>
      </c>
      <c r="V220" t="s" s="0">
        <v>5382</v>
      </c>
      <c r="W220" t="s" s="0">
        <v>5383</v>
      </c>
      <c r="X220" t="s" s="0">
        <v>81</v>
      </c>
      <c r="Y220" t="s" s="0">
        <v>81</v>
      </c>
      <c r="Z220" t="s" s="0">
        <v>93</v>
      </c>
      <c r="AA220" t="s" s="0">
        <v>94</v>
      </c>
      <c r="AB220" t="s" s="0">
        <v>81</v>
      </c>
      <c r="AC220" t="s" s="0">
        <v>81</v>
      </c>
      <c r="AD220" t="s" s="0">
        <v>81</v>
      </c>
      <c r="AE220" t="s" s="0">
        <v>81</v>
      </c>
      <c r="AF220" t="s" s="0">
        <v>81</v>
      </c>
      <c r="AG220" t="s" s="0">
        <v>5384</v>
      </c>
      <c r="AH220" t="s" s="0">
        <v>5385</v>
      </c>
      <c r="AI220" t="s" s="0">
        <v>5386</v>
      </c>
      <c r="AJ220" t="s" s="0">
        <v>81</v>
      </c>
      <c r="AK220" t="s" s="0">
        <v>81</v>
      </c>
      <c r="AL220" t="s" s="0">
        <v>1747</v>
      </c>
      <c r="AM220" t="s" s="0">
        <v>77</v>
      </c>
      <c r="AN220" t="s" s="0">
        <v>77</v>
      </c>
      <c r="AO220" t="s" s="0">
        <v>77</v>
      </c>
      <c r="AP220" t="s" s="0">
        <v>77</v>
      </c>
      <c r="AQ220" t="s" s="0">
        <v>174</v>
      </c>
      <c r="AR220" t="s" s="0">
        <v>175</v>
      </c>
      <c r="AS220" t="s" s="0">
        <v>208</v>
      </c>
      <c r="AT220" t="s" s="0">
        <v>81</v>
      </c>
      <c r="AU220" t="s" s="0">
        <v>5387</v>
      </c>
      <c r="AV220" t="s" s="0">
        <v>81</v>
      </c>
      <c r="AW220" t="s" s="0">
        <v>5388</v>
      </c>
      <c r="AX220" t="s" s="0">
        <v>5389</v>
      </c>
      <c r="AY220" t="s" s="0">
        <v>5390</v>
      </c>
      <c r="AZ220" t="s" s="0">
        <v>212</v>
      </c>
      <c r="BA220" t="s" s="0">
        <v>405</v>
      </c>
      <c r="BB220" t="s" s="0">
        <v>213</v>
      </c>
      <c r="BC220" t="s" s="0">
        <v>81</v>
      </c>
      <c r="BD220" t="s" s="0">
        <v>81</v>
      </c>
      <c r="BE220" t="s" s="0">
        <v>81</v>
      </c>
      <c r="BF220" t="s" s="0">
        <v>81</v>
      </c>
      <c r="BG220" t="s" s="0">
        <v>81</v>
      </c>
      <c r="BH220" t="s" s="0">
        <v>81</v>
      </c>
      <c r="BI220" t="s" s="0">
        <v>5391</v>
      </c>
      <c r="BJ220" t="s" s="0">
        <v>5392</v>
      </c>
      <c r="BK220" t="s" s="435">
        <f>HYPERLINK("http://dx.doi.org/10.3390/jcm15145525","http://dx.doi.org/10.3390/jcm15145525")</f>
        <v>5393</v>
      </c>
      <c r="BL220" t="s" s="0">
        <v>81</v>
      </c>
      <c r="BM220" t="s" s="0">
        <v>81</v>
      </c>
      <c r="BN220" t="s" s="0">
        <v>886</v>
      </c>
      <c r="BO220" t="s" s="0">
        <v>3184</v>
      </c>
      <c r="BP220" t="s" s="0">
        <v>3185</v>
      </c>
      <c r="BQ220" t="s" s="0">
        <v>5394</v>
      </c>
      <c r="BR220" t="s" s="0">
        <v>5395</v>
      </c>
      <c r="BS220" t="s" s="0">
        <v>5396</v>
      </c>
      <c r="BT220" t="s" s="436">
        <f>HYPERLINK("https://www.webofscience.com/wos/woscc/full-record/WOS:001832223300001","View Record in Web of Science")</f>
        <v>123</v>
      </c>
      <c r="BU220" t="s" s="0">
        <v>191</v>
      </c>
      <c r="BV220" t="s" s="0">
        <v>81</v>
      </c>
      <c r="BW220" t="s" s="0">
        <v>81</v>
      </c>
      <c r="BX220" t="s" s="0">
        <v>124</v>
      </c>
    </row>
    <row r="221">
      <c r="A221" t="s" s="0">
        <v>77</v>
      </c>
      <c r="B221" t="s" s="0">
        <v>77</v>
      </c>
      <c r="C221" t="s" s="0">
        <v>77</v>
      </c>
      <c r="D221" t="s" s="0">
        <v>77</v>
      </c>
      <c r="E221" t="s" s="0">
        <v>5397</v>
      </c>
      <c r="F221" t="s" s="0">
        <v>5398</v>
      </c>
      <c r="G221" t="s" s="0">
        <v>5399</v>
      </c>
      <c r="H221" t="s" s="0">
        <v>81</v>
      </c>
      <c r="I221" t="s" s="0">
        <v>82</v>
      </c>
      <c r="J221" t="s" s="0">
        <v>5400</v>
      </c>
      <c r="K221" t="s" s="0">
        <v>5401</v>
      </c>
      <c r="L221" t="s" s="0">
        <v>5402</v>
      </c>
      <c r="M221" t="s" s="0">
        <v>5403</v>
      </c>
      <c r="N221" t="s" s="0">
        <v>5404</v>
      </c>
      <c r="O221" t="s" s="0">
        <v>5405</v>
      </c>
      <c r="P221" t="s" s="0">
        <v>5406</v>
      </c>
      <c r="Q221" t="s" s="0">
        <v>90</v>
      </c>
      <c r="R221" t="s" s="0">
        <v>81</v>
      </c>
      <c r="S221" t="s" s="0">
        <v>81</v>
      </c>
      <c r="T221" t="s" s="0">
        <v>81</v>
      </c>
      <c r="U221" t="s" s="0">
        <v>81</v>
      </c>
      <c r="V221" t="s" s="0">
        <v>5407</v>
      </c>
      <c r="W221" t="s" s="0">
        <v>5408</v>
      </c>
      <c r="X221" t="s" s="0">
        <v>81</v>
      </c>
      <c r="Y221" t="s" s="0">
        <v>81</v>
      </c>
      <c r="Z221" t="s" s="0">
        <v>93</v>
      </c>
      <c r="AA221" t="s" s="0">
        <v>94</v>
      </c>
      <c r="AB221" t="s" s="0">
        <v>81</v>
      </c>
      <c r="AC221" t="s" s="0">
        <v>81</v>
      </c>
      <c r="AD221" t="s" s="0">
        <v>81</v>
      </c>
      <c r="AE221" t="s" s="0">
        <v>81</v>
      </c>
      <c r="AF221" t="s" s="0">
        <v>81</v>
      </c>
      <c r="AG221" t="s" s="0">
        <v>5409</v>
      </c>
      <c r="AH221" t="s" s="0">
        <v>5410</v>
      </c>
      <c r="AI221" t="s" s="0">
        <v>5411</v>
      </c>
      <c r="AJ221" t="s" s="0">
        <v>5412</v>
      </c>
      <c r="AK221" t="s" s="0">
        <v>81</v>
      </c>
      <c r="AL221" t="s" s="0">
        <v>171</v>
      </c>
      <c r="AM221" t="s" s="0">
        <v>77</v>
      </c>
      <c r="AN221" t="s" s="0">
        <v>77</v>
      </c>
      <c r="AO221" t="s" s="0">
        <v>100</v>
      </c>
      <c r="AP221" t="s" s="0">
        <v>152</v>
      </c>
      <c r="AQ221" t="s" s="0">
        <v>4764</v>
      </c>
      <c r="AR221" t="s" s="0">
        <v>269</v>
      </c>
      <c r="AS221" t="s" s="0">
        <v>4765</v>
      </c>
      <c r="AT221" t="s" s="0">
        <v>5413</v>
      </c>
      <c r="AU221" t="s" s="0">
        <v>5414</v>
      </c>
      <c r="AV221" t="s" s="0">
        <v>81</v>
      </c>
      <c r="AW221" t="s" s="0">
        <v>5415</v>
      </c>
      <c r="AX221" t="s" s="0">
        <v>5416</v>
      </c>
      <c r="AY221" t="s" s="0">
        <v>5417</v>
      </c>
      <c r="AZ221" t="s" s="0">
        <v>111</v>
      </c>
      <c r="BA221" t="s" s="0">
        <v>652</v>
      </c>
      <c r="BB221" t="s" s="0">
        <v>158</v>
      </c>
      <c r="BC221" t="s" s="0">
        <v>81</v>
      </c>
      <c r="BD221" t="s" s="0">
        <v>81</v>
      </c>
      <c r="BE221" t="s" s="0">
        <v>81</v>
      </c>
      <c r="BF221" t="s" s="0">
        <v>81</v>
      </c>
      <c r="BG221" t="s" s="0">
        <v>81</v>
      </c>
      <c r="BH221" t="s" s="0">
        <v>81</v>
      </c>
      <c r="BI221" t="s" s="0">
        <v>5418</v>
      </c>
      <c r="BJ221" t="s" s="0">
        <v>5419</v>
      </c>
      <c r="BK221" t="s" s="437">
        <f>HYPERLINK("http://dx.doi.org/10.1007/s11760-025-03916-z","http://dx.doi.org/10.1007/s11760-025-03916-z")</f>
        <v>5420</v>
      </c>
      <c r="BL221" t="s" s="0">
        <v>81</v>
      </c>
      <c r="BM221" t="s" s="0">
        <v>81</v>
      </c>
      <c r="BN221" t="s" s="0">
        <v>152</v>
      </c>
      <c r="BO221" t="s" s="0">
        <v>5421</v>
      </c>
      <c r="BP221" t="s" s="0">
        <v>5422</v>
      </c>
      <c r="BQ221" t="s" s="0">
        <v>5423</v>
      </c>
      <c r="BR221" t="s" s="0">
        <v>81</v>
      </c>
      <c r="BS221" t="s" s="0">
        <v>5424</v>
      </c>
      <c r="BT221" t="s" s="438">
        <f>HYPERLINK("https://www.webofscience.com/wos/woscc/full-record/WOS:001441305500016","View Record in Web of Science")</f>
        <v>123</v>
      </c>
      <c r="BU221" t="s" s="0">
        <v>81</v>
      </c>
      <c r="BV221" t="s" s="0">
        <v>81</v>
      </c>
      <c r="BW221" t="s" s="0">
        <v>81</v>
      </c>
      <c r="BX221" t="s" s="0">
        <v>124</v>
      </c>
    </row>
    <row r="222">
      <c r="A222" t="s" s="0">
        <v>77</v>
      </c>
      <c r="B222" t="s" s="0">
        <v>77</v>
      </c>
      <c r="C222" t="s" s="0">
        <v>101</v>
      </c>
      <c r="D222" t="s" s="0">
        <v>77</v>
      </c>
      <c r="E222" t="s" s="0">
        <v>5425</v>
      </c>
      <c r="F222" t="s" s="0">
        <v>5426</v>
      </c>
      <c r="G222" t="s" s="0">
        <v>5427</v>
      </c>
      <c r="H222" t="s" s="0">
        <v>81</v>
      </c>
      <c r="I222" t="s" s="0">
        <v>82</v>
      </c>
      <c r="J222" t="s" s="0">
        <v>5428</v>
      </c>
      <c r="K222" t="s" s="0">
        <v>5429</v>
      </c>
      <c r="L222" t="s" s="0">
        <v>5430</v>
      </c>
      <c r="M222" t="s" s="0">
        <v>5431</v>
      </c>
      <c r="N222" t="s" s="0">
        <v>5432</v>
      </c>
      <c r="O222" t="s" s="0">
        <v>5433</v>
      </c>
      <c r="P222" t="s" s="0">
        <v>5434</v>
      </c>
      <c r="Q222" t="s" s="0">
        <v>90</v>
      </c>
      <c r="R222" t="s" s="0">
        <v>81</v>
      </c>
      <c r="S222" t="s" s="0">
        <v>2332</v>
      </c>
      <c r="T222" t="s" s="0">
        <v>81</v>
      </c>
      <c r="U222" t="s" s="0">
        <v>81</v>
      </c>
      <c r="V222" t="s" s="0">
        <v>5435</v>
      </c>
      <c r="W222" t="s" s="0">
        <v>1792</v>
      </c>
      <c r="X222" t="s" s="0">
        <v>81</v>
      </c>
      <c r="Y222" t="s" s="0">
        <v>81</v>
      </c>
      <c r="Z222" t="s" s="0">
        <v>93</v>
      </c>
      <c r="AA222" t="s" s="0">
        <v>94</v>
      </c>
      <c r="AB222" t="s" s="0">
        <v>81</v>
      </c>
      <c r="AC222" t="s" s="0">
        <v>81</v>
      </c>
      <c r="AD222" t="s" s="0">
        <v>81</v>
      </c>
      <c r="AE222" t="s" s="0">
        <v>81</v>
      </c>
      <c r="AF222" t="s" s="0">
        <v>81</v>
      </c>
      <c r="AG222" t="s" s="0">
        <v>5436</v>
      </c>
      <c r="AH222" t="s" s="0">
        <v>81</v>
      </c>
      <c r="AI222" t="s" s="0">
        <v>5437</v>
      </c>
      <c r="AJ222" t="s" s="0">
        <v>5438</v>
      </c>
      <c r="AK222" t="s" s="0">
        <v>81</v>
      </c>
      <c r="AL222" t="s" s="0">
        <v>457</v>
      </c>
      <c r="AM222" t="s" s="0">
        <v>152</v>
      </c>
      <c r="AN222" t="s" s="0">
        <v>182</v>
      </c>
      <c r="AO222" t="s" s="0">
        <v>158</v>
      </c>
      <c r="AP222" t="s" s="0">
        <v>1331</v>
      </c>
      <c r="AQ222" t="s" s="0">
        <v>786</v>
      </c>
      <c r="AR222" t="s" s="0">
        <v>787</v>
      </c>
      <c r="AS222" t="s" s="0">
        <v>788</v>
      </c>
      <c r="AT222" t="s" s="0">
        <v>1796</v>
      </c>
      <c r="AU222" t="s" s="0">
        <v>1797</v>
      </c>
      <c r="AV222" t="s" s="0">
        <v>81</v>
      </c>
      <c r="AW222" t="s" s="0">
        <v>1798</v>
      </c>
      <c r="AX222" t="s" s="0">
        <v>1799</v>
      </c>
      <c r="AY222" t="s" s="0">
        <v>5439</v>
      </c>
      <c r="AZ222" t="s" s="0">
        <v>111</v>
      </c>
      <c r="BA222" t="s" s="0">
        <v>4872</v>
      </c>
      <c r="BB222" t="s" s="0">
        <v>81</v>
      </c>
      <c r="BC222" t="s" s="0">
        <v>81</v>
      </c>
      <c r="BD222" t="s" s="0">
        <v>81</v>
      </c>
      <c r="BE222" t="s" s="0">
        <v>81</v>
      </c>
      <c r="BF222" t="s" s="0">
        <v>81</v>
      </c>
      <c r="BG222" t="s" s="0">
        <v>81</v>
      </c>
      <c r="BH222" t="s" s="0">
        <v>81</v>
      </c>
      <c r="BI222" t="s" s="0">
        <v>5440</v>
      </c>
      <c r="BJ222" t="s" s="0">
        <v>5441</v>
      </c>
      <c r="BK222" t="s" s="439">
        <f>HYPERLINK("http://dx.doi.org/10.1016/j.eswa.2025.128580","http://dx.doi.org/10.1016/j.eswa.2025.128580")</f>
        <v>5442</v>
      </c>
      <c r="BL222" t="s" s="0">
        <v>81</v>
      </c>
      <c r="BM222" t="s" s="0">
        <v>741</v>
      </c>
      <c r="BN222" t="s" s="0">
        <v>172</v>
      </c>
      <c r="BO222" t="s" s="0">
        <v>1805</v>
      </c>
      <c r="BP222" t="s" s="0">
        <v>1806</v>
      </c>
      <c r="BQ222" t="s" s="0">
        <v>5443</v>
      </c>
      <c r="BR222" t="s" s="0">
        <v>81</v>
      </c>
      <c r="BS222" t="s" s="0">
        <v>5444</v>
      </c>
      <c r="BT222" t="s" s="440">
        <f>HYPERLINK("https://www.webofscience.com/wos/woscc/full-record/WOS:001516216900002","View Record in Web of Science")</f>
        <v>123</v>
      </c>
      <c r="BU222" t="s" s="0">
        <v>81</v>
      </c>
      <c r="BV222" t="s" s="0">
        <v>81</v>
      </c>
      <c r="BW222" t="s" s="0">
        <v>81</v>
      </c>
      <c r="BX222" t="s" s="0">
        <v>124</v>
      </c>
    </row>
    <row r="223">
      <c r="A223" t="s" s="0">
        <v>77</v>
      </c>
      <c r="B223" t="s" s="0">
        <v>77</v>
      </c>
      <c r="C223" t="s" s="0">
        <v>137</v>
      </c>
      <c r="D223" t="s" s="0">
        <v>77</v>
      </c>
      <c r="E223" t="s" s="0">
        <v>5445</v>
      </c>
      <c r="F223" t="s" s="0">
        <v>5446</v>
      </c>
      <c r="G223" t="s" s="0">
        <v>5447</v>
      </c>
      <c r="H223" t="s" s="0">
        <v>81</v>
      </c>
      <c r="I223" t="s" s="0">
        <v>82</v>
      </c>
      <c r="J223" t="s" s="0">
        <v>5448</v>
      </c>
      <c r="K223" t="s" s="0">
        <v>5449</v>
      </c>
      <c r="L223" t="s" s="0">
        <v>81</v>
      </c>
      <c r="M223" t="s" s="0">
        <v>81</v>
      </c>
      <c r="N223" t="s" s="0">
        <v>81</v>
      </c>
      <c r="O223" t="s" s="0">
        <v>5450</v>
      </c>
      <c r="P223" t="s" s="0">
        <v>5451</v>
      </c>
      <c r="Q223" t="s" s="0">
        <v>90</v>
      </c>
      <c r="R223" t="s" s="0">
        <v>81</v>
      </c>
      <c r="S223" t="s" s="0">
        <v>81</v>
      </c>
      <c r="T223" t="s" s="0">
        <v>81</v>
      </c>
      <c r="U223" t="s" s="0">
        <v>81</v>
      </c>
      <c r="V223" t="s" s="0">
        <v>5452</v>
      </c>
      <c r="W223" t="s" s="0">
        <v>5453</v>
      </c>
      <c r="X223" t="s" s="0">
        <v>81</v>
      </c>
      <c r="Y223" t="s" s="0">
        <v>81</v>
      </c>
      <c r="Z223" t="s" s="0">
        <v>93</v>
      </c>
      <c r="AA223" t="s" s="0">
        <v>94</v>
      </c>
      <c r="AB223" t="s" s="0">
        <v>81</v>
      </c>
      <c r="AC223" t="s" s="0">
        <v>81</v>
      </c>
      <c r="AD223" t="s" s="0">
        <v>81</v>
      </c>
      <c r="AE223" t="s" s="0">
        <v>81</v>
      </c>
      <c r="AF223" t="s" s="0">
        <v>81</v>
      </c>
      <c r="AG223" t="s" s="0">
        <v>5454</v>
      </c>
      <c r="AH223" t="s" s="0">
        <v>81</v>
      </c>
      <c r="AI223" t="s" s="0">
        <v>81</v>
      </c>
      <c r="AJ223" t="s" s="0">
        <v>81</v>
      </c>
      <c r="AK223" t="s" s="0">
        <v>81</v>
      </c>
      <c r="AL223" t="s" s="0">
        <v>1217</v>
      </c>
      <c r="AM223" t="s" s="0">
        <v>100</v>
      </c>
      <c r="AN223" t="s" s="0">
        <v>100</v>
      </c>
      <c r="AO223" t="s" s="0">
        <v>301</v>
      </c>
      <c r="AP223" t="s" s="0">
        <v>333</v>
      </c>
      <c r="AQ223" t="s" s="0">
        <v>421</v>
      </c>
      <c r="AR223" t="s" s="0">
        <v>422</v>
      </c>
      <c r="AS223" t="s" s="0">
        <v>423</v>
      </c>
      <c r="AT223" t="s" s="0">
        <v>81</v>
      </c>
      <c r="AU223" t="s" s="0">
        <v>5455</v>
      </c>
      <c r="AV223" t="s" s="0">
        <v>81</v>
      </c>
      <c r="AW223" t="s" s="0">
        <v>5456</v>
      </c>
      <c r="AX223" t="s" s="0">
        <v>5457</v>
      </c>
      <c r="AY223" t="s" s="0">
        <v>5458</v>
      </c>
      <c r="AZ223" t="s" s="0">
        <v>111</v>
      </c>
      <c r="BA223" t="s" s="0">
        <v>1110</v>
      </c>
      <c r="BB223" t="s" s="0">
        <v>81</v>
      </c>
      <c r="BC223" t="s" s="0">
        <v>81</v>
      </c>
      <c r="BD223" t="s" s="0">
        <v>81</v>
      </c>
      <c r="BE223" t="s" s="0">
        <v>81</v>
      </c>
      <c r="BF223" t="s" s="0">
        <v>81</v>
      </c>
      <c r="BG223" t="s" s="0">
        <v>81</v>
      </c>
      <c r="BH223" t="s" s="0">
        <v>81</v>
      </c>
      <c r="BI223" t="s" s="0">
        <v>5459</v>
      </c>
      <c r="BJ223" t="s" s="0">
        <v>5460</v>
      </c>
      <c r="BK223" t="s" s="441">
        <f>HYPERLINK("http://dx.doi.org/10.3389/fphar.2025.1639979","http://dx.doi.org/10.3389/fphar.2025.1639979")</f>
        <v>5461</v>
      </c>
      <c r="BL223" t="s" s="0">
        <v>81</v>
      </c>
      <c r="BM223" t="s" s="0">
        <v>81</v>
      </c>
      <c r="BN223" t="s" s="0">
        <v>217</v>
      </c>
      <c r="BO223" t="s" s="0">
        <v>5462</v>
      </c>
      <c r="BP223" t="s" s="0">
        <v>5462</v>
      </c>
      <c r="BQ223" t="s" s="0">
        <v>5463</v>
      </c>
      <c r="BR223" t="s" s="0">
        <v>5464</v>
      </c>
      <c r="BS223" t="s" s="0">
        <v>5465</v>
      </c>
      <c r="BT223" t="s" s="442">
        <f>HYPERLINK("https://www.webofscience.com/wos/woscc/full-record/WOS:001629533600001","View Record in Web of Science")</f>
        <v>123</v>
      </c>
      <c r="BU223" t="s" s="0">
        <v>191</v>
      </c>
      <c r="BV223" t="s" s="0">
        <v>81</v>
      </c>
      <c r="BW223" t="s" s="0">
        <v>81</v>
      </c>
      <c r="BX223" t="s" s="0">
        <v>124</v>
      </c>
    </row>
    <row r="224">
      <c r="A224" t="s" s="0">
        <v>77</v>
      </c>
      <c r="B224" t="s" s="0">
        <v>77</v>
      </c>
      <c r="C224" t="s" s="0">
        <v>77</v>
      </c>
      <c r="D224" t="s" s="0">
        <v>77</v>
      </c>
      <c r="E224" t="s" s="0">
        <v>5466</v>
      </c>
      <c r="F224" t="s" s="0">
        <v>5467</v>
      </c>
      <c r="G224" t="s" s="0">
        <v>5468</v>
      </c>
      <c r="H224" t="s" s="0">
        <v>81</v>
      </c>
      <c r="I224" t="s" s="0">
        <v>82</v>
      </c>
      <c r="J224" t="s" s="0">
        <v>5469</v>
      </c>
      <c r="K224" t="s" s="0">
        <v>5470</v>
      </c>
      <c r="L224" t="s" s="0">
        <v>81</v>
      </c>
      <c r="M224" t="s" s="0">
        <v>81</v>
      </c>
      <c r="N224" t="s" s="0">
        <v>81</v>
      </c>
      <c r="O224" t="s" s="0">
        <v>5471</v>
      </c>
      <c r="P224" t="s" s="0">
        <v>5472</v>
      </c>
      <c r="Q224" t="s" s="0">
        <v>90</v>
      </c>
      <c r="R224" t="s" s="0">
        <v>81</v>
      </c>
      <c r="S224" t="s" s="0">
        <v>81</v>
      </c>
      <c r="T224" t="s" s="0">
        <v>81</v>
      </c>
      <c r="U224" t="s" s="0">
        <v>81</v>
      </c>
      <c r="V224" t="s" s="0">
        <v>5473</v>
      </c>
      <c r="W224" t="s" s="0">
        <v>5474</v>
      </c>
      <c r="X224" t="s" s="0">
        <v>81</v>
      </c>
      <c r="Y224" t="s" s="0">
        <v>81</v>
      </c>
      <c r="Z224" t="s" s="0">
        <v>93</v>
      </c>
      <c r="AA224" t="s" s="0">
        <v>94</v>
      </c>
      <c r="AB224" t="s" s="0">
        <v>81</v>
      </c>
      <c r="AC224" t="s" s="0">
        <v>81</v>
      </c>
      <c r="AD224" t="s" s="0">
        <v>81</v>
      </c>
      <c r="AE224" t="s" s="0">
        <v>81</v>
      </c>
      <c r="AF224" t="s" s="0">
        <v>81</v>
      </c>
      <c r="AG224" t="s" s="0">
        <v>5475</v>
      </c>
      <c r="AH224" t="s" s="0">
        <v>81</v>
      </c>
      <c r="AI224" t="s" s="0">
        <v>5476</v>
      </c>
      <c r="AJ224" t="s" s="0">
        <v>5477</v>
      </c>
      <c r="AK224" t="s" s="0">
        <v>81</v>
      </c>
      <c r="AL224" t="s" s="0">
        <v>785</v>
      </c>
      <c r="AM224" t="s" s="0">
        <v>77</v>
      </c>
      <c r="AN224" t="s" s="0">
        <v>77</v>
      </c>
      <c r="AO224" t="s" s="0">
        <v>100</v>
      </c>
      <c r="AP224" t="s" s="0">
        <v>158</v>
      </c>
      <c r="AQ224" t="s" s="0">
        <v>334</v>
      </c>
      <c r="AR224" t="s" s="0">
        <v>335</v>
      </c>
      <c r="AS224" t="s" s="0">
        <v>5478</v>
      </c>
      <c r="AT224" t="s" s="0">
        <v>5479</v>
      </c>
      <c r="AU224" t="s" s="0">
        <v>5480</v>
      </c>
      <c r="AV224" t="s" s="0">
        <v>81</v>
      </c>
      <c r="AW224" t="s" s="0">
        <v>5481</v>
      </c>
      <c r="AX224" t="s" s="0">
        <v>5482</v>
      </c>
      <c r="AY224" t="s" s="0">
        <v>343</v>
      </c>
      <c r="AZ224" t="s" s="0">
        <v>212</v>
      </c>
      <c r="BA224" t="s" s="0">
        <v>99</v>
      </c>
      <c r="BB224" t="s" s="0">
        <v>158</v>
      </c>
      <c r="BC224" t="s" s="0">
        <v>81</v>
      </c>
      <c r="BD224" t="s" s="0">
        <v>81</v>
      </c>
      <c r="BE224" t="s" s="0">
        <v>81</v>
      </c>
      <c r="BF224" t="s" s="0">
        <v>81</v>
      </c>
      <c r="BG224" t="s" s="0">
        <v>5483</v>
      </c>
      <c r="BH224" t="s" s="0">
        <v>5484</v>
      </c>
      <c r="BI224" t="s" s="0">
        <v>81</v>
      </c>
      <c r="BJ224" t="s" s="0">
        <v>5485</v>
      </c>
      <c r="BK224" t="s" s="443">
        <f>HYPERLINK("http://dx.doi.org/10.1007/s13369-025-10848-w","http://dx.doi.org/10.1007/s13369-025-10848-w")</f>
        <v>5486</v>
      </c>
      <c r="BL224" t="s" s="0">
        <v>81</v>
      </c>
      <c r="BM224" t="s" s="0">
        <v>1526</v>
      </c>
      <c r="BN224" t="s" s="0">
        <v>895</v>
      </c>
      <c r="BO224" t="s" s="0">
        <v>313</v>
      </c>
      <c r="BP224" t="s" s="0">
        <v>314</v>
      </c>
      <c r="BQ224" t="s" s="0">
        <v>5487</v>
      </c>
      <c r="BR224" t="s" s="0">
        <v>81</v>
      </c>
      <c r="BS224" t="s" s="0">
        <v>5488</v>
      </c>
      <c r="BT224" t="s" s="444">
        <f>HYPERLINK("https://www.webofscience.com/wos/woscc/full-record/WOS:001613162900001","View Record in Web of Science")</f>
        <v>123</v>
      </c>
      <c r="BU224" t="s" s="0">
        <v>81</v>
      </c>
      <c r="BV224" t="s" s="0">
        <v>81</v>
      </c>
      <c r="BW224" t="s" s="0">
        <v>81</v>
      </c>
      <c r="BX224" t="s" s="0">
        <v>124</v>
      </c>
    </row>
    <row r="225">
      <c r="A225" t="s" s="0">
        <v>77</v>
      </c>
      <c r="B225" t="s" s="0">
        <v>77</v>
      </c>
      <c r="C225" t="s" s="0">
        <v>77</v>
      </c>
      <c r="D225" t="s" s="0">
        <v>77</v>
      </c>
      <c r="E225" t="s" s="0">
        <v>5489</v>
      </c>
      <c r="F225" t="s" s="0">
        <v>5490</v>
      </c>
      <c r="G225" t="s" s="0">
        <v>5491</v>
      </c>
      <c r="H225" t="s" s="0">
        <v>81</v>
      </c>
      <c r="I225" t="s" s="0">
        <v>82</v>
      </c>
      <c r="J225" t="s" s="0">
        <v>5492</v>
      </c>
      <c r="K225" t="s" s="0">
        <v>5493</v>
      </c>
      <c r="L225" t="s" s="0">
        <v>5494</v>
      </c>
      <c r="M225" t="s" s="0">
        <v>5495</v>
      </c>
      <c r="N225" t="s" s="0">
        <v>5496</v>
      </c>
      <c r="O225" t="s" s="0">
        <v>5497</v>
      </c>
      <c r="P225" t="s" s="0">
        <v>5498</v>
      </c>
      <c r="Q225" t="s" s="0">
        <v>90</v>
      </c>
      <c r="R225" t="s" s="0">
        <v>81</v>
      </c>
      <c r="S225" t="s" s="0">
        <v>81</v>
      </c>
      <c r="T225" t="s" s="0">
        <v>81</v>
      </c>
      <c r="U225" t="s" s="0">
        <v>81</v>
      </c>
      <c r="V225" t="s" s="0">
        <v>5499</v>
      </c>
      <c r="W225" t="s" s="0">
        <v>296</v>
      </c>
      <c r="X225" t="s" s="0">
        <v>81</v>
      </c>
      <c r="Y225" t="s" s="0">
        <v>81</v>
      </c>
      <c r="Z225" t="s" s="0">
        <v>93</v>
      </c>
      <c r="AA225" t="s" s="0">
        <v>94</v>
      </c>
      <c r="AB225" t="s" s="0">
        <v>81</v>
      </c>
      <c r="AC225" t="s" s="0">
        <v>81</v>
      </c>
      <c r="AD225" t="s" s="0">
        <v>81</v>
      </c>
      <c r="AE225" t="s" s="0">
        <v>81</v>
      </c>
      <c r="AF225" t="s" s="0">
        <v>81</v>
      </c>
      <c r="AG225" t="s" s="0">
        <v>5500</v>
      </c>
      <c r="AH225" t="s" s="0">
        <v>81</v>
      </c>
      <c r="AI225" t="s" s="0">
        <v>81</v>
      </c>
      <c r="AJ225" t="s" s="0">
        <v>81</v>
      </c>
      <c r="AK225" t="s" s="0">
        <v>81</v>
      </c>
      <c r="AL225" t="s" s="0">
        <v>478</v>
      </c>
      <c r="AM225" t="s" s="0">
        <v>77</v>
      </c>
      <c r="AN225" t="s" s="0">
        <v>77</v>
      </c>
      <c r="AO225" t="s" s="0">
        <v>100</v>
      </c>
      <c r="AP225" t="s" s="0">
        <v>100</v>
      </c>
      <c r="AQ225" t="s" s="0">
        <v>302</v>
      </c>
      <c r="AR225" t="s" s="0">
        <v>303</v>
      </c>
      <c r="AS225" t="s" s="0">
        <v>304</v>
      </c>
      <c r="AT225" t="s" s="0">
        <v>305</v>
      </c>
      <c r="AU225" t="s" s="0">
        <v>81</v>
      </c>
      <c r="AV225" t="s" s="0">
        <v>81</v>
      </c>
      <c r="AW225" t="s" s="0">
        <v>306</v>
      </c>
      <c r="AX225" t="s" s="0">
        <v>307</v>
      </c>
      <c r="AY225" t="s" s="0">
        <v>5501</v>
      </c>
      <c r="AZ225" t="s" s="0">
        <v>212</v>
      </c>
      <c r="BA225" t="s" s="0">
        <v>1110</v>
      </c>
      <c r="BB225" t="s" s="0">
        <v>137</v>
      </c>
      <c r="BC225" t="s" s="0">
        <v>81</v>
      </c>
      <c r="BD225" t="s" s="0">
        <v>81</v>
      </c>
      <c r="BE225" t="s" s="0">
        <v>81</v>
      </c>
      <c r="BF225" t="s" s="0">
        <v>81</v>
      </c>
      <c r="BG225" t="s" s="0">
        <v>81</v>
      </c>
      <c r="BH225" t="s" s="0">
        <v>81</v>
      </c>
      <c r="BI225" t="s" s="0">
        <v>5502</v>
      </c>
      <c r="BJ225" t="s" s="0">
        <v>5503</v>
      </c>
      <c r="BK225" t="s" s="445">
        <f>HYPERLINK("http://dx.doi.org/10.1038/s41598-026-48978-2","http://dx.doi.org/10.1038/s41598-026-48978-2")</f>
        <v>5504</v>
      </c>
      <c r="BL225" t="s" s="0">
        <v>81</v>
      </c>
      <c r="BM225" t="s" s="0">
        <v>1174</v>
      </c>
      <c r="BN225" t="s" s="0">
        <v>275</v>
      </c>
      <c r="BO225" t="s" s="0">
        <v>313</v>
      </c>
      <c r="BP225" t="s" s="0">
        <v>314</v>
      </c>
      <c r="BQ225" t="s" s="0">
        <v>5505</v>
      </c>
      <c r="BR225" t="s" s="0">
        <v>5506</v>
      </c>
      <c r="BS225" t="s" s="0">
        <v>5507</v>
      </c>
      <c r="BT225" t="s" s="446">
        <f>HYPERLINK("https://www.webofscience.com/wos/woscc/full-record/WOS:001814572200001","View Record in Web of Science")</f>
        <v>123</v>
      </c>
      <c r="BU225" t="s" s="0">
        <v>191</v>
      </c>
      <c r="BV225" t="s" s="0">
        <v>81</v>
      </c>
      <c r="BW225" t="s" s="0">
        <v>81</v>
      </c>
      <c r="BX225" t="s" s="0">
        <v>124</v>
      </c>
    </row>
    <row r="226">
      <c r="A226" t="s" s="0">
        <v>77</v>
      </c>
      <c r="B226" t="s" s="0">
        <v>77</v>
      </c>
      <c r="C226" t="s" s="0">
        <v>137</v>
      </c>
      <c r="D226" t="s" s="0">
        <v>77</v>
      </c>
      <c r="E226" t="s" s="0">
        <v>5508</v>
      </c>
      <c r="F226" t="s" s="0">
        <v>5509</v>
      </c>
      <c r="G226" t="s" s="0">
        <v>5510</v>
      </c>
      <c r="H226" t="s" s="0">
        <v>81</v>
      </c>
      <c r="I226" t="s" s="0">
        <v>82</v>
      </c>
      <c r="J226" t="s" s="0">
        <v>5511</v>
      </c>
      <c r="K226" t="s" s="0">
        <v>5512</v>
      </c>
      <c r="L226" t="s" s="0">
        <v>5513</v>
      </c>
      <c r="M226" t="s" s="0">
        <v>5514</v>
      </c>
      <c r="N226" t="s" s="0">
        <v>5515</v>
      </c>
      <c r="O226" t="s" s="0">
        <v>5516</v>
      </c>
      <c r="P226" t="s" s="0">
        <v>5517</v>
      </c>
      <c r="Q226" t="s" s="0">
        <v>90</v>
      </c>
      <c r="R226" t="s" s="0">
        <v>81</v>
      </c>
      <c r="S226" t="s" s="0">
        <v>81</v>
      </c>
      <c r="T226" t="s" s="0">
        <v>81</v>
      </c>
      <c r="U226" t="s" s="0">
        <v>81</v>
      </c>
      <c r="V226" t="s" s="0">
        <v>5518</v>
      </c>
      <c r="W226" t="s" s="0">
        <v>728</v>
      </c>
      <c r="X226" t="s" s="0">
        <v>81</v>
      </c>
      <c r="Y226" t="s" s="0">
        <v>81</v>
      </c>
      <c r="Z226" t="s" s="0">
        <v>93</v>
      </c>
      <c r="AA226" t="s" s="0">
        <v>94</v>
      </c>
      <c r="AB226" t="s" s="0">
        <v>81</v>
      </c>
      <c r="AC226" t="s" s="0">
        <v>81</v>
      </c>
      <c r="AD226" t="s" s="0">
        <v>81</v>
      </c>
      <c r="AE226" t="s" s="0">
        <v>81</v>
      </c>
      <c r="AF226" t="s" s="0">
        <v>81</v>
      </c>
      <c r="AG226" t="s" s="0">
        <v>5519</v>
      </c>
      <c r="AH226" t="s" s="0">
        <v>5520</v>
      </c>
      <c r="AI226" t="s" s="0">
        <v>81</v>
      </c>
      <c r="AJ226" t="s" s="0">
        <v>81</v>
      </c>
      <c r="AK226" t="s" s="0">
        <v>81</v>
      </c>
      <c r="AL226" t="s" s="0">
        <v>703</v>
      </c>
      <c r="AM226" t="s" s="0">
        <v>183</v>
      </c>
      <c r="AN226" t="s" s="0">
        <v>183</v>
      </c>
      <c r="AO226" t="s" s="0">
        <v>101</v>
      </c>
      <c r="AP226" t="s" s="0">
        <v>101</v>
      </c>
      <c r="AQ226" t="s" s="0">
        <v>140</v>
      </c>
      <c r="AR226" t="s" s="0">
        <v>141</v>
      </c>
      <c r="AS226" t="s" s="0">
        <v>142</v>
      </c>
      <c r="AT226" t="s" s="0">
        <v>733</v>
      </c>
      <c r="AU226" t="s" s="0">
        <v>734</v>
      </c>
      <c r="AV226" t="s" s="0">
        <v>81</v>
      </c>
      <c r="AW226" t="s" s="0">
        <v>728</v>
      </c>
      <c r="AX226" t="s" s="0">
        <v>735</v>
      </c>
      <c r="AY226" t="s" s="0">
        <v>5521</v>
      </c>
      <c r="AZ226" t="s" s="0">
        <v>111</v>
      </c>
      <c r="BA226" t="s" s="0">
        <v>5522</v>
      </c>
      <c r="BB226" t="s" s="0">
        <v>81</v>
      </c>
      <c r="BC226" t="s" s="0">
        <v>81</v>
      </c>
      <c r="BD226" t="s" s="0">
        <v>81</v>
      </c>
      <c r="BE226" t="s" s="0">
        <v>81</v>
      </c>
      <c r="BF226" t="s" s="0">
        <v>81</v>
      </c>
      <c r="BG226" t="s" s="0">
        <v>81</v>
      </c>
      <c r="BH226" t="s" s="0">
        <v>81</v>
      </c>
      <c r="BI226" t="s" s="0">
        <v>5523</v>
      </c>
      <c r="BJ226" t="s" s="0">
        <v>5524</v>
      </c>
      <c r="BK226" t="s" s="447">
        <f>HYPERLINK("http://dx.doi.org/10.1016/j.neucom.2025.131233","http://dx.doi.org/10.1016/j.neucom.2025.131233")</f>
        <v>5525</v>
      </c>
      <c r="BL226" t="s" s="0">
        <v>81</v>
      </c>
      <c r="BM226" t="s" s="0">
        <v>547</v>
      </c>
      <c r="BN226" t="s" s="0">
        <v>182</v>
      </c>
      <c r="BO226" t="s" s="0">
        <v>488</v>
      </c>
      <c r="BP226" t="s" s="0">
        <v>250</v>
      </c>
      <c r="BQ226" t="s" s="0">
        <v>5526</v>
      </c>
      <c r="BR226" t="s" s="0">
        <v>81</v>
      </c>
      <c r="BS226" t="s" s="0">
        <v>5527</v>
      </c>
      <c r="BT226" t="s" s="448">
        <f>HYPERLINK("https://www.webofscience.com/wos/woscc/full-record/WOS:001693872300013","View Record in Web of Science")</f>
        <v>123</v>
      </c>
      <c r="BU226" t="s" s="0">
        <v>81</v>
      </c>
      <c r="BV226" t="s" s="0">
        <v>81</v>
      </c>
      <c r="BW226" t="s" s="0">
        <v>81</v>
      </c>
      <c r="BX226" t="s" s="0">
        <v>124</v>
      </c>
    </row>
    <row r="227">
      <c r="A227" t="s" s="0">
        <v>77</v>
      </c>
      <c r="B227" t="s" s="0">
        <v>77</v>
      </c>
      <c r="C227" t="s" s="0">
        <v>77</v>
      </c>
      <c r="D227" t="s" s="0">
        <v>77</v>
      </c>
      <c r="E227" t="s" s="0">
        <v>5528</v>
      </c>
      <c r="F227" t="s" s="0">
        <v>5529</v>
      </c>
      <c r="G227" t="s" s="0">
        <v>5530</v>
      </c>
      <c r="H227" t="s" s="0">
        <v>81</v>
      </c>
      <c r="I227" t="s" s="0">
        <v>82</v>
      </c>
      <c r="J227" t="s" s="0">
        <v>5531</v>
      </c>
      <c r="K227" t="s" s="0">
        <v>5532</v>
      </c>
      <c r="L227" t="s" s="0">
        <v>5533</v>
      </c>
      <c r="M227" t="s" s="0">
        <v>199</v>
      </c>
      <c r="N227" t="s" s="0">
        <v>5534</v>
      </c>
      <c r="O227" t="s" s="0">
        <v>5535</v>
      </c>
      <c r="P227" t="s" s="0">
        <v>5536</v>
      </c>
      <c r="Q227" t="s" s="0">
        <v>90</v>
      </c>
      <c r="R227" t="s" s="0">
        <v>81</v>
      </c>
      <c r="S227" t="s" s="0">
        <v>81</v>
      </c>
      <c r="T227" t="s" s="0">
        <v>81</v>
      </c>
      <c r="U227" t="s" s="0">
        <v>81</v>
      </c>
      <c r="V227" t="s" s="0">
        <v>5537</v>
      </c>
      <c r="W227" t="s" s="0">
        <v>2614</v>
      </c>
      <c r="X227" t="s" s="0">
        <v>81</v>
      </c>
      <c r="Y227" t="s" s="0">
        <v>81</v>
      </c>
      <c r="Z227" t="s" s="0">
        <v>93</v>
      </c>
      <c r="AA227" t="s" s="0">
        <v>94</v>
      </c>
      <c r="AB227" t="s" s="0">
        <v>81</v>
      </c>
      <c r="AC227" t="s" s="0">
        <v>81</v>
      </c>
      <c r="AD227" t="s" s="0">
        <v>81</v>
      </c>
      <c r="AE227" t="s" s="0">
        <v>81</v>
      </c>
      <c r="AF227" t="s" s="0">
        <v>81</v>
      </c>
      <c r="AG227" t="s" s="0">
        <v>5538</v>
      </c>
      <c r="AH227" t="s" s="0">
        <v>5539</v>
      </c>
      <c r="AI227" t="s" s="0">
        <v>5540</v>
      </c>
      <c r="AJ227" t="s" s="0">
        <v>5541</v>
      </c>
      <c r="AK227" t="s" s="0">
        <v>81</v>
      </c>
      <c r="AL227" t="s" s="0">
        <v>1012</v>
      </c>
      <c r="AM227" t="s" s="0">
        <v>77</v>
      </c>
      <c r="AN227" t="s" s="0">
        <v>77</v>
      </c>
      <c r="AO227" t="s" s="0">
        <v>301</v>
      </c>
      <c r="AP227" t="s" s="0">
        <v>172</v>
      </c>
      <c r="AQ227" t="s" s="0">
        <v>140</v>
      </c>
      <c r="AR227" t="s" s="0">
        <v>141</v>
      </c>
      <c r="AS227" t="s" s="0">
        <v>142</v>
      </c>
      <c r="AT227" t="s" s="0">
        <v>2616</v>
      </c>
      <c r="AU227" t="s" s="0">
        <v>2617</v>
      </c>
      <c r="AV227" t="s" s="0">
        <v>81</v>
      </c>
      <c r="AW227" t="s" s="0">
        <v>2618</v>
      </c>
      <c r="AX227" t="s" s="0">
        <v>2619</v>
      </c>
      <c r="AY227" t="s" s="0">
        <v>1283</v>
      </c>
      <c r="AZ227" t="s" s="0">
        <v>111</v>
      </c>
      <c r="BA227" t="s" s="0">
        <v>5542</v>
      </c>
      <c r="BB227" t="s" s="0">
        <v>81</v>
      </c>
      <c r="BC227" t="s" s="0">
        <v>81</v>
      </c>
      <c r="BD227" t="s" s="0">
        <v>3475</v>
      </c>
      <c r="BE227" t="s" s="0">
        <v>81</v>
      </c>
      <c r="BF227" t="s" s="0">
        <v>81</v>
      </c>
      <c r="BG227" t="s" s="0">
        <v>81</v>
      </c>
      <c r="BH227" t="s" s="0">
        <v>81</v>
      </c>
      <c r="BI227" t="s" s="0">
        <v>5543</v>
      </c>
      <c r="BJ227" t="s" s="0">
        <v>5544</v>
      </c>
      <c r="BK227" t="s" s="449">
        <f>HYPERLINK("http://dx.doi.org/10.1016/j.asoc.2025.113823","http://dx.doi.org/10.1016/j.asoc.2025.113823")</f>
        <v>5545</v>
      </c>
      <c r="BL227" t="s" s="0">
        <v>81</v>
      </c>
      <c r="BM227" t="s" s="0">
        <v>110</v>
      </c>
      <c r="BN227" t="s" s="0">
        <v>405</v>
      </c>
      <c r="BO227" t="s" s="0">
        <v>2254</v>
      </c>
      <c r="BP227" t="s" s="0">
        <v>250</v>
      </c>
      <c r="BQ227" t="s" s="0">
        <v>5546</v>
      </c>
      <c r="BR227" t="s" s="0">
        <v>81</v>
      </c>
      <c r="BS227" t="s" s="0">
        <v>5547</v>
      </c>
      <c r="BT227" t="s" s="450">
        <f>HYPERLINK("https://www.webofscience.com/wos/woscc/full-record/WOS:001582156200001","View Record in Web of Science")</f>
        <v>123</v>
      </c>
      <c r="BU227" t="s" s="0">
        <v>81</v>
      </c>
      <c r="BV227" t="s" s="0">
        <v>81</v>
      </c>
      <c r="BW227" t="s" s="0">
        <v>81</v>
      </c>
      <c r="BX227" t="s" s="0">
        <v>124</v>
      </c>
    </row>
    <row r="228">
      <c r="A228" t="s" s="0">
        <v>77</v>
      </c>
      <c r="B228" t="s" s="0">
        <v>77</v>
      </c>
      <c r="C228" t="s" s="0">
        <v>77</v>
      </c>
      <c r="D228" t="s" s="0">
        <v>77</v>
      </c>
      <c r="E228" t="s" s="0">
        <v>5548</v>
      </c>
      <c r="F228" t="s" s="0">
        <v>5549</v>
      </c>
      <c r="G228" t="s" s="0">
        <v>5550</v>
      </c>
      <c r="H228" t="s" s="0">
        <v>81</v>
      </c>
      <c r="I228" t="s" s="0">
        <v>82</v>
      </c>
      <c r="J228" t="s" s="0">
        <v>5551</v>
      </c>
      <c r="K228" t="s" s="0">
        <v>5552</v>
      </c>
      <c r="L228" t="s" s="0">
        <v>5553</v>
      </c>
      <c r="M228" t="s" s="0">
        <v>5554</v>
      </c>
      <c r="N228" t="s" s="0">
        <v>5555</v>
      </c>
      <c r="O228" t="s" s="0">
        <v>5556</v>
      </c>
      <c r="P228" t="s" s="0">
        <v>5557</v>
      </c>
      <c r="Q228" t="s" s="0">
        <v>90</v>
      </c>
      <c r="R228" t="s" s="0">
        <v>81</v>
      </c>
      <c r="S228" t="s" s="0">
        <v>81</v>
      </c>
      <c r="T228" t="s" s="0">
        <v>81</v>
      </c>
      <c r="U228" t="s" s="0">
        <v>81</v>
      </c>
      <c r="V228" t="s" s="0">
        <v>5558</v>
      </c>
      <c r="W228" t="s" s="0">
        <v>5559</v>
      </c>
      <c r="X228" t="s" s="0">
        <v>81</v>
      </c>
      <c r="Y228" t="s" s="0">
        <v>81</v>
      </c>
      <c r="Z228" t="s" s="0">
        <v>93</v>
      </c>
      <c r="AA228" t="s" s="0">
        <v>94</v>
      </c>
      <c r="AB228" t="s" s="0">
        <v>81</v>
      </c>
      <c r="AC228" t="s" s="0">
        <v>81</v>
      </c>
      <c r="AD228" t="s" s="0">
        <v>81</v>
      </c>
      <c r="AE228" t="s" s="0">
        <v>81</v>
      </c>
      <c r="AF228" t="s" s="0">
        <v>81</v>
      </c>
      <c r="AG228" t="s" s="0">
        <v>5560</v>
      </c>
      <c r="AH228" t="s" s="0">
        <v>81</v>
      </c>
      <c r="AI228" t="s" s="0">
        <v>81</v>
      </c>
      <c r="AJ228" t="s" s="0">
        <v>81</v>
      </c>
      <c r="AK228" t="s" s="0">
        <v>81</v>
      </c>
      <c r="AL228" t="s" s="0">
        <v>915</v>
      </c>
      <c r="AM228" t="s" s="0">
        <v>77</v>
      </c>
      <c r="AN228" t="s" s="0">
        <v>77</v>
      </c>
      <c r="AO228" t="s" s="0">
        <v>100</v>
      </c>
      <c r="AP228" t="s" s="0">
        <v>100</v>
      </c>
      <c r="AQ228" t="s" s="0">
        <v>140</v>
      </c>
      <c r="AR228" t="s" s="0">
        <v>141</v>
      </c>
      <c r="AS228" t="s" s="0">
        <v>142</v>
      </c>
      <c r="AT228" t="s" s="0">
        <v>5561</v>
      </c>
      <c r="AU228" t="s" s="0">
        <v>5562</v>
      </c>
      <c r="AV228" t="s" s="0">
        <v>81</v>
      </c>
      <c r="AW228" t="s" s="0">
        <v>5563</v>
      </c>
      <c r="AX228" t="s" s="0">
        <v>5564</v>
      </c>
      <c r="AY228" t="s" s="0">
        <v>279</v>
      </c>
      <c r="AZ228" t="s" s="0">
        <v>212</v>
      </c>
      <c r="BA228" t="s" s="0">
        <v>5565</v>
      </c>
      <c r="BB228" t="s" s="0">
        <v>81</v>
      </c>
      <c r="BC228" t="s" s="0">
        <v>81</v>
      </c>
      <c r="BD228" t="s" s="0">
        <v>81</v>
      </c>
      <c r="BE228" t="s" s="0">
        <v>81</v>
      </c>
      <c r="BF228" t="s" s="0">
        <v>81</v>
      </c>
      <c r="BG228" t="s" s="0">
        <v>81</v>
      </c>
      <c r="BH228" t="s" s="0">
        <v>81</v>
      </c>
      <c r="BI228" t="s" s="0">
        <v>5566</v>
      </c>
      <c r="BJ228" t="s" s="0">
        <v>5567</v>
      </c>
      <c r="BK228" t="s" s="451">
        <f>HYPERLINK("http://dx.doi.org/10.1016/j.ijbiomac.2026.151617","http://dx.doi.org/10.1016/j.ijbiomac.2026.151617")</f>
        <v>5568</v>
      </c>
      <c r="BL228" t="s" s="0">
        <v>81</v>
      </c>
      <c r="BM228" t="s" s="0">
        <v>81</v>
      </c>
      <c r="BN228" t="s" s="0">
        <v>405</v>
      </c>
      <c r="BO228" t="s" s="0">
        <v>5569</v>
      </c>
      <c r="BP228" t="s" s="0">
        <v>5570</v>
      </c>
      <c r="BQ228" t="s" s="0">
        <v>5571</v>
      </c>
      <c r="BR228" t="s" s="0">
        <v>5572</v>
      </c>
      <c r="BS228" t="s" s="0">
        <v>5573</v>
      </c>
      <c r="BT228" t="s" s="452">
        <f>HYPERLINK("https://www.webofscience.com/wos/woscc/full-record/WOS:001740093000001","View Record in Web of Science")</f>
        <v>123</v>
      </c>
      <c r="BU228" t="s" s="0">
        <v>81</v>
      </c>
      <c r="BV228" t="s" s="0">
        <v>81</v>
      </c>
      <c r="BW228" t="s" s="0">
        <v>81</v>
      </c>
      <c r="BX228" t="s" s="0">
        <v>124</v>
      </c>
    </row>
    <row r="229">
      <c r="A229" t="s" s="0">
        <v>77</v>
      </c>
      <c r="B229" t="s" s="0">
        <v>77</v>
      </c>
      <c r="C229" t="s" s="0">
        <v>77</v>
      </c>
      <c r="D229" t="s" s="0">
        <v>77</v>
      </c>
      <c r="E229" t="s" s="0">
        <v>5574</v>
      </c>
      <c r="F229" t="s" s="0">
        <v>5575</v>
      </c>
      <c r="G229" t="s" s="0">
        <v>5576</v>
      </c>
      <c r="H229" t="s" s="0">
        <v>81</v>
      </c>
      <c r="I229" t="s" s="0">
        <v>82</v>
      </c>
      <c r="J229" t="s" s="0">
        <v>5577</v>
      </c>
      <c r="K229" t="s" s="0">
        <v>5578</v>
      </c>
      <c r="L229" t="s" s="0">
        <v>5579</v>
      </c>
      <c r="M229" t="s" s="0">
        <v>5580</v>
      </c>
      <c r="N229" t="s" s="0">
        <v>5581</v>
      </c>
      <c r="O229" t="s" s="0">
        <v>5582</v>
      </c>
      <c r="P229" t="s" s="0">
        <v>5583</v>
      </c>
      <c r="Q229" t="s" s="0">
        <v>90</v>
      </c>
      <c r="R229" t="s" s="0">
        <v>81</v>
      </c>
      <c r="S229" t="s" s="0">
        <v>81</v>
      </c>
      <c r="T229" t="s" s="0">
        <v>81</v>
      </c>
      <c r="U229" t="s" s="0">
        <v>81</v>
      </c>
      <c r="V229" t="s" s="0">
        <v>5584</v>
      </c>
      <c r="W229" t="s" s="0">
        <v>1007</v>
      </c>
      <c r="X229" t="s" s="0">
        <v>81</v>
      </c>
      <c r="Y229" t="s" s="0">
        <v>81</v>
      </c>
      <c r="Z229" t="s" s="0">
        <v>93</v>
      </c>
      <c r="AA229" t="s" s="0">
        <v>94</v>
      </c>
      <c r="AB229" t="s" s="0">
        <v>81</v>
      </c>
      <c r="AC229" t="s" s="0">
        <v>81</v>
      </c>
      <c r="AD229" t="s" s="0">
        <v>81</v>
      </c>
      <c r="AE229" t="s" s="0">
        <v>81</v>
      </c>
      <c r="AF229" t="s" s="0">
        <v>81</v>
      </c>
      <c r="AG229" t="s" s="0">
        <v>5585</v>
      </c>
      <c r="AH229" t="s" s="0">
        <v>648</v>
      </c>
      <c r="AI229" t="s" s="0">
        <v>5586</v>
      </c>
      <c r="AJ229" t="s" s="0">
        <v>5587</v>
      </c>
      <c r="AK229" t="s" s="0">
        <v>81</v>
      </c>
      <c r="AL229" t="s" s="0">
        <v>139</v>
      </c>
      <c r="AM229" t="s" s="0">
        <v>183</v>
      </c>
      <c r="AN229" t="s" s="0">
        <v>183</v>
      </c>
      <c r="AO229" t="s" s="0">
        <v>301</v>
      </c>
      <c r="AP229" t="s" s="0">
        <v>172</v>
      </c>
      <c r="AQ229" t="s" s="0">
        <v>588</v>
      </c>
      <c r="AR229" t="s" s="0">
        <v>589</v>
      </c>
      <c r="AS229" t="s" s="0">
        <v>590</v>
      </c>
      <c r="AT229" t="s" s="0">
        <v>1013</v>
      </c>
      <c r="AU229" t="s" s="0">
        <v>1014</v>
      </c>
      <c r="AV229" t="s" s="0">
        <v>81</v>
      </c>
      <c r="AW229" t="s" s="0">
        <v>1015</v>
      </c>
      <c r="AX229" t="s" s="0">
        <v>1016</v>
      </c>
      <c r="AY229" t="s" s="0">
        <v>111</v>
      </c>
      <c r="AZ229" t="s" s="0">
        <v>111</v>
      </c>
      <c r="BA229" t="s" s="0">
        <v>139</v>
      </c>
      <c r="BB229" t="s" s="0">
        <v>81</v>
      </c>
      <c r="BC229" t="s" s="0">
        <v>81</v>
      </c>
      <c r="BD229" t="s" s="0">
        <v>81</v>
      </c>
      <c r="BE229" t="s" s="0">
        <v>81</v>
      </c>
      <c r="BF229" t="s" s="0">
        <v>81</v>
      </c>
      <c r="BG229" t="s" s="0">
        <v>5588</v>
      </c>
      <c r="BH229" t="s" s="0">
        <v>5589</v>
      </c>
      <c r="BI229" t="s" s="0">
        <v>81</v>
      </c>
      <c r="BJ229" t="s" s="0">
        <v>5590</v>
      </c>
      <c r="BK229" t="s" s="453">
        <f>HYPERLINK("http://dx.doi.org/10.1109/TNSRE.2025.3561942","http://dx.doi.org/10.1109/TNSRE.2025.3561942")</f>
        <v>5591</v>
      </c>
      <c r="BL229" t="s" s="0">
        <v>81</v>
      </c>
      <c r="BM229" t="s" s="0">
        <v>81</v>
      </c>
      <c r="BN229" t="s" s="0">
        <v>152</v>
      </c>
      <c r="BO229" t="s" s="0">
        <v>1021</v>
      </c>
      <c r="BP229" t="s" s="0">
        <v>1022</v>
      </c>
      <c r="BQ229" t="s" s="0">
        <v>5592</v>
      </c>
      <c r="BR229" t="s" s="0">
        <v>5593</v>
      </c>
      <c r="BS229" t="s" s="0">
        <v>5594</v>
      </c>
      <c r="BT229" t="s" s="454">
        <f>HYPERLINK("https://www.webofscience.com/wos/woscc/full-record/WOS:001479397100003","View Record in Web of Science")</f>
        <v>123</v>
      </c>
      <c r="BU229" t="s" s="0">
        <v>191</v>
      </c>
      <c r="BV229" t="s" s="0">
        <v>81</v>
      </c>
      <c r="BW229" t="s" s="0">
        <v>81</v>
      </c>
      <c r="BX229" t="s" s="0">
        <v>124</v>
      </c>
    </row>
    <row r="230">
      <c r="A230" t="s" s="0">
        <v>77</v>
      </c>
      <c r="B230" t="s" s="0">
        <v>77</v>
      </c>
      <c r="C230" t="s" s="0">
        <v>77</v>
      </c>
      <c r="D230" t="s" s="0">
        <v>77</v>
      </c>
      <c r="E230" t="s" s="0">
        <v>5595</v>
      </c>
      <c r="F230" t="s" s="0">
        <v>5596</v>
      </c>
      <c r="G230" t="s" s="0">
        <v>5597</v>
      </c>
      <c r="H230" t="s" s="0">
        <v>81</v>
      </c>
      <c r="I230" t="s" s="0">
        <v>82</v>
      </c>
      <c r="J230" t="s" s="0">
        <v>5598</v>
      </c>
      <c r="K230" t="s" s="0">
        <v>5599</v>
      </c>
      <c r="L230" t="s" s="0">
        <v>5600</v>
      </c>
      <c r="M230" t="s" s="0">
        <v>5601</v>
      </c>
      <c r="N230" t="s" s="0">
        <v>5602</v>
      </c>
      <c r="O230" t="s" s="0">
        <v>5603</v>
      </c>
      <c r="P230" t="s" s="0">
        <v>5604</v>
      </c>
      <c r="Q230" t="s" s="0">
        <v>90</v>
      </c>
      <c r="R230" t="s" s="0">
        <v>81</v>
      </c>
      <c r="S230" t="s" s="0">
        <v>81</v>
      </c>
      <c r="T230" t="s" s="0">
        <v>81</v>
      </c>
      <c r="U230" t="s" s="0">
        <v>81</v>
      </c>
      <c r="V230" t="s" s="0">
        <v>5605</v>
      </c>
      <c r="W230" t="s" s="0">
        <v>5606</v>
      </c>
      <c r="X230" t="s" s="0">
        <v>81</v>
      </c>
      <c r="Y230" t="s" s="0">
        <v>81</v>
      </c>
      <c r="Z230" t="s" s="0">
        <v>93</v>
      </c>
      <c r="AA230" t="s" s="0">
        <v>94</v>
      </c>
      <c r="AB230" t="s" s="0">
        <v>81</v>
      </c>
      <c r="AC230" t="s" s="0">
        <v>81</v>
      </c>
      <c r="AD230" t="s" s="0">
        <v>81</v>
      </c>
      <c r="AE230" t="s" s="0">
        <v>81</v>
      </c>
      <c r="AF230" t="s" s="0">
        <v>81</v>
      </c>
      <c r="AG230" t="s" s="0">
        <v>81</v>
      </c>
      <c r="AH230" t="s" s="0">
        <v>5607</v>
      </c>
      <c r="AI230" t="s" s="0">
        <v>81</v>
      </c>
      <c r="AJ230" t="s" s="0">
        <v>81</v>
      </c>
      <c r="AK230" t="s" s="0">
        <v>81</v>
      </c>
      <c r="AL230" t="s" s="0">
        <v>595</v>
      </c>
      <c r="AM230" t="s" s="0">
        <v>77</v>
      </c>
      <c r="AN230" t="s" s="0">
        <v>77</v>
      </c>
      <c r="AO230" t="s" s="0">
        <v>77</v>
      </c>
      <c r="AP230" t="s" s="0">
        <v>77</v>
      </c>
      <c r="AQ230" t="s" s="0">
        <v>1569</v>
      </c>
      <c r="AR230" t="s" s="0">
        <v>1570</v>
      </c>
      <c r="AS230" t="s" s="0">
        <v>1571</v>
      </c>
      <c r="AT230" t="s" s="0">
        <v>5608</v>
      </c>
      <c r="AU230" t="s" s="0">
        <v>5609</v>
      </c>
      <c r="AV230" t="s" s="0">
        <v>81</v>
      </c>
      <c r="AW230" t="s" s="0">
        <v>5610</v>
      </c>
      <c r="AX230" t="s" s="0">
        <v>5611</v>
      </c>
      <c r="AY230" t="s" s="0">
        <v>5612</v>
      </c>
      <c r="AZ230" t="s" s="0">
        <v>212</v>
      </c>
      <c r="BA230" t="s" s="0">
        <v>5613</v>
      </c>
      <c r="BB230" t="s" s="0">
        <v>137</v>
      </c>
      <c r="BC230" t="s" s="0">
        <v>81</v>
      </c>
      <c r="BD230" t="s" s="0">
        <v>81</v>
      </c>
      <c r="BE230" t="s" s="0">
        <v>81</v>
      </c>
      <c r="BF230" t="s" s="0">
        <v>81</v>
      </c>
      <c r="BG230" t="s" s="0">
        <v>81</v>
      </c>
      <c r="BH230" t="s" s="0">
        <v>81</v>
      </c>
      <c r="BI230" t="s" s="0">
        <v>301</v>
      </c>
      <c r="BJ230" t="s" s="0">
        <v>5614</v>
      </c>
      <c r="BK230" t="s" s="455">
        <f>HYPERLINK("http://dx.doi.org/10.3847/1538-4365/ae88f7","http://dx.doi.org/10.3847/1538-4365/ae88f7")</f>
        <v>5615</v>
      </c>
      <c r="BL230" t="s" s="0">
        <v>81</v>
      </c>
      <c r="BM230" t="s" s="0">
        <v>81</v>
      </c>
      <c r="BN230" t="s" s="0">
        <v>172</v>
      </c>
      <c r="BO230" t="s" s="0">
        <v>5616</v>
      </c>
      <c r="BP230" t="s" s="0">
        <v>5616</v>
      </c>
      <c r="BQ230" t="s" s="0">
        <v>5617</v>
      </c>
      <c r="BR230" t="s" s="0">
        <v>81</v>
      </c>
      <c r="BS230" t="s" s="0">
        <v>5618</v>
      </c>
      <c r="BT230" t="s" s="456">
        <f>HYPERLINK("https://www.webofscience.com/wos/woscc/full-record/WOS:001843595800001","View Record in Web of Science")</f>
        <v>123</v>
      </c>
      <c r="BU230" t="s" s="0">
        <v>222</v>
      </c>
      <c r="BV230" t="s" s="0">
        <v>81</v>
      </c>
      <c r="BW230" t="s" s="0">
        <v>81</v>
      </c>
      <c r="BX230" t="s" s="0">
        <v>124</v>
      </c>
    </row>
    <row r="231">
      <c r="A231" t="s" s="0">
        <v>77</v>
      </c>
      <c r="B231" t="s" s="0">
        <v>77</v>
      </c>
      <c r="C231" t="s" s="0">
        <v>77</v>
      </c>
      <c r="D231" t="s" s="0">
        <v>77</v>
      </c>
      <c r="E231" t="s" s="0">
        <v>5619</v>
      </c>
      <c r="F231" t="s" s="0">
        <v>5620</v>
      </c>
      <c r="G231" t="s" s="0">
        <v>5621</v>
      </c>
      <c r="H231" t="s" s="0">
        <v>81</v>
      </c>
      <c r="I231" t="s" s="0">
        <v>195</v>
      </c>
      <c r="J231" t="s" s="0">
        <v>5622</v>
      </c>
      <c r="K231" t="s" s="0">
        <v>5623</v>
      </c>
      <c r="L231" t="s" s="0">
        <v>5624</v>
      </c>
      <c r="M231" t="s" s="0">
        <v>5624</v>
      </c>
      <c r="N231" t="s" s="0">
        <v>5625</v>
      </c>
      <c r="O231" t="s" s="0">
        <v>5626</v>
      </c>
      <c r="P231" t="s" s="0">
        <v>5627</v>
      </c>
      <c r="Q231" t="s" s="0">
        <v>90</v>
      </c>
      <c r="R231" t="s" s="0">
        <v>81</v>
      </c>
      <c r="S231" t="s" s="0">
        <v>81</v>
      </c>
      <c r="T231" t="s" s="0">
        <v>81</v>
      </c>
      <c r="U231" t="s" s="0">
        <v>81</v>
      </c>
      <c r="V231" t="s" s="0">
        <v>5628</v>
      </c>
      <c r="W231" t="s" s="0">
        <v>5629</v>
      </c>
      <c r="X231" t="s" s="0">
        <v>81</v>
      </c>
      <c r="Y231" t="s" s="0">
        <v>81</v>
      </c>
      <c r="Z231" t="s" s="0">
        <v>93</v>
      </c>
      <c r="AA231" t="s" s="0">
        <v>94</v>
      </c>
      <c r="AB231" t="s" s="0">
        <v>81</v>
      </c>
      <c r="AC231" t="s" s="0">
        <v>81</v>
      </c>
      <c r="AD231" t="s" s="0">
        <v>81</v>
      </c>
      <c r="AE231" t="s" s="0">
        <v>81</v>
      </c>
      <c r="AF231" t="s" s="0">
        <v>81</v>
      </c>
      <c r="AG231" t="s" s="0">
        <v>5630</v>
      </c>
      <c r="AH231" t="s" s="0">
        <v>81</v>
      </c>
      <c r="AI231" t="s" s="0">
        <v>5631</v>
      </c>
      <c r="AJ231" t="s" s="0">
        <v>5632</v>
      </c>
      <c r="AK231" t="s" s="0">
        <v>81</v>
      </c>
      <c r="AL231" t="s" s="0">
        <v>171</v>
      </c>
      <c r="AM231" t="s" s="0">
        <v>101</v>
      </c>
      <c r="AN231" t="s" s="0">
        <v>101</v>
      </c>
      <c r="AO231" t="s" s="0">
        <v>77</v>
      </c>
      <c r="AP231" t="s" s="0">
        <v>137</v>
      </c>
      <c r="AQ231" t="s" s="0">
        <v>140</v>
      </c>
      <c r="AR231" t="s" s="0">
        <v>141</v>
      </c>
      <c r="AS231" t="s" s="0">
        <v>142</v>
      </c>
      <c r="AT231" t="s" s="0">
        <v>5633</v>
      </c>
      <c r="AU231" t="s" s="0">
        <v>81</v>
      </c>
      <c r="AV231" t="s" s="0">
        <v>81</v>
      </c>
      <c r="AW231" t="s" s="0">
        <v>5634</v>
      </c>
      <c r="AX231" t="s" s="0">
        <v>5635</v>
      </c>
      <c r="AY231" t="s" s="0">
        <v>1283</v>
      </c>
      <c r="AZ231" t="s" s="0">
        <v>111</v>
      </c>
      <c r="BA231" t="s" s="0">
        <v>1832</v>
      </c>
      <c r="BB231" t="s" s="0">
        <v>81</v>
      </c>
      <c r="BC231" t="s" s="0">
        <v>81</v>
      </c>
      <c r="BD231" t="s" s="0">
        <v>81</v>
      </c>
      <c r="BE231" t="s" s="0">
        <v>81</v>
      </c>
      <c r="BF231" t="s" s="0">
        <v>81</v>
      </c>
      <c r="BG231" t="s" s="0">
        <v>81</v>
      </c>
      <c r="BH231" t="s" s="0">
        <v>81</v>
      </c>
      <c r="BI231" t="s" s="0">
        <v>5636</v>
      </c>
      <c r="BJ231" t="s" s="0">
        <v>5637</v>
      </c>
      <c r="BK231" t="s" s="457">
        <f>HYPERLINK("http://dx.doi.org/10.1016/j.array.2025.100565","http://dx.doi.org/10.1016/j.array.2025.100565")</f>
        <v>5638</v>
      </c>
      <c r="BL231" t="s" s="0">
        <v>81</v>
      </c>
      <c r="BM231" t="s" s="0">
        <v>1526</v>
      </c>
      <c r="BN231" t="s" s="0">
        <v>102</v>
      </c>
      <c r="BO231" t="s" s="0">
        <v>3286</v>
      </c>
      <c r="BP231" t="s" s="0">
        <v>250</v>
      </c>
      <c r="BQ231" t="s" s="0">
        <v>5639</v>
      </c>
      <c r="BR231" t="s" s="0">
        <v>81</v>
      </c>
      <c r="BS231" t="s" s="0">
        <v>5640</v>
      </c>
      <c r="BT231" t="s" s="458">
        <f>HYPERLINK("https://www.webofscience.com/wos/woscc/full-record/WOS:001617356000001","View Record in Web of Science")</f>
        <v>123</v>
      </c>
      <c r="BU231" t="s" s="0">
        <v>191</v>
      </c>
      <c r="BV231" t="s" s="0">
        <v>81</v>
      </c>
      <c r="BW231" t="s" s="0">
        <v>81</v>
      </c>
      <c r="BX231" t="s" s="0">
        <v>124</v>
      </c>
    </row>
    <row r="232">
      <c r="A232" t="s" s="0">
        <v>77</v>
      </c>
      <c r="B232" t="s" s="0">
        <v>77</v>
      </c>
      <c r="C232" t="s" s="0">
        <v>101</v>
      </c>
      <c r="D232" t="s" s="0">
        <v>77</v>
      </c>
      <c r="E232" t="s" s="0">
        <v>5641</v>
      </c>
      <c r="F232" t="s" s="0">
        <v>5642</v>
      </c>
      <c r="G232" t="s" s="0">
        <v>5643</v>
      </c>
      <c r="H232" t="s" s="0">
        <v>81</v>
      </c>
      <c r="I232" t="s" s="0">
        <v>82</v>
      </c>
      <c r="J232" t="s" s="0">
        <v>5644</v>
      </c>
      <c r="K232" t="s" s="0">
        <v>5645</v>
      </c>
      <c r="L232" t="s" s="0">
        <v>5646</v>
      </c>
      <c r="M232" t="s" s="0">
        <v>5647</v>
      </c>
      <c r="N232" t="s" s="0">
        <v>5648</v>
      </c>
      <c r="O232" t="s" s="0">
        <v>5649</v>
      </c>
      <c r="P232" t="s" s="0">
        <v>5650</v>
      </c>
      <c r="Q232" t="s" s="0">
        <v>90</v>
      </c>
      <c r="R232" t="s" s="0">
        <v>81</v>
      </c>
      <c r="S232" t="s" s="0">
        <v>81</v>
      </c>
      <c r="T232" t="s" s="0">
        <v>81</v>
      </c>
      <c r="U232" t="s" s="0">
        <v>81</v>
      </c>
      <c r="V232" t="s" s="0">
        <v>5651</v>
      </c>
      <c r="W232" t="s" s="0">
        <v>5652</v>
      </c>
      <c r="X232" t="s" s="0">
        <v>81</v>
      </c>
      <c r="Y232" t="s" s="0">
        <v>81</v>
      </c>
      <c r="Z232" t="s" s="0">
        <v>93</v>
      </c>
      <c r="AA232" t="s" s="0">
        <v>94</v>
      </c>
      <c r="AB232" t="s" s="0">
        <v>81</v>
      </c>
      <c r="AC232" t="s" s="0">
        <v>81</v>
      </c>
      <c r="AD232" t="s" s="0">
        <v>81</v>
      </c>
      <c r="AE232" t="s" s="0">
        <v>81</v>
      </c>
      <c r="AF232" t="s" s="0">
        <v>81</v>
      </c>
      <c r="AG232" t="s" s="0">
        <v>5653</v>
      </c>
      <c r="AH232" t="s" s="0">
        <v>81</v>
      </c>
      <c r="AI232" t="s" s="0">
        <v>81</v>
      </c>
      <c r="AJ232" t="s" s="0">
        <v>81</v>
      </c>
      <c r="AK232" t="s" s="0">
        <v>81</v>
      </c>
      <c r="AL232" t="s" s="0">
        <v>2520</v>
      </c>
      <c r="AM232" t="s" s="0">
        <v>399</v>
      </c>
      <c r="AN232" t="s" s="0">
        <v>172</v>
      </c>
      <c r="AO232" t="s" s="0">
        <v>183</v>
      </c>
      <c r="AP232" t="s" s="0">
        <v>183</v>
      </c>
      <c r="AQ232" t="s" s="0">
        <v>174</v>
      </c>
      <c r="AR232" t="s" s="0">
        <v>175</v>
      </c>
      <c r="AS232" t="s" s="0">
        <v>208</v>
      </c>
      <c r="AT232" t="s" s="0">
        <v>81</v>
      </c>
      <c r="AU232" t="s" s="0">
        <v>5654</v>
      </c>
      <c r="AV232" t="s" s="0">
        <v>81</v>
      </c>
      <c r="AW232" t="s" s="0">
        <v>5652</v>
      </c>
      <c r="AX232" t="s" s="0">
        <v>5655</v>
      </c>
      <c r="AY232" t="s" s="0">
        <v>5656</v>
      </c>
      <c r="AZ232" t="s" s="0">
        <v>111</v>
      </c>
      <c r="BA232" t="s" s="0">
        <v>182</v>
      </c>
      <c r="BB232" t="s" s="0">
        <v>137</v>
      </c>
      <c r="BC232" t="s" s="0">
        <v>81</v>
      </c>
      <c r="BD232" t="s" s="0">
        <v>81</v>
      </c>
      <c r="BE232" t="s" s="0">
        <v>81</v>
      </c>
      <c r="BF232" t="s" s="0">
        <v>81</v>
      </c>
      <c r="BG232" t="s" s="0">
        <v>81</v>
      </c>
      <c r="BH232" t="s" s="0">
        <v>81</v>
      </c>
      <c r="BI232" t="s" s="0">
        <v>138</v>
      </c>
      <c r="BJ232" t="s" s="0">
        <v>5657</v>
      </c>
      <c r="BK232" t="s" s="459">
        <f>HYPERLINK("http://dx.doi.org/10.3390/horticulturae12010008","http://dx.doi.org/10.3390/horticulturae12010008")</f>
        <v>5658</v>
      </c>
      <c r="BL232" t="s" s="0">
        <v>81</v>
      </c>
      <c r="BM232" t="s" s="0">
        <v>81</v>
      </c>
      <c r="BN232" t="s" s="0">
        <v>1832</v>
      </c>
      <c r="BO232" t="s" s="0">
        <v>5659</v>
      </c>
      <c r="BP232" t="s" s="0">
        <v>5660</v>
      </c>
      <c r="BQ232" t="s" s="0">
        <v>5661</v>
      </c>
      <c r="BR232" t="s" s="0">
        <v>81</v>
      </c>
      <c r="BS232" t="s" s="0">
        <v>5662</v>
      </c>
      <c r="BT232" t="s" s="460">
        <f>HYPERLINK("https://www.webofscience.com/wos/woscc/full-record/WOS:001670553200001","View Record in Web of Science")</f>
        <v>123</v>
      </c>
      <c r="BU232" t="s" s="0">
        <v>191</v>
      </c>
      <c r="BV232" t="s" s="0">
        <v>81</v>
      </c>
      <c r="BW232" t="s" s="0">
        <v>81</v>
      </c>
      <c r="BX232" t="s" s="0">
        <v>124</v>
      </c>
    </row>
    <row r="233">
      <c r="A233" t="s" s="0">
        <v>77</v>
      </c>
      <c r="B233" t="s" s="0">
        <v>77</v>
      </c>
      <c r="C233" t="s" s="0">
        <v>77</v>
      </c>
      <c r="D233" t="s" s="0">
        <v>77</v>
      </c>
      <c r="E233" t="s" s="0">
        <v>5663</v>
      </c>
      <c r="F233" t="s" s="0">
        <v>5664</v>
      </c>
      <c r="G233" t="s" s="0">
        <v>5665</v>
      </c>
      <c r="H233" t="s" s="0">
        <v>81</v>
      </c>
      <c r="I233" t="s" s="0">
        <v>195</v>
      </c>
      <c r="J233" t="s" s="0">
        <v>5666</v>
      </c>
      <c r="K233" t="s" s="0">
        <v>5667</v>
      </c>
      <c r="L233" t="s" s="0">
        <v>81</v>
      </c>
      <c r="M233" t="s" s="0">
        <v>81</v>
      </c>
      <c r="N233" t="s" s="0">
        <v>81</v>
      </c>
      <c r="O233" t="s" s="0">
        <v>5668</v>
      </c>
      <c r="P233" t="s" s="0">
        <v>5669</v>
      </c>
      <c r="Q233" t="s" s="0">
        <v>90</v>
      </c>
      <c r="R233" t="s" s="0">
        <v>81</v>
      </c>
      <c r="S233" t="s" s="0">
        <v>81</v>
      </c>
      <c r="T233" t="s" s="0">
        <v>81</v>
      </c>
      <c r="U233" t="s" s="0">
        <v>81</v>
      </c>
      <c r="V233" t="s" s="0">
        <v>5670</v>
      </c>
      <c r="W233" t="s" s="0">
        <v>5671</v>
      </c>
      <c r="X233" t="s" s="0">
        <v>81</v>
      </c>
      <c r="Y233" t="s" s="0">
        <v>81</v>
      </c>
      <c r="Z233" t="s" s="0">
        <v>93</v>
      </c>
      <c r="AA233" t="s" s="0">
        <v>94</v>
      </c>
      <c r="AB233" t="s" s="0">
        <v>81</v>
      </c>
      <c r="AC233" t="s" s="0">
        <v>81</v>
      </c>
      <c r="AD233" t="s" s="0">
        <v>81</v>
      </c>
      <c r="AE233" t="s" s="0">
        <v>81</v>
      </c>
      <c r="AF233" t="s" s="0">
        <v>81</v>
      </c>
      <c r="AG233" t="s" s="0">
        <v>5672</v>
      </c>
      <c r="AH233" t="s" s="0">
        <v>5673</v>
      </c>
      <c r="AI233" t="s" s="0">
        <v>81</v>
      </c>
      <c r="AJ233" t="s" s="0">
        <v>81</v>
      </c>
      <c r="AK233" t="s" s="0">
        <v>81</v>
      </c>
      <c r="AL233" t="s" s="0">
        <v>171</v>
      </c>
      <c r="AM233" t="s" s="0">
        <v>77</v>
      </c>
      <c r="AN233" t="s" s="0">
        <v>77</v>
      </c>
      <c r="AO233" t="s" s="0">
        <v>137</v>
      </c>
      <c r="AP233" t="s" s="0">
        <v>137</v>
      </c>
      <c r="AQ233" t="s" s="0">
        <v>140</v>
      </c>
      <c r="AR233" t="s" s="0">
        <v>141</v>
      </c>
      <c r="AS233" t="s" s="0">
        <v>142</v>
      </c>
      <c r="AT233" t="s" s="0">
        <v>81</v>
      </c>
      <c r="AU233" t="s" s="0">
        <v>5674</v>
      </c>
      <c r="AV233" t="s" s="0">
        <v>81</v>
      </c>
      <c r="AW233" t="s" s="0">
        <v>5675</v>
      </c>
      <c r="AX233" t="s" s="0">
        <v>5676</v>
      </c>
      <c r="AY233" t="s" s="0">
        <v>1967</v>
      </c>
      <c r="AZ233" t="s" s="0">
        <v>212</v>
      </c>
      <c r="BA233" t="s" s="0">
        <v>213</v>
      </c>
      <c r="BB233" t="s" s="0">
        <v>81</v>
      </c>
      <c r="BC233" t="s" s="0">
        <v>81</v>
      </c>
      <c r="BD233" t="s" s="0">
        <v>81</v>
      </c>
      <c r="BE233" t="s" s="0">
        <v>81</v>
      </c>
      <c r="BF233" t="s" s="0">
        <v>81</v>
      </c>
      <c r="BG233" t="s" s="0">
        <v>81</v>
      </c>
      <c r="BH233" t="s" s="0">
        <v>81</v>
      </c>
      <c r="BI233" t="s" s="0">
        <v>5677</v>
      </c>
      <c r="BJ233" t="s" s="0">
        <v>5678</v>
      </c>
      <c r="BK233" t="s" s="461">
        <f>HYPERLINK("http://dx.doi.org/10.1016/j.atech.2026.102038","http://dx.doi.org/10.1016/j.atech.2026.102038")</f>
        <v>5679</v>
      </c>
      <c r="BL233" t="s" s="0">
        <v>81</v>
      </c>
      <c r="BM233" t="s" s="0">
        <v>81</v>
      </c>
      <c r="BN233" t="s" s="0">
        <v>1110</v>
      </c>
      <c r="BO233" t="s" s="0">
        <v>5680</v>
      </c>
      <c r="BP233" t="s" s="0">
        <v>5660</v>
      </c>
      <c r="BQ233" t="s" s="0">
        <v>5681</v>
      </c>
      <c r="BR233" t="s" s="0">
        <v>81</v>
      </c>
      <c r="BS233" t="s" s="0">
        <v>5682</v>
      </c>
      <c r="BT233" t="s" s="462">
        <f>HYPERLINK("https://www.webofscience.com/wos/woscc/full-record/WOS:001733427300001","View Record in Web of Science")</f>
        <v>123</v>
      </c>
      <c r="BU233" t="s" s="0">
        <v>222</v>
      </c>
      <c r="BV233" t="s" s="0">
        <v>81</v>
      </c>
      <c r="BW233" t="s" s="0">
        <v>81</v>
      </c>
      <c r="BX233" t="s" s="0">
        <v>124</v>
      </c>
    </row>
    <row r="234">
      <c r="A234" t="s" s="0">
        <v>77</v>
      </c>
      <c r="B234" t="s" s="0">
        <v>77</v>
      </c>
      <c r="C234" t="s" s="0">
        <v>77</v>
      </c>
      <c r="D234" t="s" s="0">
        <v>77</v>
      </c>
      <c r="E234" t="s" s="0">
        <v>5683</v>
      </c>
      <c r="F234" t="s" s="0">
        <v>5684</v>
      </c>
      <c r="G234" t="s" s="0">
        <v>5685</v>
      </c>
      <c r="H234" t="s" s="0">
        <v>81</v>
      </c>
      <c r="I234" t="s" s="0">
        <v>82</v>
      </c>
      <c r="J234" t="s" s="0">
        <v>5686</v>
      </c>
      <c r="K234" t="s" s="0">
        <v>5687</v>
      </c>
      <c r="L234" t="s" s="0">
        <v>5688</v>
      </c>
      <c r="M234" t="s" s="0">
        <v>5689</v>
      </c>
      <c r="N234" t="s" s="0">
        <v>5690</v>
      </c>
      <c r="O234" t="s" s="0">
        <v>5691</v>
      </c>
      <c r="P234" t="s" s="0">
        <v>5692</v>
      </c>
      <c r="Q234" t="s" s="0">
        <v>90</v>
      </c>
      <c r="R234" t="s" s="0">
        <v>81</v>
      </c>
      <c r="S234" t="s" s="0">
        <v>81</v>
      </c>
      <c r="T234" t="s" s="0">
        <v>81</v>
      </c>
      <c r="U234" t="s" s="0">
        <v>81</v>
      </c>
      <c r="V234" t="s" s="0">
        <v>5693</v>
      </c>
      <c r="W234" t="s" s="0">
        <v>3823</v>
      </c>
      <c r="X234" t="s" s="0">
        <v>81</v>
      </c>
      <c r="Y234" t="s" s="0">
        <v>81</v>
      </c>
      <c r="Z234" t="s" s="0">
        <v>93</v>
      </c>
      <c r="AA234" t="s" s="0">
        <v>94</v>
      </c>
      <c r="AB234" t="s" s="0">
        <v>81</v>
      </c>
      <c r="AC234" t="s" s="0">
        <v>81</v>
      </c>
      <c r="AD234" t="s" s="0">
        <v>81</v>
      </c>
      <c r="AE234" t="s" s="0">
        <v>81</v>
      </c>
      <c r="AF234" t="s" s="0">
        <v>81</v>
      </c>
      <c r="AG234" t="s" s="0">
        <v>5694</v>
      </c>
      <c r="AH234" t="s" s="0">
        <v>5695</v>
      </c>
      <c r="AI234" t="s" s="0">
        <v>5696</v>
      </c>
      <c r="AJ234" t="s" s="0">
        <v>5697</v>
      </c>
      <c r="AK234" t="s" s="0">
        <v>81</v>
      </c>
      <c r="AL234" t="s" s="0">
        <v>1330</v>
      </c>
      <c r="AM234" t="s" s="0">
        <v>137</v>
      </c>
      <c r="AN234" t="s" s="0">
        <v>137</v>
      </c>
      <c r="AO234" t="s" s="0">
        <v>301</v>
      </c>
      <c r="AP234" t="s" s="0">
        <v>213</v>
      </c>
      <c r="AQ234" t="s" s="0">
        <v>786</v>
      </c>
      <c r="AR234" t="s" s="0">
        <v>787</v>
      </c>
      <c r="AS234" t="s" s="0">
        <v>788</v>
      </c>
      <c r="AT234" t="s" s="0">
        <v>3827</v>
      </c>
      <c r="AU234" t="s" s="0">
        <v>3828</v>
      </c>
      <c r="AV234" t="s" s="0">
        <v>81</v>
      </c>
      <c r="AW234" t="s" s="0">
        <v>3823</v>
      </c>
      <c r="AX234" t="s" s="0">
        <v>3829</v>
      </c>
      <c r="AY234" t="s" s="0">
        <v>763</v>
      </c>
      <c r="AZ234" t="s" s="0">
        <v>212</v>
      </c>
      <c r="BA234" t="s" s="0">
        <v>2019</v>
      </c>
      <c r="BB234" t="s" s="0">
        <v>81</v>
      </c>
      <c r="BC234" t="s" s="0">
        <v>81</v>
      </c>
      <c r="BD234" t="s" s="0">
        <v>81</v>
      </c>
      <c r="BE234" t="s" s="0">
        <v>81</v>
      </c>
      <c r="BF234" t="s" s="0">
        <v>81</v>
      </c>
      <c r="BG234" t="s" s="0">
        <v>81</v>
      </c>
      <c r="BH234" t="s" s="0">
        <v>81</v>
      </c>
      <c r="BI234" t="s" s="0">
        <v>5698</v>
      </c>
      <c r="BJ234" t="s" s="0">
        <v>5699</v>
      </c>
      <c r="BK234" t="s" s="463">
        <f>HYPERLINK("http://dx.doi.org/10.1016/j.neunet.2025.108057","http://dx.doi.org/10.1016/j.neunet.2025.108057")</f>
        <v>5700</v>
      </c>
      <c r="BL234" t="s" s="0">
        <v>81</v>
      </c>
      <c r="BM234" t="s" s="0">
        <v>110</v>
      </c>
      <c r="BN234" t="s" s="0">
        <v>213</v>
      </c>
      <c r="BO234" t="s" s="0">
        <v>3834</v>
      </c>
      <c r="BP234" t="s" s="0">
        <v>3835</v>
      </c>
      <c r="BQ234" t="s" s="0">
        <v>5701</v>
      </c>
      <c r="BR234" t="s" s="0">
        <v>5702</v>
      </c>
      <c r="BS234" t="s" s="0">
        <v>5703</v>
      </c>
      <c r="BT234" t="s" s="464">
        <f>HYPERLINK("https://www.webofscience.com/wos/woscc/full-record/WOS:001568140000001","View Record in Web of Science")</f>
        <v>123</v>
      </c>
      <c r="BU234" t="s" s="0">
        <v>81</v>
      </c>
      <c r="BV234" t="s" s="0">
        <v>81</v>
      </c>
      <c r="BW234" t="s" s="0">
        <v>81</v>
      </c>
      <c r="BX234" t="s" s="0">
        <v>124</v>
      </c>
    </row>
    <row r="235">
      <c r="A235" t="s" s="0">
        <v>77</v>
      </c>
      <c r="B235" t="s" s="0">
        <v>77</v>
      </c>
      <c r="C235" t="s" s="0">
        <v>77</v>
      </c>
      <c r="D235" t="s" s="0">
        <v>77</v>
      </c>
      <c r="E235" t="s" s="0">
        <v>5704</v>
      </c>
      <c r="F235" t="s" s="0">
        <v>5705</v>
      </c>
      <c r="G235" t="s" s="0">
        <v>5706</v>
      </c>
      <c r="H235" t="s" s="0">
        <v>81</v>
      </c>
      <c r="I235" t="s" s="0">
        <v>82</v>
      </c>
      <c r="J235" t="s" s="0">
        <v>5707</v>
      </c>
      <c r="K235" t="s" s="0">
        <v>5708</v>
      </c>
      <c r="L235" t="s" s="0">
        <v>5709</v>
      </c>
      <c r="M235" t="s" s="0">
        <v>5710</v>
      </c>
      <c r="N235" t="s" s="0">
        <v>5711</v>
      </c>
      <c r="O235" t="s" s="0">
        <v>5712</v>
      </c>
      <c r="P235" t="s" s="0">
        <v>5713</v>
      </c>
      <c r="Q235" t="s" s="0">
        <v>90</v>
      </c>
      <c r="R235" t="s" s="0">
        <v>81</v>
      </c>
      <c r="S235" t="s" s="0">
        <v>81</v>
      </c>
      <c r="T235" t="s" s="0">
        <v>81</v>
      </c>
      <c r="U235" t="s" s="0">
        <v>81</v>
      </c>
      <c r="V235" t="s" s="0">
        <v>5714</v>
      </c>
      <c r="W235" t="s" s="0">
        <v>5715</v>
      </c>
      <c r="X235" t="s" s="0">
        <v>81</v>
      </c>
      <c r="Y235" t="s" s="0">
        <v>81</v>
      </c>
      <c r="Z235" t="s" s="0">
        <v>93</v>
      </c>
      <c r="AA235" t="s" s="0">
        <v>94</v>
      </c>
      <c r="AB235" t="s" s="0">
        <v>81</v>
      </c>
      <c r="AC235" t="s" s="0">
        <v>81</v>
      </c>
      <c r="AD235" t="s" s="0">
        <v>81</v>
      </c>
      <c r="AE235" t="s" s="0">
        <v>81</v>
      </c>
      <c r="AF235" t="s" s="0">
        <v>81</v>
      </c>
      <c r="AG235" t="s" s="0">
        <v>5716</v>
      </c>
      <c r="AH235" t="s" s="0">
        <v>5717</v>
      </c>
      <c r="AI235" t="s" s="0">
        <v>5718</v>
      </c>
      <c r="AJ235" t="s" s="0">
        <v>5719</v>
      </c>
      <c r="AK235" t="s" s="0">
        <v>81</v>
      </c>
      <c r="AL235" t="s" s="0">
        <v>139</v>
      </c>
      <c r="AM235" t="s" s="0">
        <v>101</v>
      </c>
      <c r="AN235" t="s" s="0">
        <v>100</v>
      </c>
      <c r="AO235" t="s" s="0">
        <v>100</v>
      </c>
      <c r="AP235" t="s" s="0">
        <v>2525</v>
      </c>
      <c r="AQ235" t="s" s="0">
        <v>5720</v>
      </c>
      <c r="AR235" t="s" s="0">
        <v>5721</v>
      </c>
      <c r="AS235" t="s" s="0">
        <v>5722</v>
      </c>
      <c r="AT235" t="s" s="0">
        <v>81</v>
      </c>
      <c r="AU235" t="s" s="0">
        <v>5723</v>
      </c>
      <c r="AV235" t="s" s="0">
        <v>81</v>
      </c>
      <c r="AW235" t="s" s="0">
        <v>5724</v>
      </c>
      <c r="AX235" t="s" s="0">
        <v>5725</v>
      </c>
      <c r="AY235" t="s" s="0">
        <v>181</v>
      </c>
      <c r="AZ235" t="s" s="0">
        <v>181</v>
      </c>
      <c r="BA235" t="s" s="0">
        <v>138</v>
      </c>
      <c r="BB235" t="s" s="0">
        <v>172</v>
      </c>
      <c r="BC235" t="s" s="0">
        <v>81</v>
      </c>
      <c r="BD235" t="s" s="0">
        <v>81</v>
      </c>
      <c r="BE235" t="s" s="0">
        <v>81</v>
      </c>
      <c r="BF235" t="s" s="0">
        <v>81</v>
      </c>
      <c r="BG235" t="s" s="0">
        <v>5726</v>
      </c>
      <c r="BH235" t="s" s="0">
        <v>5727</v>
      </c>
      <c r="BI235" t="s" s="0">
        <v>81</v>
      </c>
      <c r="BJ235" t="s" s="0">
        <v>5728</v>
      </c>
      <c r="BK235" t="s" s="465">
        <f>HYPERLINK("http://dx.doi.org/10.3934/math.20231169","http://dx.doi.org/10.3934/math.20231169")</f>
        <v>5729</v>
      </c>
      <c r="BL235" t="s" s="0">
        <v>81</v>
      </c>
      <c r="BM235" t="s" s="0">
        <v>81</v>
      </c>
      <c r="BN235" t="s" s="0">
        <v>652</v>
      </c>
      <c r="BO235" t="s" s="0">
        <v>5730</v>
      </c>
      <c r="BP235" t="s" s="0">
        <v>1360</v>
      </c>
      <c r="BQ235" t="s" s="0">
        <v>5731</v>
      </c>
      <c r="BR235" t="s" s="0">
        <v>81</v>
      </c>
      <c r="BS235" t="s" s="0">
        <v>5732</v>
      </c>
      <c r="BT235" t="s" s="466">
        <f>HYPERLINK("https://www.webofscience.com/wos/woscc/full-record/WOS:001038431500007","View Record in Web of Science")</f>
        <v>123</v>
      </c>
      <c r="BU235" t="s" s="0">
        <v>191</v>
      </c>
      <c r="BV235" t="s" s="0">
        <v>81</v>
      </c>
      <c r="BW235" t="s" s="0">
        <v>81</v>
      </c>
      <c r="BX235" t="s" s="0">
        <v>124</v>
      </c>
    </row>
    <row r="236">
      <c r="A236" t="s" s="0">
        <v>77</v>
      </c>
      <c r="B236" t="s" s="0">
        <v>77</v>
      </c>
      <c r="C236" t="s" s="0">
        <v>77</v>
      </c>
      <c r="D236" t="s" s="0">
        <v>77</v>
      </c>
      <c r="E236" t="s" s="0">
        <v>5733</v>
      </c>
      <c r="F236" t="s" s="0">
        <v>5734</v>
      </c>
      <c r="G236" t="s" s="0">
        <v>5735</v>
      </c>
      <c r="H236" t="s" s="0">
        <v>81</v>
      </c>
      <c r="I236" t="s" s="0">
        <v>82</v>
      </c>
      <c r="J236" t="s" s="0">
        <v>5736</v>
      </c>
      <c r="K236" t="s" s="0">
        <v>5737</v>
      </c>
      <c r="L236" t="s" s="0">
        <v>5738</v>
      </c>
      <c r="M236" t="s" s="0">
        <v>5739</v>
      </c>
      <c r="N236" t="s" s="0">
        <v>5740</v>
      </c>
      <c r="O236" t="s" s="0">
        <v>5741</v>
      </c>
      <c r="P236" t="s" s="0">
        <v>5742</v>
      </c>
      <c r="Q236" t="s" s="0">
        <v>90</v>
      </c>
      <c r="R236" t="s" s="0">
        <v>81</v>
      </c>
      <c r="S236" t="s" s="0">
        <v>81</v>
      </c>
      <c r="T236" t="s" s="0">
        <v>81</v>
      </c>
      <c r="U236" t="s" s="0">
        <v>81</v>
      </c>
      <c r="V236" t="s" s="0">
        <v>5743</v>
      </c>
      <c r="W236" t="s" s="0">
        <v>5744</v>
      </c>
      <c r="X236" t="s" s="0">
        <v>81</v>
      </c>
      <c r="Y236" t="s" s="0">
        <v>81</v>
      </c>
      <c r="Z236" t="s" s="0">
        <v>93</v>
      </c>
      <c r="AA236" t="s" s="0">
        <v>94</v>
      </c>
      <c r="AB236" t="s" s="0">
        <v>81</v>
      </c>
      <c r="AC236" t="s" s="0">
        <v>81</v>
      </c>
      <c r="AD236" t="s" s="0">
        <v>81</v>
      </c>
      <c r="AE236" t="s" s="0">
        <v>81</v>
      </c>
      <c r="AF236" t="s" s="0">
        <v>81</v>
      </c>
      <c r="AG236" t="s" s="0">
        <v>5745</v>
      </c>
      <c r="AH236" t="s" s="0">
        <v>5746</v>
      </c>
      <c r="AI236" t="s" s="0">
        <v>5747</v>
      </c>
      <c r="AJ236" t="s" s="0">
        <v>81</v>
      </c>
      <c r="AK236" t="s" s="0">
        <v>81</v>
      </c>
      <c r="AL236" t="s" s="0">
        <v>915</v>
      </c>
      <c r="AM236" t="s" s="0">
        <v>77</v>
      </c>
      <c r="AN236" t="s" s="0">
        <v>77</v>
      </c>
      <c r="AO236" t="s" s="0">
        <v>77</v>
      </c>
      <c r="AP236" t="s" s="0">
        <v>77</v>
      </c>
      <c r="AQ236" t="s" s="0">
        <v>588</v>
      </c>
      <c r="AR236" t="s" s="0">
        <v>589</v>
      </c>
      <c r="AS236" t="s" s="0">
        <v>590</v>
      </c>
      <c r="AT236" t="s" s="0">
        <v>5748</v>
      </c>
      <c r="AU236" t="s" s="0">
        <v>5749</v>
      </c>
      <c r="AV236" t="s" s="0">
        <v>81</v>
      </c>
      <c r="AW236" t="s" s="0">
        <v>5750</v>
      </c>
      <c r="AX236" t="s" s="0">
        <v>5751</v>
      </c>
      <c r="AY236" t="s" s="0">
        <v>212</v>
      </c>
      <c r="AZ236" t="s" s="0">
        <v>212</v>
      </c>
      <c r="BA236" t="s" s="0">
        <v>895</v>
      </c>
      <c r="BB236" t="s" s="0">
        <v>81</v>
      </c>
      <c r="BC236" t="s" s="0">
        <v>81</v>
      </c>
      <c r="BD236" t="s" s="0">
        <v>81</v>
      </c>
      <c r="BE236" t="s" s="0">
        <v>81</v>
      </c>
      <c r="BF236" t="s" s="0">
        <v>81</v>
      </c>
      <c r="BG236" t="s" s="0">
        <v>5752</v>
      </c>
      <c r="BH236" t="s" s="0">
        <v>5753</v>
      </c>
      <c r="BI236" t="s" s="0">
        <v>81</v>
      </c>
      <c r="BJ236" t="s" s="0">
        <v>5754</v>
      </c>
      <c r="BK236" t="s" s="467">
        <f>HYPERLINK("http://dx.doi.org/10.1109/TASE.2026.3713693","http://dx.doi.org/10.1109/TASE.2026.3713693")</f>
        <v>5755</v>
      </c>
      <c r="BL236" t="s" s="0">
        <v>81</v>
      </c>
      <c r="BM236" t="s" s="0">
        <v>81</v>
      </c>
      <c r="BN236" t="s" s="0">
        <v>182</v>
      </c>
      <c r="BO236" t="s" s="0">
        <v>5756</v>
      </c>
      <c r="BP236" t="s" s="0">
        <v>5756</v>
      </c>
      <c r="BQ236" t="s" s="0">
        <v>5757</v>
      </c>
      <c r="BR236" t="s" s="0">
        <v>81</v>
      </c>
      <c r="BS236" t="s" s="0">
        <v>5758</v>
      </c>
      <c r="BT236" t="s" s="468">
        <f>HYPERLINK("https://www.webofscience.com/wos/woscc/full-record/WOS:001835561800004","View Record in Web of Science")</f>
        <v>123</v>
      </c>
      <c r="BU236" t="s" s="0">
        <v>81</v>
      </c>
      <c r="BV236" t="s" s="0">
        <v>81</v>
      </c>
      <c r="BW236" t="s" s="0">
        <v>81</v>
      </c>
      <c r="BX236" t="s" s="0">
        <v>124</v>
      </c>
    </row>
    <row r="237">
      <c r="A237" t="s" s="0">
        <v>137</v>
      </c>
      <c r="B237" t="s" s="0">
        <v>77</v>
      </c>
      <c r="C237" t="s" s="0">
        <v>399</v>
      </c>
      <c r="D237" t="s" s="0">
        <v>77</v>
      </c>
      <c r="E237" t="s" s="0">
        <v>5759</v>
      </c>
      <c r="F237" t="s" s="0">
        <v>5760</v>
      </c>
      <c r="G237" t="s" s="0">
        <v>5761</v>
      </c>
      <c r="H237" t="s" s="0">
        <v>81</v>
      </c>
      <c r="I237" t="s" s="0">
        <v>82</v>
      </c>
      <c r="J237" t="s" s="0">
        <v>5762</v>
      </c>
      <c r="K237" t="s" s="0">
        <v>5763</v>
      </c>
      <c r="L237" t="s" s="0">
        <v>81</v>
      </c>
      <c r="M237" t="s" s="0">
        <v>81</v>
      </c>
      <c r="N237" t="s" s="0">
        <v>81</v>
      </c>
      <c r="O237" t="s" s="0">
        <v>5764</v>
      </c>
      <c r="P237" t="s" s="0">
        <v>5765</v>
      </c>
      <c r="Q237" t="s" s="0">
        <v>90</v>
      </c>
      <c r="R237" t="s" s="0">
        <v>81</v>
      </c>
      <c r="S237" t="s" s="0">
        <v>81</v>
      </c>
      <c r="T237" t="s" s="0">
        <v>81</v>
      </c>
      <c r="U237" t="s" s="0">
        <v>81</v>
      </c>
      <c r="V237" t="s" s="0">
        <v>5766</v>
      </c>
      <c r="W237" t="s" s="0">
        <v>780</v>
      </c>
      <c r="X237" t="s" s="0">
        <v>81</v>
      </c>
      <c r="Y237" t="s" s="0">
        <v>81</v>
      </c>
      <c r="Z237" t="s" s="0">
        <v>93</v>
      </c>
      <c r="AA237" t="s" s="0">
        <v>94</v>
      </c>
      <c r="AB237" t="s" s="0">
        <v>81</v>
      </c>
      <c r="AC237" t="s" s="0">
        <v>81</v>
      </c>
      <c r="AD237" t="s" s="0">
        <v>81</v>
      </c>
      <c r="AE237" t="s" s="0">
        <v>81</v>
      </c>
      <c r="AF237" t="s" s="0">
        <v>81</v>
      </c>
      <c r="AG237" t="s" s="0">
        <v>5767</v>
      </c>
      <c r="AH237" t="s" s="0">
        <v>5768</v>
      </c>
      <c r="AI237" t="s" s="0">
        <v>5769</v>
      </c>
      <c r="AJ237" t="s" s="0">
        <v>5770</v>
      </c>
      <c r="AK237" t="s" s="0">
        <v>81</v>
      </c>
      <c r="AL237" t="s" s="0">
        <v>448</v>
      </c>
      <c r="AM237" t="s" s="0">
        <v>676</v>
      </c>
      <c r="AN237" t="s" s="0">
        <v>566</v>
      </c>
      <c r="AO237" t="s" s="0">
        <v>137</v>
      </c>
      <c r="AP237" t="s" s="0">
        <v>5771</v>
      </c>
      <c r="AQ237" t="s" s="0">
        <v>786</v>
      </c>
      <c r="AR237" t="s" s="0">
        <v>787</v>
      </c>
      <c r="AS237" t="s" s="0">
        <v>788</v>
      </c>
      <c r="AT237" t="s" s="0">
        <v>789</v>
      </c>
      <c r="AU237" t="s" s="0">
        <v>790</v>
      </c>
      <c r="AV237" t="s" s="0">
        <v>81</v>
      </c>
      <c r="AW237" t="s" s="0">
        <v>791</v>
      </c>
      <c r="AX237" t="s" s="0">
        <v>792</v>
      </c>
      <c r="AY237" t="s" s="0">
        <v>5772</v>
      </c>
      <c r="AZ237" t="s" s="0">
        <v>181</v>
      </c>
      <c r="BA237" t="s" s="0">
        <v>654</v>
      </c>
      <c r="BB237" t="s" s="0">
        <v>81</v>
      </c>
      <c r="BC237" t="s" s="0">
        <v>81</v>
      </c>
      <c r="BD237" t="s" s="0">
        <v>81</v>
      </c>
      <c r="BE237" t="s" s="0">
        <v>81</v>
      </c>
      <c r="BF237" t="s" s="0">
        <v>81</v>
      </c>
      <c r="BG237" t="s" s="0">
        <v>81</v>
      </c>
      <c r="BH237" t="s" s="0">
        <v>81</v>
      </c>
      <c r="BI237" t="s" s="0">
        <v>5773</v>
      </c>
      <c r="BJ237" t="s" s="0">
        <v>5774</v>
      </c>
      <c r="BK237" t="s" s="469">
        <f>HYPERLINK("http://dx.doi.org/10.1016/j.compmedimag.2022.102176","http://dx.doi.org/10.1016/j.compmedimag.2022.102176")</f>
        <v>5775</v>
      </c>
      <c r="BL237" t="s" s="0">
        <v>81</v>
      </c>
      <c r="BM237" t="s" s="0">
        <v>1658</v>
      </c>
      <c r="BN237" t="s" s="0">
        <v>152</v>
      </c>
      <c r="BO237" t="s" s="0">
        <v>799</v>
      </c>
      <c r="BP237" t="s" s="0">
        <v>800</v>
      </c>
      <c r="BQ237" t="s" s="0">
        <v>5776</v>
      </c>
      <c r="BR237" t="s" s="0">
        <v>5777</v>
      </c>
      <c r="BS237" t="s" s="0">
        <v>5778</v>
      </c>
      <c r="BT237" t="s" s="470">
        <f>HYPERLINK("https://www.webofscience.com/wos/woscc/full-record/WOS:000924290500001","View Record in Web of Science")</f>
        <v>123</v>
      </c>
      <c r="BU237" t="s" s="0">
        <v>81</v>
      </c>
      <c r="BV237" t="s" s="0">
        <v>81</v>
      </c>
      <c r="BW237" t="s" s="0">
        <v>81</v>
      </c>
      <c r="BX237" t="s" s="0">
        <v>124</v>
      </c>
    </row>
    <row r="238">
      <c r="A238" t="s" s="0">
        <v>77</v>
      </c>
      <c r="B238" t="s" s="0">
        <v>77</v>
      </c>
      <c r="C238" t="s" s="0">
        <v>77</v>
      </c>
      <c r="D238" t="s" s="0">
        <v>77</v>
      </c>
      <c r="E238" t="s" s="0">
        <v>5779</v>
      </c>
      <c r="F238" t="s" s="0">
        <v>5780</v>
      </c>
      <c r="G238" t="s" s="0">
        <v>5781</v>
      </c>
      <c r="H238" t="s" s="0">
        <v>81</v>
      </c>
      <c r="I238" t="s" s="0">
        <v>82</v>
      </c>
      <c r="J238" t="s" s="0">
        <v>5782</v>
      </c>
      <c r="K238" t="s" s="0">
        <v>5783</v>
      </c>
      <c r="L238" t="s" s="0">
        <v>5784</v>
      </c>
      <c r="M238" t="s" s="0">
        <v>5785</v>
      </c>
      <c r="N238" t="s" s="0">
        <v>5786</v>
      </c>
      <c r="O238" t="s" s="0">
        <v>5787</v>
      </c>
      <c r="P238" t="s" s="0">
        <v>5788</v>
      </c>
      <c r="Q238" t="s" s="0">
        <v>90</v>
      </c>
      <c r="R238" t="s" s="0">
        <v>81</v>
      </c>
      <c r="S238" t="s" s="0">
        <v>81</v>
      </c>
      <c r="T238" t="s" s="0">
        <v>81</v>
      </c>
      <c r="U238" t="s" s="0">
        <v>81</v>
      </c>
      <c r="V238" t="s" s="0">
        <v>5789</v>
      </c>
      <c r="W238" t="s" s="0">
        <v>5790</v>
      </c>
      <c r="X238" t="s" s="0">
        <v>81</v>
      </c>
      <c r="Y238" t="s" s="0">
        <v>81</v>
      </c>
      <c r="Z238" t="s" s="0">
        <v>93</v>
      </c>
      <c r="AA238" t="s" s="0">
        <v>94</v>
      </c>
      <c r="AB238" t="s" s="0">
        <v>81</v>
      </c>
      <c r="AC238" t="s" s="0">
        <v>81</v>
      </c>
      <c r="AD238" t="s" s="0">
        <v>81</v>
      </c>
      <c r="AE238" t="s" s="0">
        <v>81</v>
      </c>
      <c r="AF238" t="s" s="0">
        <v>81</v>
      </c>
      <c r="AG238" t="s" s="0">
        <v>5791</v>
      </c>
      <c r="AH238" t="s" s="0">
        <v>81</v>
      </c>
      <c r="AI238" t="s" s="0">
        <v>81</v>
      </c>
      <c r="AJ238" t="s" s="0">
        <v>81</v>
      </c>
      <c r="AK238" t="s" s="0">
        <v>81</v>
      </c>
      <c r="AL238" t="s" s="0">
        <v>390</v>
      </c>
      <c r="AM238" t="s" s="0">
        <v>77</v>
      </c>
      <c r="AN238" t="s" s="0">
        <v>77</v>
      </c>
      <c r="AO238" t="s" s="0">
        <v>333</v>
      </c>
      <c r="AP238" t="s" s="0">
        <v>333</v>
      </c>
      <c r="AQ238" t="s" s="0">
        <v>449</v>
      </c>
      <c r="AR238" t="s" s="0">
        <v>450</v>
      </c>
      <c r="AS238" t="s" s="0">
        <v>451</v>
      </c>
      <c r="AT238" t="s" s="0">
        <v>5792</v>
      </c>
      <c r="AU238" t="s" s="0">
        <v>5793</v>
      </c>
      <c r="AV238" t="s" s="0">
        <v>81</v>
      </c>
      <c r="AW238" t="s" s="0">
        <v>5794</v>
      </c>
      <c r="AX238" t="s" s="0">
        <v>5795</v>
      </c>
      <c r="AY238" t="s" s="0">
        <v>5796</v>
      </c>
      <c r="AZ238" t="s" s="0">
        <v>212</v>
      </c>
      <c r="BA238" t="s" s="0">
        <v>1747</v>
      </c>
      <c r="BB238" t="s" s="0">
        <v>158</v>
      </c>
      <c r="BC238" t="s" s="0">
        <v>81</v>
      </c>
      <c r="BD238" t="s" s="0">
        <v>81</v>
      </c>
      <c r="BE238" t="s" s="0">
        <v>81</v>
      </c>
      <c r="BF238" t="s" s="0">
        <v>81</v>
      </c>
      <c r="BG238" t="s" s="0">
        <v>81</v>
      </c>
      <c r="BH238" t="s" s="0">
        <v>81</v>
      </c>
      <c r="BI238" t="s" s="0">
        <v>5797</v>
      </c>
      <c r="BJ238" t="s" s="0">
        <v>5798</v>
      </c>
      <c r="BK238" t="s" s="471">
        <f>HYPERLINK("http://dx.doi.org/10.1002/mp.70450","http://dx.doi.org/10.1002/mp.70450")</f>
        <v>5799</v>
      </c>
      <c r="BL238" t="s" s="0">
        <v>81</v>
      </c>
      <c r="BM238" t="s" s="0">
        <v>81</v>
      </c>
      <c r="BN238" t="s" s="0">
        <v>213</v>
      </c>
      <c r="BO238" t="s" s="0">
        <v>519</v>
      </c>
      <c r="BP238" t="s" s="0">
        <v>519</v>
      </c>
      <c r="BQ238" t="s" s="0">
        <v>5800</v>
      </c>
      <c r="BR238" t="s" s="0">
        <v>5801</v>
      </c>
      <c r="BS238" t="s" s="0">
        <v>5802</v>
      </c>
      <c r="BT238" t="s" s="472">
        <f>HYPERLINK("https://www.webofscience.com/wos/woscc/full-record/WOS:001752168200001","View Record in Web of Science")</f>
        <v>123</v>
      </c>
      <c r="BU238" t="s" s="0">
        <v>81</v>
      </c>
      <c r="BV238" t="s" s="0">
        <v>81</v>
      </c>
      <c r="BW238" t="s" s="0">
        <v>81</v>
      </c>
      <c r="BX238" t="s" s="0">
        <v>124</v>
      </c>
    </row>
    <row r="239">
      <c r="A239" t="s" s="0">
        <v>77</v>
      </c>
      <c r="B239" t="s" s="0">
        <v>77</v>
      </c>
      <c r="C239" t="s" s="0">
        <v>77</v>
      </c>
      <c r="D239" t="s" s="0">
        <v>77</v>
      </c>
      <c r="E239" t="s" s="0">
        <v>5803</v>
      </c>
      <c r="F239" t="s" s="0">
        <v>5804</v>
      </c>
      <c r="G239" t="s" s="0">
        <v>5805</v>
      </c>
      <c r="H239" t="s" s="0">
        <v>81</v>
      </c>
      <c r="I239" t="s" s="0">
        <v>82</v>
      </c>
      <c r="J239" t="s" s="0">
        <v>5806</v>
      </c>
      <c r="K239" t="s" s="0">
        <v>5807</v>
      </c>
      <c r="L239" t="s" s="0">
        <v>5808</v>
      </c>
      <c r="M239" t="s" s="0">
        <v>5809</v>
      </c>
      <c r="N239" t="s" s="0">
        <v>5810</v>
      </c>
      <c r="O239" t="s" s="0">
        <v>5811</v>
      </c>
      <c r="P239" t="s" s="0">
        <v>5812</v>
      </c>
      <c r="Q239" t="s" s="0">
        <v>90</v>
      </c>
      <c r="R239" t="s" s="0">
        <v>81</v>
      </c>
      <c r="S239" t="s" s="0">
        <v>81</v>
      </c>
      <c r="T239" t="s" s="0">
        <v>81</v>
      </c>
      <c r="U239" t="s" s="0">
        <v>81</v>
      </c>
      <c r="V239" t="s" s="0">
        <v>5813</v>
      </c>
      <c r="W239" t="s" s="0">
        <v>585</v>
      </c>
      <c r="X239" t="s" s="0">
        <v>81</v>
      </c>
      <c r="Y239" t="s" s="0">
        <v>81</v>
      </c>
      <c r="Z239" t="s" s="0">
        <v>93</v>
      </c>
      <c r="AA239" t="s" s="0">
        <v>94</v>
      </c>
      <c r="AB239" t="s" s="0">
        <v>81</v>
      </c>
      <c r="AC239" t="s" s="0">
        <v>81</v>
      </c>
      <c r="AD239" t="s" s="0">
        <v>81</v>
      </c>
      <c r="AE239" t="s" s="0">
        <v>81</v>
      </c>
      <c r="AF239" t="s" s="0">
        <v>81</v>
      </c>
      <c r="AG239" t="s" s="0">
        <v>5814</v>
      </c>
      <c r="AH239" t="s" s="0">
        <v>5815</v>
      </c>
      <c r="AI239" t="s" s="0">
        <v>5816</v>
      </c>
      <c r="AJ239" t="s" s="0">
        <v>5817</v>
      </c>
      <c r="AK239" t="s" s="0">
        <v>81</v>
      </c>
      <c r="AL239" t="s" s="0">
        <v>915</v>
      </c>
      <c r="AM239" t="s" s="0">
        <v>137</v>
      </c>
      <c r="AN239" t="s" s="0">
        <v>101</v>
      </c>
      <c r="AO239" t="s" s="0">
        <v>100</v>
      </c>
      <c r="AP239" t="s" s="0">
        <v>102</v>
      </c>
      <c r="AQ239" t="s" s="0">
        <v>588</v>
      </c>
      <c r="AR239" t="s" s="0">
        <v>589</v>
      </c>
      <c r="AS239" t="s" s="0">
        <v>590</v>
      </c>
      <c r="AT239" t="s" s="0">
        <v>591</v>
      </c>
      <c r="AU239" t="s" s="0">
        <v>592</v>
      </c>
      <c r="AV239" t="s" s="0">
        <v>81</v>
      </c>
      <c r="AW239" t="s" s="0">
        <v>593</v>
      </c>
      <c r="AX239" t="s" s="0">
        <v>594</v>
      </c>
      <c r="AY239" t="s" s="0">
        <v>1470</v>
      </c>
      <c r="AZ239" t="s" s="0">
        <v>111</v>
      </c>
      <c r="BA239" t="s" s="0">
        <v>566</v>
      </c>
      <c r="BB239" t="s" s="0">
        <v>158</v>
      </c>
      <c r="BC239" t="s" s="0">
        <v>81</v>
      </c>
      <c r="BD239" t="s" s="0">
        <v>81</v>
      </c>
      <c r="BE239" t="s" s="0">
        <v>81</v>
      </c>
      <c r="BF239" t="s" s="0">
        <v>81</v>
      </c>
      <c r="BG239" t="s" s="0">
        <v>5818</v>
      </c>
      <c r="BH239" t="s" s="0">
        <v>5819</v>
      </c>
      <c r="BI239" t="s" s="0">
        <v>81</v>
      </c>
      <c r="BJ239" t="s" s="0">
        <v>5820</v>
      </c>
      <c r="BK239" t="s" s="473">
        <f>HYPERLINK("http://dx.doi.org/10.1109/JBHI.2025.3538582","http://dx.doi.org/10.1109/JBHI.2025.3538582")</f>
        <v>5821</v>
      </c>
      <c r="BL239" t="s" s="0">
        <v>81</v>
      </c>
      <c r="BM239" t="s" s="0">
        <v>81</v>
      </c>
      <c r="BN239" t="s" s="0">
        <v>182</v>
      </c>
      <c r="BO239" t="s" s="0">
        <v>600</v>
      </c>
      <c r="BP239" t="s" s="0">
        <v>601</v>
      </c>
      <c r="BQ239" t="s" s="0">
        <v>5822</v>
      </c>
      <c r="BR239" t="s" s="0">
        <v>5823</v>
      </c>
      <c r="BS239" t="s" s="0">
        <v>5824</v>
      </c>
      <c r="BT239" t="s" s="474">
        <f>HYPERLINK("https://www.webofscience.com/wos/woscc/full-record/WOS:001484010400009","View Record in Web of Science")</f>
        <v>123</v>
      </c>
      <c r="BU239" t="s" s="0">
        <v>81</v>
      </c>
      <c r="BV239" t="s" s="0">
        <v>81</v>
      </c>
      <c r="BW239" t="s" s="0">
        <v>81</v>
      </c>
      <c r="BX239" t="s" s="0">
        <v>124</v>
      </c>
    </row>
    <row r="240">
      <c r="A240" t="s" s="0">
        <v>77</v>
      </c>
      <c r="B240" t="s" s="0">
        <v>77</v>
      </c>
      <c r="C240" t="s" s="0">
        <v>77</v>
      </c>
      <c r="D240" t="s" s="0">
        <v>77</v>
      </c>
      <c r="E240" t="s" s="0">
        <v>5825</v>
      </c>
      <c r="F240" t="s" s="0">
        <v>5826</v>
      </c>
      <c r="G240" t="s" s="0">
        <v>5827</v>
      </c>
      <c r="H240" t="s" s="0">
        <v>81</v>
      </c>
      <c r="I240" t="s" s="0">
        <v>195</v>
      </c>
      <c r="J240" t="s" s="0">
        <v>5828</v>
      </c>
      <c r="K240" t="s" s="0">
        <v>5829</v>
      </c>
      <c r="L240" t="s" s="0">
        <v>5830</v>
      </c>
      <c r="M240" t="s" s="0">
        <v>199</v>
      </c>
      <c r="N240" t="s" s="0">
        <v>5831</v>
      </c>
      <c r="O240" t="s" s="0">
        <v>5832</v>
      </c>
      <c r="P240" t="s" s="0">
        <v>5833</v>
      </c>
      <c r="Q240" t="s" s="0">
        <v>90</v>
      </c>
      <c r="R240" t="s" s="0">
        <v>81</v>
      </c>
      <c r="S240" t="s" s="0">
        <v>81</v>
      </c>
      <c r="T240" t="s" s="0">
        <v>81</v>
      </c>
      <c r="U240" t="s" s="0">
        <v>81</v>
      </c>
      <c r="V240" t="s" s="0">
        <v>5834</v>
      </c>
      <c r="W240" t="s" s="0">
        <v>5835</v>
      </c>
      <c r="X240" t="s" s="0">
        <v>81</v>
      </c>
      <c r="Y240" t="s" s="0">
        <v>81</v>
      </c>
      <c r="Z240" t="s" s="0">
        <v>93</v>
      </c>
      <c r="AA240" t="s" s="0">
        <v>94</v>
      </c>
      <c r="AB240" t="s" s="0">
        <v>81</v>
      </c>
      <c r="AC240" t="s" s="0">
        <v>81</v>
      </c>
      <c r="AD240" t="s" s="0">
        <v>81</v>
      </c>
      <c r="AE240" t="s" s="0">
        <v>81</v>
      </c>
      <c r="AF240" t="s" s="0">
        <v>81</v>
      </c>
      <c r="AG240" t="s" s="0">
        <v>5836</v>
      </c>
      <c r="AH240" t="s" s="0">
        <v>5837</v>
      </c>
      <c r="AI240" t="s" s="0">
        <v>81</v>
      </c>
      <c r="AJ240" t="s" s="0">
        <v>81</v>
      </c>
      <c r="AK240" t="s" s="0">
        <v>81</v>
      </c>
      <c r="AL240" t="s" s="0">
        <v>3373</v>
      </c>
      <c r="AM240" t="s" s="0">
        <v>77</v>
      </c>
      <c r="AN240" t="s" s="0">
        <v>77</v>
      </c>
      <c r="AO240" t="s" s="0">
        <v>137</v>
      </c>
      <c r="AP240" t="s" s="0">
        <v>137</v>
      </c>
      <c r="AQ240" t="s" s="0">
        <v>140</v>
      </c>
      <c r="AR240" t="s" s="0">
        <v>141</v>
      </c>
      <c r="AS240" t="s" s="0">
        <v>142</v>
      </c>
      <c r="AT240" t="s" s="0">
        <v>5838</v>
      </c>
      <c r="AU240" t="s" s="0">
        <v>81</v>
      </c>
      <c r="AV240" t="s" s="0">
        <v>81</v>
      </c>
      <c r="AW240" t="s" s="0">
        <v>5839</v>
      </c>
      <c r="AX240" t="s" s="0">
        <v>5840</v>
      </c>
      <c r="AY240" t="s" s="0">
        <v>244</v>
      </c>
      <c r="AZ240" t="s" s="0">
        <v>212</v>
      </c>
      <c r="BA240" t="s" s="0">
        <v>886</v>
      </c>
      <c r="BB240" t="s" s="0">
        <v>81</v>
      </c>
      <c r="BC240" t="s" s="0">
        <v>81</v>
      </c>
      <c r="BD240" t="s" s="0">
        <v>81</v>
      </c>
      <c r="BE240" t="s" s="0">
        <v>81</v>
      </c>
      <c r="BF240" t="s" s="0">
        <v>81</v>
      </c>
      <c r="BG240" t="s" s="0">
        <v>81</v>
      </c>
      <c r="BH240" t="s" s="0">
        <v>81</v>
      </c>
      <c r="BI240" t="s" s="0">
        <v>5841</v>
      </c>
      <c r="BJ240" t="s" s="0">
        <v>5842</v>
      </c>
      <c r="BK240" t="s" s="475">
        <f>HYPERLINK("http://dx.doi.org/10.1016/j.jaecs.2026.100523","http://dx.doi.org/10.1016/j.jaecs.2026.100523")</f>
        <v>5843</v>
      </c>
      <c r="BL240" t="s" s="0">
        <v>81</v>
      </c>
      <c r="BM240" t="s" s="0">
        <v>81</v>
      </c>
      <c r="BN240" t="s" s="0">
        <v>117</v>
      </c>
      <c r="BO240" t="s" s="0">
        <v>5844</v>
      </c>
      <c r="BP240" t="s" s="0">
        <v>5845</v>
      </c>
      <c r="BQ240" t="s" s="0">
        <v>5846</v>
      </c>
      <c r="BR240" t="s" s="0">
        <v>81</v>
      </c>
      <c r="BS240" t="s" s="0">
        <v>5847</v>
      </c>
      <c r="BT240" t="s" s="476">
        <f>HYPERLINK("https://www.webofscience.com/wos/woscc/full-record/WOS:001792363700001","View Record in Web of Science")</f>
        <v>123</v>
      </c>
      <c r="BU240" t="s" s="0">
        <v>222</v>
      </c>
      <c r="BV240" t="s" s="0">
        <v>81</v>
      </c>
      <c r="BW240" t="s" s="0">
        <v>81</v>
      </c>
      <c r="BX240" t="s" s="0">
        <v>124</v>
      </c>
    </row>
    <row r="241">
      <c r="A241" t="s" s="0">
        <v>77</v>
      </c>
      <c r="B241" t="s" s="0">
        <v>77</v>
      </c>
      <c r="C241" t="s" s="0">
        <v>77</v>
      </c>
      <c r="D241" t="s" s="0">
        <v>77</v>
      </c>
      <c r="E241" t="s" s="0">
        <v>5848</v>
      </c>
      <c r="F241" t="s" s="0">
        <v>5849</v>
      </c>
      <c r="G241" t="s" s="0">
        <v>5850</v>
      </c>
      <c r="H241" t="s" s="0">
        <v>81</v>
      </c>
      <c r="I241" t="s" s="0">
        <v>82</v>
      </c>
      <c r="J241" t="s" s="0">
        <v>5851</v>
      </c>
      <c r="K241" t="s" s="0">
        <v>5852</v>
      </c>
      <c r="L241" t="s" s="0">
        <v>5853</v>
      </c>
      <c r="M241" t="s" s="0">
        <v>5854</v>
      </c>
      <c r="N241" t="s" s="0">
        <v>5855</v>
      </c>
      <c r="O241" t="s" s="0">
        <v>5856</v>
      </c>
      <c r="P241" t="s" s="0">
        <v>5857</v>
      </c>
      <c r="Q241" t="s" s="0">
        <v>90</v>
      </c>
      <c r="R241" t="s" s="0">
        <v>81</v>
      </c>
      <c r="S241" t="s" s="0">
        <v>81</v>
      </c>
      <c r="T241" t="s" s="0">
        <v>81</v>
      </c>
      <c r="U241" t="s" s="0">
        <v>81</v>
      </c>
      <c r="V241" t="s" s="0">
        <v>5858</v>
      </c>
      <c r="W241" t="s" s="0">
        <v>1210</v>
      </c>
      <c r="X241" t="s" s="0">
        <v>81</v>
      </c>
      <c r="Y241" t="s" s="0">
        <v>81</v>
      </c>
      <c r="Z241" t="s" s="0">
        <v>93</v>
      </c>
      <c r="AA241" t="s" s="0">
        <v>94</v>
      </c>
      <c r="AB241" t="s" s="0">
        <v>81</v>
      </c>
      <c r="AC241" t="s" s="0">
        <v>81</v>
      </c>
      <c r="AD241" t="s" s="0">
        <v>81</v>
      </c>
      <c r="AE241" t="s" s="0">
        <v>81</v>
      </c>
      <c r="AF241" t="s" s="0">
        <v>81</v>
      </c>
      <c r="AG241" t="s" s="0">
        <v>5859</v>
      </c>
      <c r="AH241" t="s" s="0">
        <v>5860</v>
      </c>
      <c r="AI241" t="s" s="0">
        <v>81</v>
      </c>
      <c r="AJ241" t="s" s="0">
        <v>81</v>
      </c>
      <c r="AK241" t="s" s="0">
        <v>81</v>
      </c>
      <c r="AL241" t="s" s="0">
        <v>732</v>
      </c>
      <c r="AM241" t="s" s="0">
        <v>137</v>
      </c>
      <c r="AN241" t="s" s="0">
        <v>137</v>
      </c>
      <c r="AO241" t="s" s="0">
        <v>100</v>
      </c>
      <c r="AP241" t="s" s="0">
        <v>399</v>
      </c>
      <c r="AQ241" t="s" s="0">
        <v>140</v>
      </c>
      <c r="AR241" t="s" s="0">
        <v>141</v>
      </c>
      <c r="AS241" t="s" s="0">
        <v>142</v>
      </c>
      <c r="AT241" t="s" s="0">
        <v>1212</v>
      </c>
      <c r="AU241" t="s" s="0">
        <v>1213</v>
      </c>
      <c r="AV241" t="s" s="0">
        <v>81</v>
      </c>
      <c r="AW241" t="s" s="0">
        <v>1214</v>
      </c>
      <c r="AX241" t="s" s="0">
        <v>1215</v>
      </c>
      <c r="AY241" t="s" s="0">
        <v>920</v>
      </c>
      <c r="AZ241" t="s" s="0">
        <v>111</v>
      </c>
      <c r="BA241" t="s" s="0">
        <v>3393</v>
      </c>
      <c r="BB241" t="s" s="0">
        <v>81</v>
      </c>
      <c r="BC241" t="s" s="0">
        <v>81</v>
      </c>
      <c r="BD241" t="s" s="0">
        <v>81</v>
      </c>
      <c r="BE241" t="s" s="0">
        <v>81</v>
      </c>
      <c r="BF241" t="s" s="0">
        <v>81</v>
      </c>
      <c r="BG241" t="s" s="0">
        <v>81</v>
      </c>
      <c r="BH241" t="s" s="0">
        <v>81</v>
      </c>
      <c r="BI241" t="s" s="0">
        <v>81</v>
      </c>
      <c r="BJ241" t="s" s="0">
        <v>5861</v>
      </c>
      <c r="BK241" t="s" s="477">
        <f>HYPERLINK("http://dx.doi.org/10.1016/j.aej.2025.07.021","http://dx.doi.org/10.1016/j.aej.2025.07.021")</f>
        <v>5862</v>
      </c>
      <c r="BL241" t="s" s="0">
        <v>81</v>
      </c>
      <c r="BM241" t="s" s="0">
        <v>547</v>
      </c>
      <c r="BN241" t="s" s="0">
        <v>182</v>
      </c>
      <c r="BO241" t="s" s="0">
        <v>218</v>
      </c>
      <c r="BP241" t="s" s="0">
        <v>219</v>
      </c>
      <c r="BQ241" t="s" s="0">
        <v>5863</v>
      </c>
      <c r="BR241" t="s" s="0">
        <v>81</v>
      </c>
      <c r="BS241" t="s" s="0">
        <v>5864</v>
      </c>
      <c r="BT241" t="s" s="478">
        <f>HYPERLINK("https://www.webofscience.com/wos/woscc/full-record/WOS:001585879200002","View Record in Web of Science")</f>
        <v>123</v>
      </c>
      <c r="BU241" t="s" s="0">
        <v>191</v>
      </c>
      <c r="BV241" t="s" s="0">
        <v>81</v>
      </c>
      <c r="BW241" t="s" s="0">
        <v>81</v>
      </c>
      <c r="BX241" t="s" s="0">
        <v>124</v>
      </c>
    </row>
    <row r="242">
      <c r="A242" t="s" s="0">
        <v>77</v>
      </c>
      <c r="B242" t="s" s="0">
        <v>77</v>
      </c>
      <c r="C242" t="s" s="0">
        <v>77</v>
      </c>
      <c r="D242" t="s" s="0">
        <v>77</v>
      </c>
      <c r="E242" t="s" s="0">
        <v>5865</v>
      </c>
      <c r="F242" t="s" s="0">
        <v>5866</v>
      </c>
      <c r="G242" t="s" s="0">
        <v>5867</v>
      </c>
      <c r="H242" t="s" s="0">
        <v>81</v>
      </c>
      <c r="I242" t="s" s="0">
        <v>82</v>
      </c>
      <c r="J242" t="s" s="0">
        <v>5868</v>
      </c>
      <c r="K242" t="s" s="0">
        <v>5869</v>
      </c>
      <c r="L242" t="s" s="0">
        <v>5870</v>
      </c>
      <c r="M242" t="s" s="0">
        <v>5871</v>
      </c>
      <c r="N242" t="s" s="0">
        <v>5872</v>
      </c>
      <c r="O242" t="s" s="0">
        <v>5873</v>
      </c>
      <c r="P242" t="s" s="0">
        <v>5874</v>
      </c>
      <c r="Q242" t="s" s="0">
        <v>90</v>
      </c>
      <c r="R242" t="s" s="0">
        <v>81</v>
      </c>
      <c r="S242" t="s" s="0">
        <v>81</v>
      </c>
      <c r="T242" t="s" s="0">
        <v>81</v>
      </c>
      <c r="U242" t="s" s="0">
        <v>81</v>
      </c>
      <c r="V242" t="s" s="0">
        <v>5875</v>
      </c>
      <c r="W242" t="s" s="0">
        <v>3668</v>
      </c>
      <c r="X242" t="s" s="0">
        <v>81</v>
      </c>
      <c r="Y242" t="s" s="0">
        <v>81</v>
      </c>
      <c r="Z242" t="s" s="0">
        <v>93</v>
      </c>
      <c r="AA242" t="s" s="0">
        <v>94</v>
      </c>
      <c r="AB242" t="s" s="0">
        <v>81</v>
      </c>
      <c r="AC242" t="s" s="0">
        <v>81</v>
      </c>
      <c r="AD242" t="s" s="0">
        <v>81</v>
      </c>
      <c r="AE242" t="s" s="0">
        <v>81</v>
      </c>
      <c r="AF242" t="s" s="0">
        <v>81</v>
      </c>
      <c r="AG242" t="s" s="0">
        <v>5876</v>
      </c>
      <c r="AH242" t="s" s="0">
        <v>81</v>
      </c>
      <c r="AI242" t="s" s="0">
        <v>5877</v>
      </c>
      <c r="AJ242" t="s" s="0">
        <v>5878</v>
      </c>
      <c r="AK242" t="s" s="0">
        <v>81</v>
      </c>
      <c r="AL242" t="s" s="0">
        <v>139</v>
      </c>
      <c r="AM242" t="s" s="0">
        <v>100</v>
      </c>
      <c r="AN242" t="s" s="0">
        <v>100</v>
      </c>
      <c r="AO242" t="s" s="0">
        <v>182</v>
      </c>
      <c r="AP242" t="s" s="0">
        <v>448</v>
      </c>
      <c r="AQ242" t="s" s="0">
        <v>3672</v>
      </c>
      <c r="AR242" t="s" s="0">
        <v>3673</v>
      </c>
      <c r="AS242" t="s" s="0">
        <v>3674</v>
      </c>
      <c r="AT242" t="s" s="0">
        <v>3675</v>
      </c>
      <c r="AU242" t="s" s="0">
        <v>3676</v>
      </c>
      <c r="AV242" t="s" s="0">
        <v>81</v>
      </c>
      <c r="AW242" t="s" s="0">
        <v>3677</v>
      </c>
      <c r="AX242" t="s" s="0">
        <v>3678</v>
      </c>
      <c r="AY242" t="s" s="0">
        <v>212</v>
      </c>
      <c r="AZ242" t="s" s="0">
        <v>212</v>
      </c>
      <c r="BA242" t="s" s="0">
        <v>2020</v>
      </c>
      <c r="BB242" t="s" s="0">
        <v>137</v>
      </c>
      <c r="BC242" t="s" s="0">
        <v>81</v>
      </c>
      <c r="BD242" t="s" s="0">
        <v>81</v>
      </c>
      <c r="BE242" t="s" s="0">
        <v>81</v>
      </c>
      <c r="BF242" t="s" s="0">
        <v>81</v>
      </c>
      <c r="BG242" t="s" s="0">
        <v>81</v>
      </c>
      <c r="BH242" t="s" s="0">
        <v>81</v>
      </c>
      <c r="BI242" t="s" s="0">
        <v>5879</v>
      </c>
      <c r="BJ242" t="s" s="0">
        <v>5880</v>
      </c>
      <c r="BK242" t="s" s="479">
        <f>HYPERLINK("http://dx.doi.org/10.32604/cmc.2025.068246","http://dx.doi.org/10.32604/cmc.2025.068246")</f>
        <v>5881</v>
      </c>
      <c r="BL242" t="s" s="0">
        <v>81</v>
      </c>
      <c r="BM242" t="s" s="0">
        <v>81</v>
      </c>
      <c r="BN242" t="s" s="0">
        <v>275</v>
      </c>
      <c r="BO242" t="s" s="0">
        <v>3684</v>
      </c>
      <c r="BP242" t="s" s="0">
        <v>3685</v>
      </c>
      <c r="BQ242" t="s" s="0">
        <v>5882</v>
      </c>
      <c r="BR242" t="s" s="0">
        <v>81</v>
      </c>
      <c r="BS242" t="s" s="0">
        <v>5883</v>
      </c>
      <c r="BT242" t="s" s="480">
        <f>HYPERLINK("https://www.webofscience.com/wos/woscc/full-record/WOS:001621380900001","View Record in Web of Science")</f>
        <v>123</v>
      </c>
      <c r="BU242" t="s" s="0">
        <v>222</v>
      </c>
      <c r="BV242" t="s" s="0">
        <v>81</v>
      </c>
      <c r="BW242" t="s" s="0">
        <v>81</v>
      </c>
      <c r="BX242" t="s" s="0">
        <v>124</v>
      </c>
    </row>
    <row r="243">
      <c r="A243" t="s" s="0">
        <v>77</v>
      </c>
      <c r="B243" t="s" s="0">
        <v>77</v>
      </c>
      <c r="C243" t="s" s="0">
        <v>101</v>
      </c>
      <c r="D243" t="s" s="0">
        <v>77</v>
      </c>
      <c r="E243" t="s" s="0">
        <v>5884</v>
      </c>
      <c r="F243" t="s" s="0">
        <v>5885</v>
      </c>
      <c r="G243" t="s" s="0">
        <v>5886</v>
      </c>
      <c r="H243" t="s" s="0">
        <v>81</v>
      </c>
      <c r="I243" t="s" s="0">
        <v>82</v>
      </c>
      <c r="J243" t="s" s="0">
        <v>5887</v>
      </c>
      <c r="K243" t="s" s="0">
        <v>5888</v>
      </c>
      <c r="L243" t="s" s="0">
        <v>5889</v>
      </c>
      <c r="M243" t="s" s="0">
        <v>5890</v>
      </c>
      <c r="N243" t="s" s="0">
        <v>5891</v>
      </c>
      <c r="O243" t="s" s="0">
        <v>5892</v>
      </c>
      <c r="P243" t="s" s="0">
        <v>5893</v>
      </c>
      <c r="Q243" t="s" s="0">
        <v>90</v>
      </c>
      <c r="R243" t="s" s="0">
        <v>81</v>
      </c>
      <c r="S243" t="s" s="0">
        <v>81</v>
      </c>
      <c r="T243" t="s" s="0">
        <v>81</v>
      </c>
      <c r="U243" t="s" s="0">
        <v>81</v>
      </c>
      <c r="V243" t="s" s="0">
        <v>5894</v>
      </c>
      <c r="W243" t="s" s="0">
        <v>5383</v>
      </c>
      <c r="X243" t="s" s="0">
        <v>81</v>
      </c>
      <c r="Y243" t="s" s="0">
        <v>81</v>
      </c>
      <c r="Z243" t="s" s="0">
        <v>93</v>
      </c>
      <c r="AA243" t="s" s="0">
        <v>94</v>
      </c>
      <c r="AB243" t="s" s="0">
        <v>81</v>
      </c>
      <c r="AC243" t="s" s="0">
        <v>81</v>
      </c>
      <c r="AD243" t="s" s="0">
        <v>81</v>
      </c>
      <c r="AE243" t="s" s="0">
        <v>81</v>
      </c>
      <c r="AF243" t="s" s="0">
        <v>81</v>
      </c>
      <c r="AG243" t="s" s="0">
        <v>5895</v>
      </c>
      <c r="AH243" t="s" s="0">
        <v>81</v>
      </c>
      <c r="AI243" t="s" s="0">
        <v>5896</v>
      </c>
      <c r="AJ243" t="s" s="0">
        <v>5897</v>
      </c>
      <c r="AK243" t="s" s="0">
        <v>81</v>
      </c>
      <c r="AL243" t="s" s="0">
        <v>1218</v>
      </c>
      <c r="AM243" t="s" s="0">
        <v>101</v>
      </c>
      <c r="AN243" t="s" s="0">
        <v>101</v>
      </c>
      <c r="AO243" t="s" s="0">
        <v>77</v>
      </c>
      <c r="AP243" t="s" s="0">
        <v>137</v>
      </c>
      <c r="AQ243" t="s" s="0">
        <v>174</v>
      </c>
      <c r="AR243" t="s" s="0">
        <v>175</v>
      </c>
      <c r="AS243" t="s" s="0">
        <v>208</v>
      </c>
      <c r="AT243" t="s" s="0">
        <v>81</v>
      </c>
      <c r="AU243" t="s" s="0">
        <v>5387</v>
      </c>
      <c r="AV243" t="s" s="0">
        <v>81</v>
      </c>
      <c r="AW243" t="s" s="0">
        <v>5388</v>
      </c>
      <c r="AX243" t="s" s="0">
        <v>5389</v>
      </c>
      <c r="AY243" t="s" s="0">
        <v>5898</v>
      </c>
      <c r="AZ243" t="s" s="0">
        <v>111</v>
      </c>
      <c r="BA243" t="s" s="0">
        <v>213</v>
      </c>
      <c r="BB243" t="s" s="0">
        <v>676</v>
      </c>
      <c r="BC243" t="s" s="0">
        <v>81</v>
      </c>
      <c r="BD243" t="s" s="0">
        <v>81</v>
      </c>
      <c r="BE243" t="s" s="0">
        <v>81</v>
      </c>
      <c r="BF243" t="s" s="0">
        <v>81</v>
      </c>
      <c r="BG243" t="s" s="0">
        <v>81</v>
      </c>
      <c r="BH243" t="s" s="0">
        <v>81</v>
      </c>
      <c r="BI243" t="s" s="0">
        <v>5899</v>
      </c>
      <c r="BJ243" t="s" s="0">
        <v>5900</v>
      </c>
      <c r="BK243" t="s" s="481">
        <f>HYPERLINK("http://dx.doi.org/10.3390/jcm14228074","http://dx.doi.org/10.3390/jcm14228074")</f>
        <v>5901</v>
      </c>
      <c r="BL243" t="s" s="0">
        <v>81</v>
      </c>
      <c r="BM243" t="s" s="0">
        <v>81</v>
      </c>
      <c r="BN243" t="s" s="0">
        <v>217</v>
      </c>
      <c r="BO243" t="s" s="0">
        <v>3184</v>
      </c>
      <c r="BP243" t="s" s="0">
        <v>3185</v>
      </c>
      <c r="BQ243" t="s" s="0">
        <v>5902</v>
      </c>
      <c r="BR243" t="s" s="0">
        <v>5903</v>
      </c>
      <c r="BS243" t="s" s="0">
        <v>5904</v>
      </c>
      <c r="BT243" t="s" s="482">
        <f>HYPERLINK("https://www.webofscience.com/wos/woscc/full-record/WOS:001623916400001","View Record in Web of Science")</f>
        <v>123</v>
      </c>
      <c r="BU243" t="s" s="0">
        <v>191</v>
      </c>
      <c r="BV243" t="s" s="0">
        <v>81</v>
      </c>
      <c r="BW243" t="s" s="0">
        <v>81</v>
      </c>
      <c r="BX243" t="s" s="0">
        <v>124</v>
      </c>
    </row>
    <row r="244">
      <c r="A244" t="s" s="0">
        <v>77</v>
      </c>
      <c r="B244" t="s" s="0">
        <v>77</v>
      </c>
      <c r="C244" t="s" s="0">
        <v>77</v>
      </c>
      <c r="D244" t="s" s="0">
        <v>77</v>
      </c>
      <c r="E244" t="s" s="0">
        <v>5905</v>
      </c>
      <c r="F244" t="s" s="0">
        <v>5906</v>
      </c>
      <c r="G244" t="s" s="0">
        <v>5907</v>
      </c>
      <c r="H244" t="s" s="0">
        <v>81</v>
      </c>
      <c r="I244" t="s" s="0">
        <v>195</v>
      </c>
      <c r="J244" t="s" s="0">
        <v>5908</v>
      </c>
      <c r="K244" t="s" s="0">
        <v>5909</v>
      </c>
      <c r="L244" t="s" s="0">
        <v>5910</v>
      </c>
      <c r="M244" t="s" s="0">
        <v>5911</v>
      </c>
      <c r="N244" t="s" s="0">
        <v>5912</v>
      </c>
      <c r="O244" t="s" s="0">
        <v>5913</v>
      </c>
      <c r="P244" t="s" s="0">
        <v>5914</v>
      </c>
      <c r="Q244" t="s" s="0">
        <v>90</v>
      </c>
      <c r="R244" t="s" s="0">
        <v>81</v>
      </c>
      <c r="S244" t="s" s="0">
        <v>81</v>
      </c>
      <c r="T244" t="s" s="0">
        <v>81</v>
      </c>
      <c r="U244" t="s" s="0">
        <v>81</v>
      </c>
      <c r="V244" t="s" s="0">
        <v>5915</v>
      </c>
      <c r="W244" t="s" s="0">
        <v>5916</v>
      </c>
      <c r="X244" t="s" s="0">
        <v>81</v>
      </c>
      <c r="Y244" t="s" s="0">
        <v>81</v>
      </c>
      <c r="Z244" t="s" s="0">
        <v>93</v>
      </c>
      <c r="AA244" t="s" s="0">
        <v>330</v>
      </c>
      <c r="AB244" t="s" s="0">
        <v>81</v>
      </c>
      <c r="AC244" t="s" s="0">
        <v>81</v>
      </c>
      <c r="AD244" t="s" s="0">
        <v>81</v>
      </c>
      <c r="AE244" t="s" s="0">
        <v>81</v>
      </c>
      <c r="AF244" t="s" s="0">
        <v>81</v>
      </c>
      <c r="AG244" t="s" s="0">
        <v>5917</v>
      </c>
      <c r="AH244" t="s" s="0">
        <v>81</v>
      </c>
      <c r="AI244" t="s" s="0">
        <v>81</v>
      </c>
      <c r="AJ244" t="s" s="0">
        <v>81</v>
      </c>
      <c r="AK244" t="s" s="0">
        <v>81</v>
      </c>
      <c r="AL244" t="s" s="0">
        <v>619</v>
      </c>
      <c r="AM244" t="s" s="0">
        <v>77</v>
      </c>
      <c r="AN244" t="s" s="0">
        <v>77</v>
      </c>
      <c r="AO244" t="s" s="0">
        <v>100</v>
      </c>
      <c r="AP244" t="s" s="0">
        <v>100</v>
      </c>
      <c r="AQ244" t="s" s="0">
        <v>5918</v>
      </c>
      <c r="AR244" t="s" s="0">
        <v>5919</v>
      </c>
      <c r="AS244" t="s" s="0">
        <v>5920</v>
      </c>
      <c r="AT244" t="s" s="0">
        <v>5921</v>
      </c>
      <c r="AU244" t="s" s="0">
        <v>5922</v>
      </c>
      <c r="AV244" t="s" s="0">
        <v>81</v>
      </c>
      <c r="AW244" t="s" s="0">
        <v>5923</v>
      </c>
      <c r="AX244" t="s" s="0">
        <v>5924</v>
      </c>
      <c r="AY244" t="s" s="0">
        <v>81</v>
      </c>
      <c r="AZ244" t="s" s="0">
        <v>212</v>
      </c>
      <c r="BA244" t="s" s="0">
        <v>81</v>
      </c>
      <c r="BB244" t="s" s="0">
        <v>81</v>
      </c>
      <c r="BC244" t="s" s="0">
        <v>81</v>
      </c>
      <c r="BD244" t="s" s="0">
        <v>81</v>
      </c>
      <c r="BE244" t="s" s="0">
        <v>81</v>
      </c>
      <c r="BF244" t="s" s="0">
        <v>81</v>
      </c>
      <c r="BG244" t="s" s="0">
        <v>81</v>
      </c>
      <c r="BH244" t="s" s="0">
        <v>81</v>
      </c>
      <c r="BI244" t="s" s="0">
        <v>81</v>
      </c>
      <c r="BJ244" t="s" s="0">
        <v>5925</v>
      </c>
      <c r="BK244" t="s" s="483">
        <f>HYPERLINK("http://dx.doi.org/10.1007/s43538-025-00685-8","http://dx.doi.org/10.1007/s43538-025-00685-8")</f>
        <v>5926</v>
      </c>
      <c r="BL244" t="s" s="0">
        <v>81</v>
      </c>
      <c r="BM244" t="s" s="0">
        <v>763</v>
      </c>
      <c r="BN244" t="s" s="0">
        <v>1110</v>
      </c>
      <c r="BO244" t="s" s="0">
        <v>313</v>
      </c>
      <c r="BP244" t="s" s="0">
        <v>314</v>
      </c>
      <c r="BQ244" t="s" s="0">
        <v>5927</v>
      </c>
      <c r="BR244" t="s" s="0">
        <v>81</v>
      </c>
      <c r="BS244" t="s" s="0">
        <v>5928</v>
      </c>
      <c r="BT244" t="s" s="484">
        <f>HYPERLINK("https://www.webofscience.com/wos/woscc/full-record/WOS:001667896100001","View Record in Web of Science")</f>
        <v>123</v>
      </c>
      <c r="BU244" t="s" s="0">
        <v>81</v>
      </c>
      <c r="BV244" t="s" s="0">
        <v>81</v>
      </c>
      <c r="BW244" t="s" s="0">
        <v>81</v>
      </c>
      <c r="BX244" t="s" s="0">
        <v>124</v>
      </c>
    </row>
    <row r="245">
      <c r="A245" t="s" s="0">
        <v>77</v>
      </c>
      <c r="B245" t="s" s="0">
        <v>77</v>
      </c>
      <c r="C245" t="s" s="0">
        <v>77</v>
      </c>
      <c r="D245" t="s" s="0">
        <v>77</v>
      </c>
      <c r="E245" t="s" s="0">
        <v>5929</v>
      </c>
      <c r="F245" t="s" s="0">
        <v>5930</v>
      </c>
      <c r="G245" t="s" s="0">
        <v>5931</v>
      </c>
      <c r="H245" t="s" s="0">
        <v>81</v>
      </c>
      <c r="I245" t="s" s="0">
        <v>82</v>
      </c>
      <c r="J245" t="s" s="0">
        <v>5932</v>
      </c>
      <c r="K245" t="s" s="0">
        <v>5933</v>
      </c>
      <c r="L245" t="s" s="0">
        <v>5934</v>
      </c>
      <c r="M245" t="s" s="0">
        <v>5935</v>
      </c>
      <c r="N245" t="s" s="0">
        <v>5936</v>
      </c>
      <c r="O245" t="s" s="0">
        <v>5937</v>
      </c>
      <c r="P245" t="s" s="0">
        <v>5938</v>
      </c>
      <c r="Q245" t="s" s="0">
        <v>90</v>
      </c>
      <c r="R245" t="s" s="0">
        <v>81</v>
      </c>
      <c r="S245" t="s" s="0">
        <v>81</v>
      </c>
      <c r="T245" t="s" s="0">
        <v>81</v>
      </c>
      <c r="U245" t="s" s="0">
        <v>81</v>
      </c>
      <c r="V245" t="s" s="0">
        <v>5939</v>
      </c>
      <c r="W245" t="s" s="0">
        <v>5940</v>
      </c>
      <c r="X245" t="s" s="0">
        <v>81</v>
      </c>
      <c r="Y245" t="s" s="0">
        <v>81</v>
      </c>
      <c r="Z245" t="s" s="0">
        <v>93</v>
      </c>
      <c r="AA245" t="s" s="0">
        <v>94</v>
      </c>
      <c r="AB245" t="s" s="0">
        <v>81</v>
      </c>
      <c r="AC245" t="s" s="0">
        <v>81</v>
      </c>
      <c r="AD245" t="s" s="0">
        <v>81</v>
      </c>
      <c r="AE245" t="s" s="0">
        <v>81</v>
      </c>
      <c r="AF245" t="s" s="0">
        <v>81</v>
      </c>
      <c r="AG245" t="s" s="0">
        <v>5941</v>
      </c>
      <c r="AH245" t="s" s="0">
        <v>5942</v>
      </c>
      <c r="AI245" t="s" s="0">
        <v>5943</v>
      </c>
      <c r="AJ245" t="s" s="0">
        <v>5944</v>
      </c>
      <c r="AK245" t="s" s="0">
        <v>81</v>
      </c>
      <c r="AL245" t="s" s="0">
        <v>886</v>
      </c>
      <c r="AM245" t="s" s="0">
        <v>77</v>
      </c>
      <c r="AN245" t="s" s="0">
        <v>77</v>
      </c>
      <c r="AO245" t="s" s="0">
        <v>77</v>
      </c>
      <c r="AP245" t="s" s="0">
        <v>301</v>
      </c>
      <c r="AQ245" t="s" s="0">
        <v>3672</v>
      </c>
      <c r="AR245" t="s" s="0">
        <v>3673</v>
      </c>
      <c r="AS245" t="s" s="0">
        <v>3674</v>
      </c>
      <c r="AT245" t="s" s="0">
        <v>5945</v>
      </c>
      <c r="AU245" t="s" s="0">
        <v>5946</v>
      </c>
      <c r="AV245" t="s" s="0">
        <v>81</v>
      </c>
      <c r="AW245" t="s" s="0">
        <v>5947</v>
      </c>
      <c r="AX245" t="s" s="0">
        <v>5948</v>
      </c>
      <c r="AY245" t="s" s="0">
        <v>111</v>
      </c>
      <c r="AZ245" t="s" s="0">
        <v>111</v>
      </c>
      <c r="BA245" t="s" s="0">
        <v>860</v>
      </c>
      <c r="BB245" t="s" s="0">
        <v>137</v>
      </c>
      <c r="BC245" t="s" s="0">
        <v>81</v>
      </c>
      <c r="BD245" t="s" s="0">
        <v>81</v>
      </c>
      <c r="BE245" t="s" s="0">
        <v>81</v>
      </c>
      <c r="BF245" t="s" s="0">
        <v>81</v>
      </c>
      <c r="BG245" t="s" s="0">
        <v>5949</v>
      </c>
      <c r="BH245" t="s" s="0">
        <v>5950</v>
      </c>
      <c r="BI245" t="s" s="0">
        <v>81</v>
      </c>
      <c r="BJ245" t="s" s="0">
        <v>5951</v>
      </c>
      <c r="BK245" t="s" s="485">
        <f>HYPERLINK("http://dx.doi.org/10.32604/cmes.2025.070272","http://dx.doi.org/10.32604/cmes.2025.070272")</f>
        <v>5952</v>
      </c>
      <c r="BL245" t="s" s="0">
        <v>81</v>
      </c>
      <c r="BM245" t="s" s="0">
        <v>920</v>
      </c>
      <c r="BN245" t="s" s="0">
        <v>275</v>
      </c>
      <c r="BO245" t="s" s="0">
        <v>5953</v>
      </c>
      <c r="BP245" t="s" s="0">
        <v>5954</v>
      </c>
      <c r="BQ245" t="s" s="0">
        <v>5955</v>
      </c>
      <c r="BR245" t="s" s="0">
        <v>81</v>
      </c>
      <c r="BS245" t="s" s="0">
        <v>5956</v>
      </c>
      <c r="BT245" t="s" s="486">
        <f>HYPERLINK("https://www.webofscience.com/wos/woscc/full-record/WOS:001590054200001","View Record in Web of Science")</f>
        <v>123</v>
      </c>
      <c r="BU245" t="s" s="0">
        <v>222</v>
      </c>
      <c r="BV245" t="s" s="0">
        <v>81</v>
      </c>
      <c r="BW245" t="s" s="0">
        <v>81</v>
      </c>
      <c r="BX245" t="s" s="0">
        <v>124</v>
      </c>
    </row>
    <row r="246">
      <c r="A246" t="s" s="0">
        <v>77</v>
      </c>
      <c r="B246" t="s" s="0">
        <v>77</v>
      </c>
      <c r="C246" t="s" s="0">
        <v>77</v>
      </c>
      <c r="D246" t="s" s="0">
        <v>77</v>
      </c>
      <c r="E246" t="s" s="0">
        <v>5957</v>
      </c>
      <c r="F246" t="s" s="0">
        <v>5958</v>
      </c>
      <c r="G246" t="s" s="0">
        <v>5959</v>
      </c>
      <c r="H246" t="s" s="0">
        <v>81</v>
      </c>
      <c r="I246" t="s" s="0">
        <v>82</v>
      </c>
      <c r="J246" t="s" s="0">
        <v>5960</v>
      </c>
      <c r="K246" t="s" s="0">
        <v>5961</v>
      </c>
      <c r="L246" t="s" s="0">
        <v>5962</v>
      </c>
      <c r="M246" t="s" s="0">
        <v>5963</v>
      </c>
      <c r="N246" t="s" s="0">
        <v>5964</v>
      </c>
      <c r="O246" t="s" s="0">
        <v>5965</v>
      </c>
      <c r="P246" t="s" s="0">
        <v>5966</v>
      </c>
      <c r="Q246" t="s" s="0">
        <v>90</v>
      </c>
      <c r="R246" t="s" s="0">
        <v>81</v>
      </c>
      <c r="S246" t="s" s="0">
        <v>81</v>
      </c>
      <c r="T246" t="s" s="0">
        <v>81</v>
      </c>
      <c r="U246" t="s" s="0">
        <v>81</v>
      </c>
      <c r="V246" t="s" s="0">
        <v>5967</v>
      </c>
      <c r="W246" t="s" s="0">
        <v>5968</v>
      </c>
      <c r="X246" t="s" s="0">
        <v>81</v>
      </c>
      <c r="Y246" t="s" s="0">
        <v>81</v>
      </c>
      <c r="Z246" t="s" s="0">
        <v>93</v>
      </c>
      <c r="AA246" t="s" s="0">
        <v>94</v>
      </c>
      <c r="AB246" t="s" s="0">
        <v>81</v>
      </c>
      <c r="AC246" t="s" s="0">
        <v>81</v>
      </c>
      <c r="AD246" t="s" s="0">
        <v>81</v>
      </c>
      <c r="AE246" t="s" s="0">
        <v>81</v>
      </c>
      <c r="AF246" t="s" s="0">
        <v>81</v>
      </c>
      <c r="AG246" t="s" s="0">
        <v>5969</v>
      </c>
      <c r="AH246" t="s" s="0">
        <v>5970</v>
      </c>
      <c r="AI246" t="s" s="0">
        <v>81</v>
      </c>
      <c r="AJ246" t="s" s="0">
        <v>5971</v>
      </c>
      <c r="AK246" t="s" s="0">
        <v>81</v>
      </c>
      <c r="AL246" t="s" s="0">
        <v>405</v>
      </c>
      <c r="AM246" t="s" s="0">
        <v>77</v>
      </c>
      <c r="AN246" t="s" s="0">
        <v>77</v>
      </c>
      <c r="AO246" t="s" s="0">
        <v>183</v>
      </c>
      <c r="AP246" t="s" s="0">
        <v>102</v>
      </c>
      <c r="AQ246" t="s" s="0">
        <v>588</v>
      </c>
      <c r="AR246" t="s" s="0">
        <v>589</v>
      </c>
      <c r="AS246" t="s" s="0">
        <v>590</v>
      </c>
      <c r="AT246" t="s" s="0">
        <v>5972</v>
      </c>
      <c r="AU246" t="s" s="0">
        <v>5973</v>
      </c>
      <c r="AV246" t="s" s="0">
        <v>81</v>
      </c>
      <c r="AW246" t="s" s="0">
        <v>5974</v>
      </c>
      <c r="AX246" t="s" s="0">
        <v>5975</v>
      </c>
      <c r="AY246" t="s" s="0">
        <v>111</v>
      </c>
      <c r="AZ246" t="s" s="0">
        <v>111</v>
      </c>
      <c r="BA246" t="s" s="0">
        <v>676</v>
      </c>
      <c r="BB246" t="s" s="0">
        <v>81</v>
      </c>
      <c r="BC246" t="s" s="0">
        <v>81</v>
      </c>
      <c r="BD246" t="s" s="0">
        <v>81</v>
      </c>
      <c r="BE246" t="s" s="0">
        <v>81</v>
      </c>
      <c r="BF246" t="s" s="0">
        <v>81</v>
      </c>
      <c r="BG246" t="s" s="0">
        <v>81</v>
      </c>
      <c r="BH246" t="s" s="0">
        <v>81</v>
      </c>
      <c r="BI246" t="s" s="0">
        <v>5976</v>
      </c>
      <c r="BJ246" t="s" s="0">
        <v>5977</v>
      </c>
      <c r="BK246" t="s" s="487">
        <f>HYPERLINK("http://dx.doi.org/10.1109/LGRS.2025.3610188","http://dx.doi.org/10.1109/LGRS.2025.3610188")</f>
        <v>5978</v>
      </c>
      <c r="BL246" t="s" s="0">
        <v>81</v>
      </c>
      <c r="BM246" t="s" s="0">
        <v>81</v>
      </c>
      <c r="BN246" t="s" s="0">
        <v>158</v>
      </c>
      <c r="BO246" t="s" s="0">
        <v>2529</v>
      </c>
      <c r="BP246" t="s" s="0">
        <v>2530</v>
      </c>
      <c r="BQ246" t="s" s="0">
        <v>5979</v>
      </c>
      <c r="BR246" t="s" s="0">
        <v>81</v>
      </c>
      <c r="BS246" t="s" s="0">
        <v>5980</v>
      </c>
      <c r="BT246" t="s" s="488">
        <f>HYPERLINK("https://www.webofscience.com/wos/woscc/full-record/WOS:001589835100010","View Record in Web of Science")</f>
        <v>123</v>
      </c>
      <c r="BU246" t="s" s="0">
        <v>81</v>
      </c>
      <c r="BV246" t="s" s="0">
        <v>81</v>
      </c>
      <c r="BW246" t="s" s="0">
        <v>81</v>
      </c>
      <c r="BX246" t="s" s="0">
        <v>124</v>
      </c>
    </row>
    <row r="247">
      <c r="A247" t="s" s="0">
        <v>77</v>
      </c>
      <c r="B247" t="s" s="0">
        <v>77</v>
      </c>
      <c r="C247" t="s" s="0">
        <v>77</v>
      </c>
      <c r="D247" t="s" s="0">
        <v>77</v>
      </c>
      <c r="E247" t="s" s="0">
        <v>5981</v>
      </c>
      <c r="F247" t="s" s="0">
        <v>5982</v>
      </c>
      <c r="G247" t="s" s="0">
        <v>5983</v>
      </c>
      <c r="H247" t="s" s="0">
        <v>81</v>
      </c>
      <c r="I247" t="s" s="0">
        <v>82</v>
      </c>
      <c r="J247" t="s" s="0">
        <v>5984</v>
      </c>
      <c r="K247" t="s" s="0">
        <v>5985</v>
      </c>
      <c r="L247" t="s" s="0">
        <v>5986</v>
      </c>
      <c r="M247" t="s" s="0">
        <v>5987</v>
      </c>
      <c r="N247" t="s" s="0">
        <v>5988</v>
      </c>
      <c r="O247" t="s" s="0">
        <v>5989</v>
      </c>
      <c r="P247" t="s" s="0">
        <v>5990</v>
      </c>
      <c r="Q247" t="s" s="0">
        <v>90</v>
      </c>
      <c r="R247" t="s" s="0">
        <v>81</v>
      </c>
      <c r="S247" t="s" s="0">
        <v>81</v>
      </c>
      <c r="T247" t="s" s="0">
        <v>81</v>
      </c>
      <c r="U247" t="s" s="0">
        <v>81</v>
      </c>
      <c r="V247" t="s" s="0">
        <v>5991</v>
      </c>
      <c r="W247" t="s" s="0">
        <v>5992</v>
      </c>
      <c r="X247" t="s" s="0">
        <v>81</v>
      </c>
      <c r="Y247" t="s" s="0">
        <v>81</v>
      </c>
      <c r="Z247" t="s" s="0">
        <v>93</v>
      </c>
      <c r="AA247" t="s" s="0">
        <v>94</v>
      </c>
      <c r="AB247" t="s" s="0">
        <v>81</v>
      </c>
      <c r="AC247" t="s" s="0">
        <v>81</v>
      </c>
      <c r="AD247" t="s" s="0">
        <v>81</v>
      </c>
      <c r="AE247" t="s" s="0">
        <v>81</v>
      </c>
      <c r="AF247" t="s" s="0">
        <v>81</v>
      </c>
      <c r="AG247" t="s" s="0">
        <v>5993</v>
      </c>
      <c r="AH247" t="s" s="0">
        <v>5994</v>
      </c>
      <c r="AI247" t="s" s="0">
        <v>5995</v>
      </c>
      <c r="AJ247" t="s" s="0">
        <v>5996</v>
      </c>
      <c r="AK247" t="s" s="0">
        <v>81</v>
      </c>
      <c r="AL247" t="s" s="0">
        <v>2525</v>
      </c>
      <c r="AM247" t="s" s="0">
        <v>301</v>
      </c>
      <c r="AN247" t="s" s="0">
        <v>301</v>
      </c>
      <c r="AO247" t="s" s="0">
        <v>333</v>
      </c>
      <c r="AP247" t="s" s="0">
        <v>217</v>
      </c>
      <c r="AQ247" t="s" s="0">
        <v>786</v>
      </c>
      <c r="AR247" t="s" s="0">
        <v>787</v>
      </c>
      <c r="AS247" t="s" s="0">
        <v>788</v>
      </c>
      <c r="AT247" t="s" s="0">
        <v>5997</v>
      </c>
      <c r="AU247" t="s" s="0">
        <v>5998</v>
      </c>
      <c r="AV247" t="s" s="0">
        <v>81</v>
      </c>
      <c r="AW247" t="s" s="0">
        <v>5992</v>
      </c>
      <c r="AX247" t="s" s="0">
        <v>5999</v>
      </c>
      <c r="AY247" t="s" s="0">
        <v>6000</v>
      </c>
      <c r="AZ247" t="s" s="0">
        <v>111</v>
      </c>
      <c r="BA247" t="s" s="0">
        <v>6001</v>
      </c>
      <c r="BB247" t="s" s="0">
        <v>81</v>
      </c>
      <c r="BC247" t="s" s="0">
        <v>81</v>
      </c>
      <c r="BD247" t="s" s="0">
        <v>81</v>
      </c>
      <c r="BE247" t="s" s="0">
        <v>81</v>
      </c>
      <c r="BF247" t="s" s="0">
        <v>81</v>
      </c>
      <c r="BG247" t="s" s="0">
        <v>81</v>
      </c>
      <c r="BH247" t="s" s="0">
        <v>81</v>
      </c>
      <c r="BI247" t="s" s="0">
        <v>6002</v>
      </c>
      <c r="BJ247" t="s" s="0">
        <v>6003</v>
      </c>
      <c r="BK247" t="s" s="489">
        <f>HYPERLINK("http://dx.doi.org/10.1016/j.energy.2025.138099","http://dx.doi.org/10.1016/j.energy.2025.138099")</f>
        <v>6004</v>
      </c>
      <c r="BL247" t="s" s="0">
        <v>81</v>
      </c>
      <c r="BM247" t="s" s="0">
        <v>547</v>
      </c>
      <c r="BN247" t="s" s="0">
        <v>652</v>
      </c>
      <c r="BO247" t="s" s="0">
        <v>6005</v>
      </c>
      <c r="BP247" t="s" s="0">
        <v>6005</v>
      </c>
      <c r="BQ247" t="s" s="0">
        <v>6006</v>
      </c>
      <c r="BR247" t="s" s="0">
        <v>81</v>
      </c>
      <c r="BS247" t="s" s="0">
        <v>6007</v>
      </c>
      <c r="BT247" t="s" s="490">
        <f>HYPERLINK("https://www.webofscience.com/wos/woscc/full-record/WOS:001585800400007","View Record in Web of Science")</f>
        <v>123</v>
      </c>
      <c r="BU247" t="s" s="0">
        <v>81</v>
      </c>
      <c r="BV247" t="s" s="0">
        <v>81</v>
      </c>
      <c r="BW247" t="s" s="0">
        <v>81</v>
      </c>
      <c r="BX247" t="s" s="0">
        <v>124</v>
      </c>
    </row>
    <row r="248">
      <c r="A248" t="s" s="0">
        <v>77</v>
      </c>
      <c r="B248" t="s" s="0">
        <v>77</v>
      </c>
      <c r="C248" t="s" s="0">
        <v>137</v>
      </c>
      <c r="D248" t="s" s="0">
        <v>77</v>
      </c>
      <c r="E248" t="s" s="0">
        <v>6008</v>
      </c>
      <c r="F248" t="s" s="0">
        <v>6009</v>
      </c>
      <c r="G248" t="s" s="0">
        <v>6010</v>
      </c>
      <c r="H248" t="s" s="0">
        <v>81</v>
      </c>
      <c r="I248" t="s" s="0">
        <v>82</v>
      </c>
      <c r="J248" t="s" s="0">
        <v>6011</v>
      </c>
      <c r="K248" t="s" s="0">
        <v>6012</v>
      </c>
      <c r="L248" t="s" s="0">
        <v>6013</v>
      </c>
      <c r="M248" t="s" s="0">
        <v>6014</v>
      </c>
      <c r="N248" t="s" s="0">
        <v>6015</v>
      </c>
      <c r="O248" t="s" s="0">
        <v>6016</v>
      </c>
      <c r="P248" t="s" s="0">
        <v>6017</v>
      </c>
      <c r="Q248" t="s" s="0">
        <v>90</v>
      </c>
      <c r="R248" t="s" s="0">
        <v>81</v>
      </c>
      <c r="S248" t="s" s="0">
        <v>81</v>
      </c>
      <c r="T248" t="s" s="0">
        <v>81</v>
      </c>
      <c r="U248" t="s" s="0">
        <v>81</v>
      </c>
      <c r="V248" t="s" s="0">
        <v>6018</v>
      </c>
      <c r="W248" t="s" s="0">
        <v>3200</v>
      </c>
      <c r="X248" t="s" s="0">
        <v>81</v>
      </c>
      <c r="Y248" t="s" s="0">
        <v>81</v>
      </c>
      <c r="Z248" t="s" s="0">
        <v>93</v>
      </c>
      <c r="AA248" t="s" s="0">
        <v>94</v>
      </c>
      <c r="AB248" t="s" s="0">
        <v>81</v>
      </c>
      <c r="AC248" t="s" s="0">
        <v>81</v>
      </c>
      <c r="AD248" t="s" s="0">
        <v>81</v>
      </c>
      <c r="AE248" t="s" s="0">
        <v>81</v>
      </c>
      <c r="AF248" t="s" s="0">
        <v>81</v>
      </c>
      <c r="AG248" t="s" s="0">
        <v>6019</v>
      </c>
      <c r="AH248" t="s" s="0">
        <v>81</v>
      </c>
      <c r="AI248" t="s" s="0">
        <v>6020</v>
      </c>
      <c r="AJ248" t="s" s="0">
        <v>6021</v>
      </c>
      <c r="AK248" t="s" s="0">
        <v>81</v>
      </c>
      <c r="AL248" t="s" s="0">
        <v>595</v>
      </c>
      <c r="AM248" t="s" s="0">
        <v>101</v>
      </c>
      <c r="AN248" t="s" s="0">
        <v>101</v>
      </c>
      <c r="AO248" t="s" s="0">
        <v>399</v>
      </c>
      <c r="AP248" t="s" s="0">
        <v>182</v>
      </c>
      <c r="AQ248" t="s" s="0">
        <v>786</v>
      </c>
      <c r="AR248" t="s" s="0">
        <v>787</v>
      </c>
      <c r="AS248" t="s" s="0">
        <v>788</v>
      </c>
      <c r="AT248" t="s" s="0">
        <v>3205</v>
      </c>
      <c r="AU248" t="s" s="0">
        <v>3206</v>
      </c>
      <c r="AV248" t="s" s="0">
        <v>81</v>
      </c>
      <c r="AW248" t="s" s="0">
        <v>3207</v>
      </c>
      <c r="AX248" t="s" s="0">
        <v>3208</v>
      </c>
      <c r="AY248" t="s" s="0">
        <v>6022</v>
      </c>
      <c r="AZ248" t="s" s="0">
        <v>212</v>
      </c>
      <c r="BA248" t="s" s="0">
        <v>2338</v>
      </c>
      <c r="BB248" t="s" s="0">
        <v>81</v>
      </c>
      <c r="BC248" t="s" s="0">
        <v>81</v>
      </c>
      <c r="BD248" t="s" s="0">
        <v>628</v>
      </c>
      <c r="BE248" t="s" s="0">
        <v>81</v>
      </c>
      <c r="BF248" t="s" s="0">
        <v>81</v>
      </c>
      <c r="BG248" t="s" s="0">
        <v>81</v>
      </c>
      <c r="BH248" t="s" s="0">
        <v>81</v>
      </c>
      <c r="BI248" t="s" s="0">
        <v>6023</v>
      </c>
      <c r="BJ248" t="s" s="0">
        <v>6024</v>
      </c>
      <c r="BK248" t="s" s="491">
        <f>HYPERLINK("http://dx.doi.org/10.1016/j.engappai.2025.113636","http://dx.doi.org/10.1016/j.engappai.2025.113636")</f>
        <v>6025</v>
      </c>
      <c r="BL248" t="s" s="0">
        <v>81</v>
      </c>
      <c r="BM248" t="s" s="0">
        <v>1283</v>
      </c>
      <c r="BN248" t="s" s="0">
        <v>1110</v>
      </c>
      <c r="BO248" t="s" s="0">
        <v>3214</v>
      </c>
      <c r="BP248" t="s" s="0">
        <v>3215</v>
      </c>
      <c r="BQ248" t="s" s="0">
        <v>6026</v>
      </c>
      <c r="BR248" t="s" s="0">
        <v>81</v>
      </c>
      <c r="BS248" t="s" s="0">
        <v>6027</v>
      </c>
      <c r="BT248" t="s" s="492">
        <f>HYPERLINK("https://www.webofscience.com/wos/woscc/full-record/WOS:001654615600001","View Record in Web of Science")</f>
        <v>123</v>
      </c>
      <c r="BU248" t="s" s="0">
        <v>81</v>
      </c>
      <c r="BV248" t="s" s="0">
        <v>81</v>
      </c>
      <c r="BW248" t="s" s="0">
        <v>81</v>
      </c>
      <c r="BX248" t="s" s="0">
        <v>124</v>
      </c>
    </row>
    <row r="249">
      <c r="A249" t="s" s="0">
        <v>77</v>
      </c>
      <c r="B249" t="s" s="0">
        <v>77</v>
      </c>
      <c r="C249" t="s" s="0">
        <v>77</v>
      </c>
      <c r="D249" t="s" s="0">
        <v>77</v>
      </c>
      <c r="E249" t="s" s="0">
        <v>6028</v>
      </c>
      <c r="F249" t="s" s="0">
        <v>6029</v>
      </c>
      <c r="G249" t="s" s="0">
        <v>6030</v>
      </c>
      <c r="H249" t="s" s="0">
        <v>81</v>
      </c>
      <c r="I249" t="s" s="0">
        <v>82</v>
      </c>
      <c r="J249" t="s" s="0">
        <v>6031</v>
      </c>
      <c r="K249" t="s" s="0">
        <v>6032</v>
      </c>
      <c r="L249" t="s" s="0">
        <v>6033</v>
      </c>
      <c r="M249" t="s" s="0">
        <v>199</v>
      </c>
      <c r="N249" t="s" s="0">
        <v>6034</v>
      </c>
      <c r="O249" t="s" s="0">
        <v>6035</v>
      </c>
      <c r="P249" t="s" s="0">
        <v>6036</v>
      </c>
      <c r="Q249" t="s" s="0">
        <v>90</v>
      </c>
      <c r="R249" t="s" s="0">
        <v>81</v>
      </c>
      <c r="S249" t="s" s="0">
        <v>81</v>
      </c>
      <c r="T249" t="s" s="0">
        <v>81</v>
      </c>
      <c r="U249" t="s" s="0">
        <v>81</v>
      </c>
      <c r="V249" t="s" s="0">
        <v>6037</v>
      </c>
      <c r="W249" t="s" s="0">
        <v>6038</v>
      </c>
      <c r="X249" t="s" s="0">
        <v>81</v>
      </c>
      <c r="Y249" t="s" s="0">
        <v>81</v>
      </c>
      <c r="Z249" t="s" s="0">
        <v>93</v>
      </c>
      <c r="AA249" t="s" s="0">
        <v>94</v>
      </c>
      <c r="AB249" t="s" s="0">
        <v>81</v>
      </c>
      <c r="AC249" t="s" s="0">
        <v>81</v>
      </c>
      <c r="AD249" t="s" s="0">
        <v>81</v>
      </c>
      <c r="AE249" t="s" s="0">
        <v>81</v>
      </c>
      <c r="AF249" t="s" s="0">
        <v>81</v>
      </c>
      <c r="AG249" t="s" s="0">
        <v>6039</v>
      </c>
      <c r="AH249" t="s" s="0">
        <v>6040</v>
      </c>
      <c r="AI249" t="s" s="0">
        <v>81</v>
      </c>
      <c r="AJ249" t="s" s="0">
        <v>81</v>
      </c>
      <c r="AK249" t="s" s="0">
        <v>81</v>
      </c>
      <c r="AL249" t="s" s="0">
        <v>732</v>
      </c>
      <c r="AM249" t="s" s="0">
        <v>77</v>
      </c>
      <c r="AN249" t="s" s="0">
        <v>77</v>
      </c>
      <c r="AO249" t="s" s="0">
        <v>158</v>
      </c>
      <c r="AP249" t="s" s="0">
        <v>158</v>
      </c>
      <c r="AQ249" t="s" s="0">
        <v>140</v>
      </c>
      <c r="AR249" t="s" s="0">
        <v>141</v>
      </c>
      <c r="AS249" t="s" s="0">
        <v>142</v>
      </c>
      <c r="AT249" t="s" s="0">
        <v>6041</v>
      </c>
      <c r="AU249" t="s" s="0">
        <v>81</v>
      </c>
      <c r="AV249" t="s" s="0">
        <v>81</v>
      </c>
      <c r="AW249" t="s" s="0">
        <v>6042</v>
      </c>
      <c r="AX249" t="s" s="0">
        <v>6043</v>
      </c>
      <c r="AY249" t="s" s="0">
        <v>279</v>
      </c>
      <c r="AZ249" t="s" s="0">
        <v>212</v>
      </c>
      <c r="BA249" t="s" s="0">
        <v>2020</v>
      </c>
      <c r="BB249" t="s" s="0">
        <v>81</v>
      </c>
      <c r="BC249" t="s" s="0">
        <v>81</v>
      </c>
      <c r="BD249" t="s" s="0">
        <v>81</v>
      </c>
      <c r="BE249" t="s" s="0">
        <v>81</v>
      </c>
      <c r="BF249" t="s" s="0">
        <v>81</v>
      </c>
      <c r="BG249" t="s" s="0">
        <v>81</v>
      </c>
      <c r="BH249" t="s" s="0">
        <v>81</v>
      </c>
      <c r="BI249" t="s" s="0">
        <v>6044</v>
      </c>
      <c r="BJ249" t="s" s="0">
        <v>6045</v>
      </c>
      <c r="BK249" t="s" s="493">
        <f>HYPERLINK("http://dx.doi.org/10.1016/j.jwpe.2026.109966","http://dx.doi.org/10.1016/j.jwpe.2026.109966")</f>
        <v>6046</v>
      </c>
      <c r="BL249" t="s" s="0">
        <v>81</v>
      </c>
      <c r="BM249" t="s" s="0">
        <v>279</v>
      </c>
      <c r="BN249" t="s" s="0">
        <v>117</v>
      </c>
      <c r="BO249" t="s" s="0">
        <v>6047</v>
      </c>
      <c r="BP249" t="s" s="0">
        <v>6048</v>
      </c>
      <c r="BQ249" t="s" s="0">
        <v>6049</v>
      </c>
      <c r="BR249" t="s" s="0">
        <v>81</v>
      </c>
      <c r="BS249" t="s" s="0">
        <v>6050</v>
      </c>
      <c r="BT249" t="s" s="494">
        <f>HYPERLINK("https://www.webofscience.com/wos/woscc/full-record/WOS:001736232700001","View Record in Web of Science")</f>
        <v>123</v>
      </c>
      <c r="BU249" t="s" s="0">
        <v>81</v>
      </c>
      <c r="BV249" t="s" s="0">
        <v>81</v>
      </c>
      <c r="BW249" t="s" s="0">
        <v>81</v>
      </c>
      <c r="BX249" t="s" s="0">
        <v>124</v>
      </c>
    </row>
    <row r="250">
      <c r="A250" t="s" s="0">
        <v>77</v>
      </c>
      <c r="B250" t="s" s="0">
        <v>77</v>
      </c>
      <c r="C250" t="s" s="0">
        <v>77</v>
      </c>
      <c r="D250" t="s" s="0">
        <v>77</v>
      </c>
      <c r="E250" t="s" s="0">
        <v>6051</v>
      </c>
      <c r="F250" t="s" s="0">
        <v>6052</v>
      </c>
      <c r="G250" t="s" s="0">
        <v>6053</v>
      </c>
      <c r="H250" t="s" s="0">
        <v>81</v>
      </c>
      <c r="I250" t="s" s="0">
        <v>82</v>
      </c>
      <c r="J250" t="s" s="0">
        <v>6054</v>
      </c>
      <c r="K250" t="s" s="0">
        <v>6055</v>
      </c>
      <c r="L250" t="s" s="0">
        <v>6056</v>
      </c>
      <c r="M250" t="s" s="0">
        <v>6057</v>
      </c>
      <c r="N250" t="s" s="0">
        <v>6058</v>
      </c>
      <c r="O250" t="s" s="0">
        <v>6059</v>
      </c>
      <c r="P250" t="s" s="0">
        <v>6060</v>
      </c>
      <c r="Q250" t="s" s="0">
        <v>90</v>
      </c>
      <c r="R250" t="s" s="0">
        <v>81</v>
      </c>
      <c r="S250" t="s" s="0">
        <v>81</v>
      </c>
      <c r="T250" t="s" s="0">
        <v>81</v>
      </c>
      <c r="U250" t="s" s="0">
        <v>81</v>
      </c>
      <c r="V250" t="s" s="0">
        <v>6061</v>
      </c>
      <c r="W250" t="s" s="0">
        <v>2759</v>
      </c>
      <c r="X250" t="s" s="0">
        <v>81</v>
      </c>
      <c r="Y250" t="s" s="0">
        <v>81</v>
      </c>
      <c r="Z250" t="s" s="0">
        <v>93</v>
      </c>
      <c r="AA250" t="s" s="0">
        <v>94</v>
      </c>
      <c r="AB250" t="s" s="0">
        <v>81</v>
      </c>
      <c r="AC250" t="s" s="0">
        <v>81</v>
      </c>
      <c r="AD250" t="s" s="0">
        <v>81</v>
      </c>
      <c r="AE250" t="s" s="0">
        <v>81</v>
      </c>
      <c r="AF250" t="s" s="0">
        <v>81</v>
      </c>
      <c r="AG250" t="s" s="0">
        <v>6062</v>
      </c>
      <c r="AH250" t="s" s="0">
        <v>6063</v>
      </c>
      <c r="AI250" t="s" s="0">
        <v>6064</v>
      </c>
      <c r="AJ250" t="s" s="0">
        <v>6065</v>
      </c>
      <c r="AK250" t="s" s="0">
        <v>81</v>
      </c>
      <c r="AL250" t="s" s="0">
        <v>587</v>
      </c>
      <c r="AM250" t="s" s="0">
        <v>137</v>
      </c>
      <c r="AN250" t="s" s="0">
        <v>101</v>
      </c>
      <c r="AO250" t="s" s="0">
        <v>172</v>
      </c>
      <c r="AP250" t="s" s="0">
        <v>217</v>
      </c>
      <c r="AQ250" t="s" s="0">
        <v>2761</v>
      </c>
      <c r="AR250" t="s" s="0">
        <v>787</v>
      </c>
      <c r="AS250" t="s" s="0">
        <v>2762</v>
      </c>
      <c r="AT250" t="s" s="0">
        <v>2763</v>
      </c>
      <c r="AU250" t="s" s="0">
        <v>2764</v>
      </c>
      <c r="AV250" t="s" s="0">
        <v>81</v>
      </c>
      <c r="AW250" t="s" s="0">
        <v>2765</v>
      </c>
      <c r="AX250" t="s" s="0">
        <v>2766</v>
      </c>
      <c r="AY250" t="s" s="0">
        <v>1526</v>
      </c>
      <c r="AZ250" t="s" s="0">
        <v>111</v>
      </c>
      <c r="BA250" t="s" s="0">
        <v>1443</v>
      </c>
      <c r="BB250" t="s" s="0">
        <v>333</v>
      </c>
      <c r="BC250" t="s" s="0">
        <v>81</v>
      </c>
      <c r="BD250" t="s" s="0">
        <v>81</v>
      </c>
      <c r="BE250" t="s" s="0">
        <v>81</v>
      </c>
      <c r="BF250" t="s" s="0">
        <v>81</v>
      </c>
      <c r="BG250" t="s" s="0">
        <v>81</v>
      </c>
      <c r="BH250" t="s" s="0">
        <v>81</v>
      </c>
      <c r="BI250" t="s" s="0">
        <v>6066</v>
      </c>
      <c r="BJ250" t="s" s="0">
        <v>6067</v>
      </c>
      <c r="BK250" t="s" s="495">
        <f>HYPERLINK("http://dx.doi.org/10.1093/bib/bbaf590","http://dx.doi.org/10.1093/bib/bbaf590")</f>
        <v>6068</v>
      </c>
      <c r="BL250" t="s" s="0">
        <v>81</v>
      </c>
      <c r="BM250" t="s" s="0">
        <v>81</v>
      </c>
      <c r="BN250" t="s" s="0">
        <v>399</v>
      </c>
      <c r="BO250" t="s" s="0">
        <v>2771</v>
      </c>
      <c r="BP250" t="s" s="0">
        <v>2772</v>
      </c>
      <c r="BQ250" t="s" s="0">
        <v>6069</v>
      </c>
      <c r="BR250" t="s" s="0">
        <v>6070</v>
      </c>
      <c r="BS250" t="s" s="0">
        <v>6071</v>
      </c>
      <c r="BT250" t="s" s="496">
        <f>HYPERLINK("https://www.webofscience.com/wos/woscc/full-record/WOS:001612959200001","View Record in Web of Science")</f>
        <v>123</v>
      </c>
      <c r="BU250" t="s" s="0">
        <v>191</v>
      </c>
      <c r="BV250" t="s" s="0">
        <v>81</v>
      </c>
      <c r="BW250" t="s" s="0">
        <v>81</v>
      </c>
      <c r="BX250" t="s" s="0">
        <v>124</v>
      </c>
    </row>
    <row r="251">
      <c r="A251" t="s" s="0">
        <v>77</v>
      </c>
      <c r="B251" t="s" s="0">
        <v>77</v>
      </c>
      <c r="C251" t="s" s="0">
        <v>137</v>
      </c>
      <c r="D251" t="s" s="0">
        <v>77</v>
      </c>
      <c r="E251" t="s" s="0">
        <v>6072</v>
      </c>
      <c r="F251" t="s" s="0">
        <v>6073</v>
      </c>
      <c r="G251" t="s" s="0">
        <v>6074</v>
      </c>
      <c r="H251" t="s" s="0">
        <v>81</v>
      </c>
      <c r="I251" t="s" s="0">
        <v>82</v>
      </c>
      <c r="J251" t="s" s="0">
        <v>6075</v>
      </c>
      <c r="K251" t="s" s="0">
        <v>6076</v>
      </c>
      <c r="L251" t="s" s="0">
        <v>6077</v>
      </c>
      <c r="M251" t="s" s="0">
        <v>6078</v>
      </c>
      <c r="N251" t="s" s="0">
        <v>6079</v>
      </c>
      <c r="O251" t="s" s="0">
        <v>6080</v>
      </c>
      <c r="P251" t="s" s="0">
        <v>6081</v>
      </c>
      <c r="Q251" t="s" s="0">
        <v>90</v>
      </c>
      <c r="R251" t="s" s="0">
        <v>81</v>
      </c>
      <c r="S251" t="s" s="0">
        <v>81</v>
      </c>
      <c r="T251" t="s" s="0">
        <v>81</v>
      </c>
      <c r="U251" t="s" s="0">
        <v>81</v>
      </c>
      <c r="V251" t="s" s="0">
        <v>6082</v>
      </c>
      <c r="W251" t="s" s="0">
        <v>6083</v>
      </c>
      <c r="X251" t="s" s="0">
        <v>81</v>
      </c>
      <c r="Y251" t="s" s="0">
        <v>81</v>
      </c>
      <c r="Z251" t="s" s="0">
        <v>93</v>
      </c>
      <c r="AA251" t="s" s="0">
        <v>94</v>
      </c>
      <c r="AB251" t="s" s="0">
        <v>81</v>
      </c>
      <c r="AC251" t="s" s="0">
        <v>81</v>
      </c>
      <c r="AD251" t="s" s="0">
        <v>81</v>
      </c>
      <c r="AE251" t="s" s="0">
        <v>81</v>
      </c>
      <c r="AF251" t="s" s="0">
        <v>81</v>
      </c>
      <c r="AG251" t="s" s="0">
        <v>6084</v>
      </c>
      <c r="AH251" t="s" s="0">
        <v>6085</v>
      </c>
      <c r="AI251" t="s" s="0">
        <v>6086</v>
      </c>
      <c r="AJ251" t="s" s="0">
        <v>6087</v>
      </c>
      <c r="AK251" t="s" s="0">
        <v>81</v>
      </c>
      <c r="AL251" t="s" s="0">
        <v>1085</v>
      </c>
      <c r="AM251" t="s" s="0">
        <v>895</v>
      </c>
      <c r="AN251" t="s" s="0">
        <v>895</v>
      </c>
      <c r="AO251" t="s" s="0">
        <v>77</v>
      </c>
      <c r="AP251" t="s" s="0">
        <v>213</v>
      </c>
      <c r="AQ251" t="s" s="0">
        <v>3520</v>
      </c>
      <c r="AR251" t="s" s="0">
        <v>3521</v>
      </c>
      <c r="AS251" t="s" s="0">
        <v>3522</v>
      </c>
      <c r="AT251" t="s" s="0">
        <v>6088</v>
      </c>
      <c r="AU251" t="s" s="0">
        <v>6089</v>
      </c>
      <c r="AV251" t="s" s="0">
        <v>81</v>
      </c>
      <c r="AW251" t="s" s="0">
        <v>6090</v>
      </c>
      <c r="AX251" t="s" s="0">
        <v>6091</v>
      </c>
      <c r="AY251" t="s" s="0">
        <v>5318</v>
      </c>
      <c r="AZ251" t="s" s="0">
        <v>181</v>
      </c>
      <c r="BA251" t="s" s="0">
        <v>6092</v>
      </c>
      <c r="BB251" t="s" s="0">
        <v>158</v>
      </c>
      <c r="BC251" t="s" s="0">
        <v>81</v>
      </c>
      <c r="BD251" t="s" s="0">
        <v>81</v>
      </c>
      <c r="BE251" t="s" s="0">
        <v>81</v>
      </c>
      <c r="BF251" t="s" s="0">
        <v>81</v>
      </c>
      <c r="BG251" t="s" s="0">
        <v>6093</v>
      </c>
      <c r="BH251" t="s" s="0">
        <v>6094</v>
      </c>
      <c r="BI251" t="s" s="0">
        <v>81</v>
      </c>
      <c r="BJ251" t="s" s="0">
        <v>6095</v>
      </c>
      <c r="BK251" t="s" s="497">
        <f>HYPERLINK("http://dx.doi.org/10.1177/03611981221130026","http://dx.doi.org/10.1177/03611981221130026")</f>
        <v>6096</v>
      </c>
      <c r="BL251" t="s" s="0">
        <v>81</v>
      </c>
      <c r="BM251" t="s" s="0">
        <v>677</v>
      </c>
      <c r="BN251" t="s" s="0">
        <v>117</v>
      </c>
      <c r="BO251" t="s" s="0">
        <v>6097</v>
      </c>
      <c r="BP251" t="s" s="0">
        <v>6098</v>
      </c>
      <c r="BQ251" t="s" s="0">
        <v>6099</v>
      </c>
      <c r="BR251" t="s" s="0">
        <v>81</v>
      </c>
      <c r="BS251" t="s" s="0">
        <v>6100</v>
      </c>
      <c r="BT251" t="s" s="498">
        <f>HYPERLINK("https://www.webofscience.com/wos/woscc/full-record/WOS:000884987100001","View Record in Web of Science")</f>
        <v>123</v>
      </c>
      <c r="BU251" t="s" s="0">
        <v>81</v>
      </c>
      <c r="BV251" t="s" s="0">
        <v>81</v>
      </c>
      <c r="BW251" t="s" s="0">
        <v>81</v>
      </c>
      <c r="BX251" t="s" s="0">
        <v>124</v>
      </c>
    </row>
    <row r="252">
      <c r="A252" t="s" s="0">
        <v>77</v>
      </c>
      <c r="B252" t="s" s="0">
        <v>77</v>
      </c>
      <c r="C252" t="s" s="0">
        <v>77</v>
      </c>
      <c r="D252" t="s" s="0">
        <v>77</v>
      </c>
      <c r="E252" t="s" s="0">
        <v>6101</v>
      </c>
      <c r="F252" t="s" s="0">
        <v>6102</v>
      </c>
      <c r="G252" t="s" s="0">
        <v>6103</v>
      </c>
      <c r="H252" t="s" s="0">
        <v>81</v>
      </c>
      <c r="I252" t="s" s="0">
        <v>82</v>
      </c>
      <c r="J252" t="s" s="0">
        <v>6104</v>
      </c>
      <c r="K252" t="s" s="0">
        <v>6105</v>
      </c>
      <c r="L252" t="s" s="0">
        <v>81</v>
      </c>
      <c r="M252" t="s" s="0">
        <v>81</v>
      </c>
      <c r="N252" t="s" s="0">
        <v>81</v>
      </c>
      <c r="O252" t="s" s="0">
        <v>6106</v>
      </c>
      <c r="P252" t="s" s="0">
        <v>6107</v>
      </c>
      <c r="Q252" t="s" s="0">
        <v>90</v>
      </c>
      <c r="R252" t="s" s="0">
        <v>81</v>
      </c>
      <c r="S252" t="s" s="0">
        <v>81</v>
      </c>
      <c r="T252" t="s" s="0">
        <v>81</v>
      </c>
      <c r="U252" t="s" s="0">
        <v>81</v>
      </c>
      <c r="V252" t="s" s="0">
        <v>6108</v>
      </c>
      <c r="W252" t="s" s="0">
        <v>6109</v>
      </c>
      <c r="X252" t="s" s="0">
        <v>81</v>
      </c>
      <c r="Y252" t="s" s="0">
        <v>81</v>
      </c>
      <c r="Z252" t="s" s="0">
        <v>93</v>
      </c>
      <c r="AA252" t="s" s="0">
        <v>94</v>
      </c>
      <c r="AB252" t="s" s="0">
        <v>81</v>
      </c>
      <c r="AC252" t="s" s="0">
        <v>81</v>
      </c>
      <c r="AD252" t="s" s="0">
        <v>81</v>
      </c>
      <c r="AE252" t="s" s="0">
        <v>81</v>
      </c>
      <c r="AF252" t="s" s="0">
        <v>81</v>
      </c>
      <c r="AG252" t="s" s="0">
        <v>6110</v>
      </c>
      <c r="AH252" t="s" s="0">
        <v>81</v>
      </c>
      <c r="AI252" t="s" s="0">
        <v>81</v>
      </c>
      <c r="AJ252" t="s" s="0">
        <v>81</v>
      </c>
      <c r="AK252" t="s" s="0">
        <v>81</v>
      </c>
      <c r="AL252" t="s" s="0">
        <v>390</v>
      </c>
      <c r="AM252" t="s" s="0">
        <v>77</v>
      </c>
      <c r="AN252" t="s" s="0">
        <v>77</v>
      </c>
      <c r="AO252" t="s" s="0">
        <v>77</v>
      </c>
      <c r="AP252" t="s" s="0">
        <v>77</v>
      </c>
      <c r="AQ252" t="s" s="0">
        <v>786</v>
      </c>
      <c r="AR252" t="s" s="0">
        <v>787</v>
      </c>
      <c r="AS252" t="s" s="0">
        <v>788</v>
      </c>
      <c r="AT252" t="s" s="0">
        <v>6111</v>
      </c>
      <c r="AU252" t="s" s="0">
        <v>6112</v>
      </c>
      <c r="AV252" t="s" s="0">
        <v>81</v>
      </c>
      <c r="AW252" t="s" s="0">
        <v>6113</v>
      </c>
      <c r="AX252" t="s" s="0">
        <v>6114</v>
      </c>
      <c r="AY252" t="s" s="0">
        <v>6115</v>
      </c>
      <c r="AZ252" t="s" s="0">
        <v>212</v>
      </c>
      <c r="BA252" t="s" s="0">
        <v>6116</v>
      </c>
      <c r="BB252" t="s" s="0">
        <v>81</v>
      </c>
      <c r="BC252" t="s" s="0">
        <v>81</v>
      </c>
      <c r="BD252" t="s" s="0">
        <v>81</v>
      </c>
      <c r="BE252" t="s" s="0">
        <v>81</v>
      </c>
      <c r="BF252" t="s" s="0">
        <v>81</v>
      </c>
      <c r="BG252" t="s" s="0">
        <v>81</v>
      </c>
      <c r="BH252" t="s" s="0">
        <v>81</v>
      </c>
      <c r="BI252" t="s" s="0">
        <v>6117</v>
      </c>
      <c r="BJ252" t="s" s="0">
        <v>6118</v>
      </c>
      <c r="BK252" t="s" s="499">
        <f>HYPERLINK("http://dx.doi.org/10.1016/j.solener.2026.114864","http://dx.doi.org/10.1016/j.solener.2026.114864")</f>
        <v>6119</v>
      </c>
      <c r="BL252" t="s" s="0">
        <v>81</v>
      </c>
      <c r="BM252" t="s" s="0">
        <v>827</v>
      </c>
      <c r="BN252" t="s" s="0">
        <v>213</v>
      </c>
      <c r="BO252" t="s" s="0">
        <v>6120</v>
      </c>
      <c r="BP252" t="s" s="0">
        <v>6120</v>
      </c>
      <c r="BQ252" t="s" s="0">
        <v>6121</v>
      </c>
      <c r="BR252" t="s" s="0">
        <v>81</v>
      </c>
      <c r="BS252" t="s" s="0">
        <v>6122</v>
      </c>
      <c r="BT252" t="s" s="500">
        <f>HYPERLINK("https://www.webofscience.com/wos/woscc/full-record/WOS:001820902000001","View Record in Web of Science")</f>
        <v>123</v>
      </c>
      <c r="BU252" t="s" s="0">
        <v>81</v>
      </c>
      <c r="BV252" t="s" s="0">
        <v>81</v>
      </c>
      <c r="BW252" t="s" s="0">
        <v>81</v>
      </c>
      <c r="BX252" t="s" s="0">
        <v>124</v>
      </c>
    </row>
    <row r="253">
      <c r="A253" t="s" s="0">
        <v>77</v>
      </c>
      <c r="B253" t="s" s="0">
        <v>77</v>
      </c>
      <c r="C253" t="s" s="0">
        <v>77</v>
      </c>
      <c r="D253" t="s" s="0">
        <v>77</v>
      </c>
      <c r="E253" t="s" s="0">
        <v>6123</v>
      </c>
      <c r="F253" t="s" s="0">
        <v>6124</v>
      </c>
      <c r="G253" t="s" s="0">
        <v>6125</v>
      </c>
      <c r="H253" t="s" s="0">
        <v>81</v>
      </c>
      <c r="I253" t="s" s="0">
        <v>195</v>
      </c>
      <c r="J253" t="s" s="0">
        <v>6126</v>
      </c>
      <c r="K253" t="s" s="0">
        <v>6127</v>
      </c>
      <c r="L253" t="s" s="0">
        <v>81</v>
      </c>
      <c r="M253" t="s" s="0">
        <v>81</v>
      </c>
      <c r="N253" t="s" s="0">
        <v>81</v>
      </c>
      <c r="O253" t="s" s="0">
        <v>6128</v>
      </c>
      <c r="P253" t="s" s="0">
        <v>6129</v>
      </c>
      <c r="Q253" t="s" s="0">
        <v>90</v>
      </c>
      <c r="R253" t="s" s="0">
        <v>81</v>
      </c>
      <c r="S253" t="s" s="0">
        <v>81</v>
      </c>
      <c r="T253" t="s" s="0">
        <v>81</v>
      </c>
      <c r="U253" t="s" s="0">
        <v>81</v>
      </c>
      <c r="V253" t="s" s="0">
        <v>6130</v>
      </c>
      <c r="W253" t="s" s="0">
        <v>5629</v>
      </c>
      <c r="X253" t="s" s="0">
        <v>81</v>
      </c>
      <c r="Y253" t="s" s="0">
        <v>81</v>
      </c>
      <c r="Z253" t="s" s="0">
        <v>93</v>
      </c>
      <c r="AA253" t="s" s="0">
        <v>94</v>
      </c>
      <c r="AB253" t="s" s="0">
        <v>81</v>
      </c>
      <c r="AC253" t="s" s="0">
        <v>81</v>
      </c>
      <c r="AD253" t="s" s="0">
        <v>81</v>
      </c>
      <c r="AE253" t="s" s="0">
        <v>81</v>
      </c>
      <c r="AF253" t="s" s="0">
        <v>81</v>
      </c>
      <c r="AG253" t="s" s="0">
        <v>6131</v>
      </c>
      <c r="AH253" t="s" s="0">
        <v>6132</v>
      </c>
      <c r="AI253" t="s" s="0">
        <v>6133</v>
      </c>
      <c r="AJ253" t="s" s="0">
        <v>81</v>
      </c>
      <c r="AK253" t="s" s="0">
        <v>81</v>
      </c>
      <c r="AL253" t="s" s="0">
        <v>937</v>
      </c>
      <c r="AM253" t="s" s="0">
        <v>101</v>
      </c>
      <c r="AN253" t="s" s="0">
        <v>101</v>
      </c>
      <c r="AO253" t="s" s="0">
        <v>101</v>
      </c>
      <c r="AP253" t="s" s="0">
        <v>101</v>
      </c>
      <c r="AQ253" t="s" s="0">
        <v>140</v>
      </c>
      <c r="AR253" t="s" s="0">
        <v>141</v>
      </c>
      <c r="AS253" t="s" s="0">
        <v>142</v>
      </c>
      <c r="AT253" t="s" s="0">
        <v>5633</v>
      </c>
      <c r="AU253" t="s" s="0">
        <v>81</v>
      </c>
      <c r="AV253" t="s" s="0">
        <v>81</v>
      </c>
      <c r="AW253" t="s" s="0">
        <v>5634</v>
      </c>
      <c r="AX253" t="s" s="0">
        <v>5635</v>
      </c>
      <c r="AY253" t="s" s="0">
        <v>827</v>
      </c>
      <c r="AZ253" t="s" s="0">
        <v>212</v>
      </c>
      <c r="BA253" t="s" s="0">
        <v>595</v>
      </c>
      <c r="BB253" t="s" s="0">
        <v>81</v>
      </c>
      <c r="BC253" t="s" s="0">
        <v>81</v>
      </c>
      <c r="BD253" t="s" s="0">
        <v>81</v>
      </c>
      <c r="BE253" t="s" s="0">
        <v>81</v>
      </c>
      <c r="BF253" t="s" s="0">
        <v>81</v>
      </c>
      <c r="BG253" t="s" s="0">
        <v>81</v>
      </c>
      <c r="BH253" t="s" s="0">
        <v>81</v>
      </c>
      <c r="BI253" t="s" s="0">
        <v>6134</v>
      </c>
      <c r="BJ253" t="s" s="0">
        <v>6135</v>
      </c>
      <c r="BK253" t="s" s="501">
        <f>HYPERLINK("http://dx.doi.org/10.1016/j.array.2026.100792","http://dx.doi.org/10.1016/j.array.2026.100792")</f>
        <v>6136</v>
      </c>
      <c r="BL253" t="s" s="0">
        <v>81</v>
      </c>
      <c r="BM253" t="s" s="0">
        <v>81</v>
      </c>
      <c r="BN253" t="s" s="0">
        <v>102</v>
      </c>
      <c r="BO253" t="s" s="0">
        <v>3286</v>
      </c>
      <c r="BP253" t="s" s="0">
        <v>250</v>
      </c>
      <c r="BQ253" t="s" s="0">
        <v>6137</v>
      </c>
      <c r="BR253" t="s" s="0">
        <v>81</v>
      </c>
      <c r="BS253" t="s" s="0">
        <v>6138</v>
      </c>
      <c r="BT253" t="s" s="502">
        <f>HYPERLINK("https://www.webofscience.com/wos/woscc/full-record/WOS:001730812000001","View Record in Web of Science")</f>
        <v>123</v>
      </c>
      <c r="BU253" t="s" s="0">
        <v>222</v>
      </c>
      <c r="BV253" t="s" s="0">
        <v>81</v>
      </c>
      <c r="BW253" t="s" s="0">
        <v>81</v>
      </c>
      <c r="BX253" t="s" s="0">
        <v>124</v>
      </c>
    </row>
    <row r="254">
      <c r="A254" t="s" s="0">
        <v>137</v>
      </c>
      <c r="B254" t="s" s="0">
        <v>77</v>
      </c>
      <c r="C254" t="s" s="0">
        <v>77</v>
      </c>
      <c r="D254" t="s" s="0">
        <v>77</v>
      </c>
      <c r="E254" t="s" s="0">
        <v>6139</v>
      </c>
      <c r="F254" t="s" s="0">
        <v>6140</v>
      </c>
      <c r="G254" t="s" s="0">
        <v>6141</v>
      </c>
      <c r="H254" t="s" s="0">
        <v>81</v>
      </c>
      <c r="I254" t="s" s="0">
        <v>82</v>
      </c>
      <c r="J254" t="s" s="0">
        <v>6142</v>
      </c>
      <c r="K254" t="s" s="0">
        <v>6143</v>
      </c>
      <c r="L254" t="s" s="0">
        <v>81</v>
      </c>
      <c r="M254" t="s" s="0">
        <v>81</v>
      </c>
      <c r="N254" t="s" s="0">
        <v>81</v>
      </c>
      <c r="O254" t="s" s="0">
        <v>6144</v>
      </c>
      <c r="P254" t="s" s="0">
        <v>6145</v>
      </c>
      <c r="Q254" t="s" s="0">
        <v>90</v>
      </c>
      <c r="R254" t="s" s="0">
        <v>81</v>
      </c>
      <c r="S254" t="s" s="0">
        <v>81</v>
      </c>
      <c r="T254" t="s" s="0">
        <v>81</v>
      </c>
      <c r="U254" t="s" s="0">
        <v>81</v>
      </c>
      <c r="V254" t="s" s="0">
        <v>6146</v>
      </c>
      <c r="W254" t="s" s="0">
        <v>1354</v>
      </c>
      <c r="X254" t="s" s="0">
        <v>81</v>
      </c>
      <c r="Y254" t="s" s="0">
        <v>81</v>
      </c>
      <c r="Z254" t="s" s="0">
        <v>93</v>
      </c>
      <c r="AA254" t="s" s="0">
        <v>94</v>
      </c>
      <c r="AB254" t="s" s="0">
        <v>81</v>
      </c>
      <c r="AC254" t="s" s="0">
        <v>81</v>
      </c>
      <c r="AD254" t="s" s="0">
        <v>81</v>
      </c>
      <c r="AE254" t="s" s="0">
        <v>81</v>
      </c>
      <c r="AF254" t="s" s="0">
        <v>81</v>
      </c>
      <c r="AG254" t="s" s="0">
        <v>6147</v>
      </c>
      <c r="AH254" t="s" s="0">
        <v>6148</v>
      </c>
      <c r="AI254" t="s" s="0">
        <v>81</v>
      </c>
      <c r="AJ254" t="s" s="0">
        <v>81</v>
      </c>
      <c r="AK254" t="s" s="0">
        <v>81</v>
      </c>
      <c r="AL254" t="s" s="0">
        <v>2270</v>
      </c>
      <c r="AM254" t="s" s="0">
        <v>301</v>
      </c>
      <c r="AN254" t="s" s="0">
        <v>333</v>
      </c>
      <c r="AO254" t="s" s="0">
        <v>152</v>
      </c>
      <c r="AP254" t="s" s="0">
        <v>566</v>
      </c>
      <c r="AQ254" t="s" s="0">
        <v>174</v>
      </c>
      <c r="AR254" t="s" s="0">
        <v>175</v>
      </c>
      <c r="AS254" t="s" s="0">
        <v>208</v>
      </c>
      <c r="AT254" t="s" s="0">
        <v>81</v>
      </c>
      <c r="AU254" t="s" s="0">
        <v>1358</v>
      </c>
      <c r="AV254" t="s" s="0">
        <v>81</v>
      </c>
      <c r="AW254" t="s" s="0">
        <v>1359</v>
      </c>
      <c r="AX254" t="s" s="0">
        <v>1360</v>
      </c>
      <c r="AY254" t="s" s="0">
        <v>6149</v>
      </c>
      <c r="AZ254" t="s" s="0">
        <v>111</v>
      </c>
      <c r="BA254" t="s" s="0">
        <v>117</v>
      </c>
      <c r="BB254" t="s" s="0">
        <v>152</v>
      </c>
      <c r="BC254" t="s" s="0">
        <v>81</v>
      </c>
      <c r="BD254" t="s" s="0">
        <v>81</v>
      </c>
      <c r="BE254" t="s" s="0">
        <v>81</v>
      </c>
      <c r="BF254" t="s" s="0">
        <v>81</v>
      </c>
      <c r="BG254" t="s" s="0">
        <v>81</v>
      </c>
      <c r="BH254" t="s" s="0">
        <v>81</v>
      </c>
      <c r="BI254" t="s" s="0">
        <v>6150</v>
      </c>
      <c r="BJ254" t="s" s="0">
        <v>6151</v>
      </c>
      <c r="BK254" t="s" s="503">
        <f>HYPERLINK("http://dx.doi.org/10.3390/math13111868","http://dx.doi.org/10.3390/math13111868")</f>
        <v>6152</v>
      </c>
      <c r="BL254" t="s" s="0">
        <v>81</v>
      </c>
      <c r="BM254" t="s" s="0">
        <v>81</v>
      </c>
      <c r="BN254" t="s" s="0">
        <v>566</v>
      </c>
      <c r="BO254" t="s" s="0">
        <v>1360</v>
      </c>
      <c r="BP254" t="s" s="0">
        <v>1360</v>
      </c>
      <c r="BQ254" t="s" s="0">
        <v>6153</v>
      </c>
      <c r="BR254" t="s" s="0">
        <v>81</v>
      </c>
      <c r="BS254" t="s" s="0">
        <v>6154</v>
      </c>
      <c r="BT254" t="s" s="504">
        <f>HYPERLINK("https://www.webofscience.com/wos/woscc/full-record/WOS:001506064700001","View Record in Web of Science")</f>
        <v>123</v>
      </c>
      <c r="BU254" t="s" s="0">
        <v>191</v>
      </c>
      <c r="BV254" t="s" s="0">
        <v>81</v>
      </c>
      <c r="BW254" t="s" s="0">
        <v>81</v>
      </c>
      <c r="BX254" t="s" s="0">
        <v>124</v>
      </c>
    </row>
    <row r="255">
      <c r="A255" t="s" s="0">
        <v>77</v>
      </c>
      <c r="B255" t="s" s="0">
        <v>77</v>
      </c>
      <c r="C255" t="s" s="0">
        <v>77</v>
      </c>
      <c r="D255" t="s" s="0">
        <v>77</v>
      </c>
      <c r="E255" t="s" s="0">
        <v>6155</v>
      </c>
      <c r="F255" t="s" s="0">
        <v>6156</v>
      </c>
      <c r="G255" t="s" s="0">
        <v>6157</v>
      </c>
      <c r="H255" t="s" s="0">
        <v>81</v>
      </c>
      <c r="I255" t="s" s="0">
        <v>82</v>
      </c>
      <c r="J255" t="s" s="0">
        <v>6158</v>
      </c>
      <c r="K255" t="s" s="0">
        <v>6159</v>
      </c>
      <c r="L255" t="s" s="0">
        <v>6160</v>
      </c>
      <c r="M255" t="s" s="0">
        <v>6160</v>
      </c>
      <c r="N255" t="s" s="0">
        <v>6161</v>
      </c>
      <c r="O255" t="s" s="0">
        <v>6162</v>
      </c>
      <c r="P255" t="s" s="0">
        <v>6163</v>
      </c>
      <c r="Q255" t="s" s="0">
        <v>90</v>
      </c>
      <c r="R255" t="s" s="0">
        <v>81</v>
      </c>
      <c r="S255" t="s" s="0">
        <v>81</v>
      </c>
      <c r="T255" t="s" s="0">
        <v>81</v>
      </c>
      <c r="U255" t="s" s="0">
        <v>81</v>
      </c>
      <c r="V255" t="s" s="0">
        <v>6164</v>
      </c>
      <c r="W255" t="s" s="0">
        <v>6165</v>
      </c>
      <c r="X255" t="s" s="0">
        <v>81</v>
      </c>
      <c r="Y255" t="s" s="0">
        <v>81</v>
      </c>
      <c r="Z255" t="s" s="0">
        <v>93</v>
      </c>
      <c r="AA255" t="s" s="0">
        <v>94</v>
      </c>
      <c r="AB255" t="s" s="0">
        <v>81</v>
      </c>
      <c r="AC255" t="s" s="0">
        <v>81</v>
      </c>
      <c r="AD255" t="s" s="0">
        <v>81</v>
      </c>
      <c r="AE255" t="s" s="0">
        <v>81</v>
      </c>
      <c r="AF255" t="s" s="0">
        <v>81</v>
      </c>
      <c r="AG255" t="s" s="0">
        <v>6166</v>
      </c>
      <c r="AH255" t="s" s="0">
        <v>81</v>
      </c>
      <c r="AI255" t="s" s="0">
        <v>6167</v>
      </c>
      <c r="AJ255" t="s" s="0">
        <v>6168</v>
      </c>
      <c r="AK255" t="s" s="0">
        <v>81</v>
      </c>
      <c r="AL255" t="s" s="0">
        <v>513</v>
      </c>
      <c r="AM255" t="s" s="0">
        <v>676</v>
      </c>
      <c r="AN255" t="s" s="0">
        <v>676</v>
      </c>
      <c r="AO255" t="s" s="0">
        <v>213</v>
      </c>
      <c r="AP255" t="s" s="0">
        <v>1400</v>
      </c>
      <c r="AQ255" t="s" s="0">
        <v>620</v>
      </c>
      <c r="AR255" t="s" s="0">
        <v>621</v>
      </c>
      <c r="AS255" t="s" s="0">
        <v>622</v>
      </c>
      <c r="AT255" t="s" s="0">
        <v>6169</v>
      </c>
      <c r="AU255" t="s" s="0">
        <v>6170</v>
      </c>
      <c r="AV255" t="s" s="0">
        <v>81</v>
      </c>
      <c r="AW255" t="s" s="0">
        <v>6171</v>
      </c>
      <c r="AX255" t="s" s="0">
        <v>6172</v>
      </c>
      <c r="AY255" t="s" s="0">
        <v>4642</v>
      </c>
      <c r="AZ255" t="s" s="0">
        <v>111</v>
      </c>
      <c r="BA255" t="s" s="0">
        <v>6173</v>
      </c>
      <c r="BB255" t="s" s="0">
        <v>81</v>
      </c>
      <c r="BC255" t="s" s="0">
        <v>81</v>
      </c>
      <c r="BD255" t="s" s="0">
        <v>81</v>
      </c>
      <c r="BE255" t="s" s="0">
        <v>81</v>
      </c>
      <c r="BF255" t="s" s="0">
        <v>81</v>
      </c>
      <c r="BG255" t="s" s="0">
        <v>81</v>
      </c>
      <c r="BH255" t="s" s="0">
        <v>81</v>
      </c>
      <c r="BI255" t="s" s="0">
        <v>6174</v>
      </c>
      <c r="BJ255" t="s" s="0">
        <v>6175</v>
      </c>
      <c r="BK255" t="s" s="505">
        <f>HYPERLINK("http://dx.doi.org/10.1016/j.engstruct.2025.119710","http://dx.doi.org/10.1016/j.engstruct.2025.119710")</f>
        <v>6176</v>
      </c>
      <c r="BL255" t="s" s="0">
        <v>81</v>
      </c>
      <c r="BM255" t="s" s="0">
        <v>116</v>
      </c>
      <c r="BN255" t="s" s="0">
        <v>213</v>
      </c>
      <c r="BO255" t="s" s="0">
        <v>6177</v>
      </c>
      <c r="BP255" t="s" s="0">
        <v>219</v>
      </c>
      <c r="BQ255" t="s" s="0">
        <v>6178</v>
      </c>
      <c r="BR255" t="s" s="0">
        <v>81</v>
      </c>
      <c r="BS255" t="s" s="0">
        <v>6179</v>
      </c>
      <c r="BT255" t="s" s="506">
        <f>HYPERLINK("https://www.webofscience.com/wos/woscc/full-record/WOS:001403257100001","View Record in Web of Science")</f>
        <v>123</v>
      </c>
      <c r="BU255" t="s" s="0">
        <v>81</v>
      </c>
      <c r="BV255" t="s" s="0">
        <v>81</v>
      </c>
      <c r="BW255" t="s" s="0">
        <v>81</v>
      </c>
      <c r="BX255" t="s" s="0">
        <v>124</v>
      </c>
    </row>
    <row r="256">
      <c r="A256" t="s" s="0">
        <v>77</v>
      </c>
      <c r="B256" t="s" s="0">
        <v>77</v>
      </c>
      <c r="C256" t="s" s="0">
        <v>77</v>
      </c>
      <c r="D256" t="s" s="0">
        <v>77</v>
      </c>
      <c r="E256" t="s" s="0">
        <v>6180</v>
      </c>
      <c r="F256" t="s" s="0">
        <v>6181</v>
      </c>
      <c r="G256" t="s" s="0">
        <v>6182</v>
      </c>
      <c r="H256" t="s" s="0">
        <v>81</v>
      </c>
      <c r="I256" t="s" s="0">
        <v>82</v>
      </c>
      <c r="J256" t="s" s="0">
        <v>6183</v>
      </c>
      <c r="K256" t="s" s="0">
        <v>6184</v>
      </c>
      <c r="L256" t="s" s="0">
        <v>6185</v>
      </c>
      <c r="M256" t="s" s="0">
        <v>6186</v>
      </c>
      <c r="N256" t="s" s="0">
        <v>6187</v>
      </c>
      <c r="O256" t="s" s="0">
        <v>6188</v>
      </c>
      <c r="P256" t="s" s="0">
        <v>6189</v>
      </c>
      <c r="Q256" t="s" s="0">
        <v>90</v>
      </c>
      <c r="R256" t="s" s="0">
        <v>81</v>
      </c>
      <c r="S256" t="s" s="0">
        <v>81</v>
      </c>
      <c r="T256" t="s" s="0">
        <v>81</v>
      </c>
      <c r="U256" t="s" s="0">
        <v>81</v>
      </c>
      <c r="V256" t="s" s="0">
        <v>6190</v>
      </c>
      <c r="W256" t="s" s="0">
        <v>4582</v>
      </c>
      <c r="X256" t="s" s="0">
        <v>81</v>
      </c>
      <c r="Y256" t="s" s="0">
        <v>81</v>
      </c>
      <c r="Z256" t="s" s="0">
        <v>93</v>
      </c>
      <c r="AA256" t="s" s="0">
        <v>94</v>
      </c>
      <c r="AB256" t="s" s="0">
        <v>81</v>
      </c>
      <c r="AC256" t="s" s="0">
        <v>81</v>
      </c>
      <c r="AD256" t="s" s="0">
        <v>81</v>
      </c>
      <c r="AE256" t="s" s="0">
        <v>81</v>
      </c>
      <c r="AF256" t="s" s="0">
        <v>81</v>
      </c>
      <c r="AG256" t="s" s="0">
        <v>6191</v>
      </c>
      <c r="AH256" t="s" s="0">
        <v>81</v>
      </c>
      <c r="AI256" t="s" s="0">
        <v>6192</v>
      </c>
      <c r="AJ256" t="s" s="0">
        <v>6193</v>
      </c>
      <c r="AK256" t="s" s="0">
        <v>81</v>
      </c>
      <c r="AL256" t="s" s="0">
        <v>390</v>
      </c>
      <c r="AM256" t="s" s="0">
        <v>137</v>
      </c>
      <c r="AN256" t="s" s="0">
        <v>137</v>
      </c>
      <c r="AO256" t="s" s="0">
        <v>100</v>
      </c>
      <c r="AP256" t="s" s="0">
        <v>158</v>
      </c>
      <c r="AQ256" t="s" s="0">
        <v>1722</v>
      </c>
      <c r="AR256" t="s" s="0">
        <v>1723</v>
      </c>
      <c r="AS256" t="s" s="0">
        <v>1724</v>
      </c>
      <c r="AT256" t="s" s="0">
        <v>81</v>
      </c>
      <c r="AU256" t="s" s="0">
        <v>4586</v>
      </c>
      <c r="AV256" t="s" s="0">
        <v>81</v>
      </c>
      <c r="AW256" t="s" s="0">
        <v>4587</v>
      </c>
      <c r="AX256" t="s" s="0">
        <v>4588</v>
      </c>
      <c r="AY256" t="s" s="0">
        <v>111</v>
      </c>
      <c r="AZ256" t="s" s="0">
        <v>111</v>
      </c>
      <c r="BA256" t="s" s="0">
        <v>117</v>
      </c>
      <c r="BB256" t="s" s="0">
        <v>81</v>
      </c>
      <c r="BC256" t="s" s="0">
        <v>81</v>
      </c>
      <c r="BD256" t="s" s="0">
        <v>81</v>
      </c>
      <c r="BE256" t="s" s="0">
        <v>81</v>
      </c>
      <c r="BF256" t="s" s="0">
        <v>81</v>
      </c>
      <c r="BG256" t="s" s="0">
        <v>81</v>
      </c>
      <c r="BH256" t="s" s="0">
        <v>81</v>
      </c>
      <c r="BI256" t="s" s="0">
        <v>6194</v>
      </c>
      <c r="BJ256" t="s" s="0">
        <v>6195</v>
      </c>
      <c r="BK256" t="s" s="507">
        <f>HYPERLINK("http://dx.doi.org/10.2196/74902","http://dx.doi.org/10.2196/74902")</f>
        <v>6196</v>
      </c>
      <c r="BL256" t="s" s="0">
        <v>81</v>
      </c>
      <c r="BM256" t="s" s="0">
        <v>81</v>
      </c>
      <c r="BN256" t="s" s="0">
        <v>152</v>
      </c>
      <c r="BO256" t="s" s="0">
        <v>1703</v>
      </c>
      <c r="BP256" t="s" s="0">
        <v>1703</v>
      </c>
      <c r="BQ256" t="s" s="0">
        <v>6197</v>
      </c>
      <c r="BR256" t="s" s="0">
        <v>6198</v>
      </c>
      <c r="BS256" t="s" s="0">
        <v>6199</v>
      </c>
      <c r="BT256" t="s" s="508">
        <f>HYPERLINK("https://www.webofscience.com/wos/woscc/full-record/WOS:001604598200003","View Record in Web of Science")</f>
        <v>123</v>
      </c>
      <c r="BU256" t="s" s="0">
        <v>191</v>
      </c>
      <c r="BV256" t="s" s="0">
        <v>81</v>
      </c>
      <c r="BW256" t="s" s="0">
        <v>81</v>
      </c>
      <c r="BX256" t="s" s="0">
        <v>124</v>
      </c>
    </row>
    <row r="257">
      <c r="A257" t="s" s="0">
        <v>77</v>
      </c>
      <c r="B257" t="s" s="0">
        <v>77</v>
      </c>
      <c r="C257" t="s" s="0">
        <v>77</v>
      </c>
      <c r="D257" t="s" s="0">
        <v>77</v>
      </c>
      <c r="E257" t="s" s="0">
        <v>6200</v>
      </c>
      <c r="F257" t="s" s="0">
        <v>6201</v>
      </c>
      <c r="G257" t="s" s="0">
        <v>6202</v>
      </c>
      <c r="H257" t="s" s="0">
        <v>81</v>
      </c>
      <c r="I257" t="s" s="0">
        <v>82</v>
      </c>
      <c r="J257" t="s" s="0">
        <v>6203</v>
      </c>
      <c r="K257" t="s" s="0">
        <v>6204</v>
      </c>
      <c r="L257" t="s" s="0">
        <v>6205</v>
      </c>
      <c r="M257" t="s" s="0">
        <v>6206</v>
      </c>
      <c r="N257" t="s" s="0">
        <v>6207</v>
      </c>
      <c r="O257" t="s" s="0">
        <v>6208</v>
      </c>
      <c r="P257" t="s" s="0">
        <v>6209</v>
      </c>
      <c r="Q257" t="s" s="0">
        <v>90</v>
      </c>
      <c r="R257" t="s" s="0">
        <v>81</v>
      </c>
      <c r="S257" t="s" s="0">
        <v>81</v>
      </c>
      <c r="T257" t="s" s="0">
        <v>81</v>
      </c>
      <c r="U257" t="s" s="0">
        <v>81</v>
      </c>
      <c r="V257" t="s" s="0">
        <v>6210</v>
      </c>
      <c r="W257" t="s" s="0">
        <v>1375</v>
      </c>
      <c r="X257" t="s" s="0">
        <v>81</v>
      </c>
      <c r="Y257" t="s" s="0">
        <v>81</v>
      </c>
      <c r="Z257" t="s" s="0">
        <v>93</v>
      </c>
      <c r="AA257" t="s" s="0">
        <v>94</v>
      </c>
      <c r="AB257" t="s" s="0">
        <v>81</v>
      </c>
      <c r="AC257" t="s" s="0">
        <v>81</v>
      </c>
      <c r="AD257" t="s" s="0">
        <v>81</v>
      </c>
      <c r="AE257" t="s" s="0">
        <v>81</v>
      </c>
      <c r="AF257" t="s" s="0">
        <v>81</v>
      </c>
      <c r="AG257" t="s" s="0">
        <v>6211</v>
      </c>
      <c r="AH257" t="s" s="0">
        <v>1136</v>
      </c>
      <c r="AI257" t="s" s="0">
        <v>81</v>
      </c>
      <c r="AJ257" t="s" s="0">
        <v>81</v>
      </c>
      <c r="AK257" t="s" s="0">
        <v>81</v>
      </c>
      <c r="AL257" t="s" s="0">
        <v>3373</v>
      </c>
      <c r="AM257" t="s" s="0">
        <v>77</v>
      </c>
      <c r="AN257" t="s" s="0">
        <v>77</v>
      </c>
      <c r="AO257" t="s" s="0">
        <v>77</v>
      </c>
      <c r="AP257" t="s" s="0">
        <v>77</v>
      </c>
      <c r="AQ257" t="s" s="0">
        <v>505</v>
      </c>
      <c r="AR257" t="s" s="0">
        <v>506</v>
      </c>
      <c r="AS257" t="s" s="0">
        <v>507</v>
      </c>
      <c r="AT257" t="s" s="0">
        <v>1377</v>
      </c>
      <c r="AU257" t="s" s="0">
        <v>1378</v>
      </c>
      <c r="AV257" t="s" s="0">
        <v>81</v>
      </c>
      <c r="AW257" t="s" s="0">
        <v>1379</v>
      </c>
      <c r="AX257" t="s" s="0">
        <v>1380</v>
      </c>
      <c r="AY257" t="s" s="0">
        <v>427</v>
      </c>
      <c r="AZ257" t="s" s="0">
        <v>212</v>
      </c>
      <c r="BA257" t="s" s="0">
        <v>390</v>
      </c>
      <c r="BB257" t="s" s="0">
        <v>183</v>
      </c>
      <c r="BC257" t="s" s="0">
        <v>81</v>
      </c>
      <c r="BD257" t="s" s="0">
        <v>81</v>
      </c>
      <c r="BE257" t="s" s="0">
        <v>81</v>
      </c>
      <c r="BF257" t="s" s="0">
        <v>81</v>
      </c>
      <c r="BG257" t="s" s="0">
        <v>81</v>
      </c>
      <c r="BH257" t="s" s="0">
        <v>81</v>
      </c>
      <c r="BI257" t="s" s="0">
        <v>6212</v>
      </c>
      <c r="BJ257" t="s" s="0">
        <v>6213</v>
      </c>
      <c r="BK257" t="s" s="509">
        <f>HYPERLINK("http://dx.doi.org/10.1007/s00530-026-02505-5","http://dx.doi.org/10.1007/s00530-026-02505-5")</f>
        <v>6214</v>
      </c>
      <c r="BL257" t="s" s="0">
        <v>81</v>
      </c>
      <c r="BM257" t="s" s="0">
        <v>827</v>
      </c>
      <c r="BN257" t="s" s="0">
        <v>652</v>
      </c>
      <c r="BO257" t="s" s="0">
        <v>1384</v>
      </c>
      <c r="BP257" t="s" s="0">
        <v>250</v>
      </c>
      <c r="BQ257" t="s" s="0">
        <v>1385</v>
      </c>
      <c r="BR257" t="s" s="0">
        <v>81</v>
      </c>
      <c r="BS257" t="s" s="0">
        <v>6215</v>
      </c>
      <c r="BT257" t="s" s="510">
        <f>HYPERLINK("https://www.webofscience.com/wos/woscc/full-record/WOS:001822352300006","View Record in Web of Science")</f>
        <v>123</v>
      </c>
      <c r="BU257" t="s" s="0">
        <v>81</v>
      </c>
      <c r="BV257" t="s" s="0">
        <v>81</v>
      </c>
      <c r="BW257" t="s" s="0">
        <v>81</v>
      </c>
      <c r="BX257" t="s" s="0">
        <v>124</v>
      </c>
    </row>
    <row r="258">
      <c r="A258" t="s" s="0">
        <v>77</v>
      </c>
      <c r="B258" t="s" s="0">
        <v>77</v>
      </c>
      <c r="C258" t="s" s="0">
        <v>137</v>
      </c>
      <c r="D258" t="s" s="0">
        <v>77</v>
      </c>
      <c r="E258" t="s" s="0">
        <v>6216</v>
      </c>
      <c r="F258" t="s" s="0">
        <v>6217</v>
      </c>
      <c r="G258" t="s" s="0">
        <v>6218</v>
      </c>
      <c r="H258" t="s" s="0">
        <v>81</v>
      </c>
      <c r="I258" t="s" s="0">
        <v>82</v>
      </c>
      <c r="J258" t="s" s="0">
        <v>6219</v>
      </c>
      <c r="K258" t="s" s="0">
        <v>6220</v>
      </c>
      <c r="L258" t="s" s="0">
        <v>81</v>
      </c>
      <c r="M258" t="s" s="0">
        <v>81</v>
      </c>
      <c r="N258" t="s" s="0">
        <v>81</v>
      </c>
      <c r="O258" t="s" s="0">
        <v>6221</v>
      </c>
      <c r="P258" t="s" s="0">
        <v>6222</v>
      </c>
      <c r="Q258" t="s" s="0">
        <v>90</v>
      </c>
      <c r="R258" t="s" s="0">
        <v>81</v>
      </c>
      <c r="S258" t="s" s="0">
        <v>81</v>
      </c>
      <c r="T258" t="s" s="0">
        <v>81</v>
      </c>
      <c r="U258" t="s" s="0">
        <v>81</v>
      </c>
      <c r="V258" t="s" s="0">
        <v>6223</v>
      </c>
      <c r="W258" t="s" s="0">
        <v>6224</v>
      </c>
      <c r="X258" t="s" s="0">
        <v>81</v>
      </c>
      <c r="Y258" t="s" s="0">
        <v>81</v>
      </c>
      <c r="Z258" t="s" s="0">
        <v>93</v>
      </c>
      <c r="AA258" t="s" s="0">
        <v>94</v>
      </c>
      <c r="AB258" t="s" s="0">
        <v>81</v>
      </c>
      <c r="AC258" t="s" s="0">
        <v>81</v>
      </c>
      <c r="AD258" t="s" s="0">
        <v>81</v>
      </c>
      <c r="AE258" t="s" s="0">
        <v>81</v>
      </c>
      <c r="AF258" t="s" s="0">
        <v>81</v>
      </c>
      <c r="AG258" t="s" s="0">
        <v>6225</v>
      </c>
      <c r="AH258" t="s" s="0">
        <v>6226</v>
      </c>
      <c r="AI258" t="s" s="0">
        <v>6227</v>
      </c>
      <c r="AJ258" t="s" s="0">
        <v>6228</v>
      </c>
      <c r="AK258" t="s" s="0">
        <v>81</v>
      </c>
      <c r="AL258" t="s" s="0">
        <v>3304</v>
      </c>
      <c r="AM258" t="s" s="0">
        <v>676</v>
      </c>
      <c r="AN258" t="s" s="0">
        <v>275</v>
      </c>
      <c r="AO258" t="s" s="0">
        <v>101</v>
      </c>
      <c r="AP258" t="s" s="0">
        <v>217</v>
      </c>
      <c r="AQ258" t="s" s="0">
        <v>588</v>
      </c>
      <c r="AR258" t="s" s="0">
        <v>589</v>
      </c>
      <c r="AS258" t="s" s="0">
        <v>590</v>
      </c>
      <c r="AT258" t="s" s="0">
        <v>6229</v>
      </c>
      <c r="AU258" t="s" s="0">
        <v>81</v>
      </c>
      <c r="AV258" t="s" s="0">
        <v>81</v>
      </c>
      <c r="AW258" t="s" s="0">
        <v>6230</v>
      </c>
      <c r="AX258" t="s" s="0">
        <v>6231</v>
      </c>
      <c r="AY258" t="s" s="0">
        <v>6232</v>
      </c>
      <c r="AZ258" t="s" s="0">
        <v>309</v>
      </c>
      <c r="BA258" t="s" s="0">
        <v>405</v>
      </c>
      <c r="BB258" t="s" s="0">
        <v>100</v>
      </c>
      <c r="BC258" t="s" s="0">
        <v>81</v>
      </c>
      <c r="BD258" t="s" s="0">
        <v>81</v>
      </c>
      <c r="BE258" t="s" s="0">
        <v>81</v>
      </c>
      <c r="BF258" t="s" s="0">
        <v>81</v>
      </c>
      <c r="BG258" t="s" s="0">
        <v>6233</v>
      </c>
      <c r="BH258" t="s" s="0">
        <v>6234</v>
      </c>
      <c r="BI258" t="s" s="0">
        <v>81</v>
      </c>
      <c r="BJ258" t="s" s="0">
        <v>6235</v>
      </c>
      <c r="BK258" t="s" s="511">
        <f>HYPERLINK("http://dx.doi.org/10.1109/TAFFC.2023.3318367","http://dx.doi.org/10.1109/TAFFC.2023.3318367")</f>
        <v>6236</v>
      </c>
      <c r="BL258" t="s" s="0">
        <v>81</v>
      </c>
      <c r="BM258" t="s" s="0">
        <v>81</v>
      </c>
      <c r="BN258" t="s" s="0">
        <v>213</v>
      </c>
      <c r="BO258" t="s" s="0">
        <v>6237</v>
      </c>
      <c r="BP258" t="s" s="0">
        <v>250</v>
      </c>
      <c r="BQ258" t="s" s="0">
        <v>6238</v>
      </c>
      <c r="BR258" t="s" s="0">
        <v>81</v>
      </c>
      <c r="BS258" t="s" s="0">
        <v>6239</v>
      </c>
      <c r="BT258" t="s" s="512">
        <f>HYPERLINK("https://www.webofscience.com/wos/woscc/full-record/WOS:001308401200048","View Record in Web of Science")</f>
        <v>123</v>
      </c>
      <c r="BU258" t="s" s="0">
        <v>6240</v>
      </c>
      <c r="BV258" t="s" s="0">
        <v>81</v>
      </c>
      <c r="BW258" t="s" s="0">
        <v>81</v>
      </c>
      <c r="BX258" t="s" s="0">
        <v>124</v>
      </c>
    </row>
    <row r="259">
      <c r="A259" t="s" s="0">
        <v>77</v>
      </c>
      <c r="B259" t="s" s="0">
        <v>77</v>
      </c>
      <c r="C259" t="s" s="0">
        <v>77</v>
      </c>
      <c r="D259" t="s" s="0">
        <v>77</v>
      </c>
      <c r="E259" t="s" s="0">
        <v>6241</v>
      </c>
      <c r="F259" t="s" s="0">
        <v>6242</v>
      </c>
      <c r="G259" t="s" s="0">
        <v>6243</v>
      </c>
      <c r="H259" t="s" s="0">
        <v>81</v>
      </c>
      <c r="I259" t="s" s="0">
        <v>82</v>
      </c>
      <c r="J259" t="s" s="0">
        <v>6244</v>
      </c>
      <c r="K259" t="s" s="0">
        <v>6245</v>
      </c>
      <c r="L259" t="s" s="0">
        <v>6246</v>
      </c>
      <c r="M259" t="s" s="0">
        <v>6247</v>
      </c>
      <c r="N259" t="s" s="0">
        <v>6248</v>
      </c>
      <c r="O259" t="s" s="0">
        <v>6249</v>
      </c>
      <c r="P259" t="s" s="0">
        <v>6250</v>
      </c>
      <c r="Q259" t="s" s="0">
        <v>90</v>
      </c>
      <c r="R259" t="s" s="0">
        <v>81</v>
      </c>
      <c r="S259" t="s" s="0">
        <v>81</v>
      </c>
      <c r="T259" t="s" s="0">
        <v>81</v>
      </c>
      <c r="U259" t="s" s="0">
        <v>81</v>
      </c>
      <c r="V259" t="s" s="0">
        <v>6251</v>
      </c>
      <c r="W259" t="s" s="0">
        <v>2786</v>
      </c>
      <c r="X259" t="s" s="0">
        <v>81</v>
      </c>
      <c r="Y259" t="s" s="0">
        <v>81</v>
      </c>
      <c r="Z259" t="s" s="0">
        <v>93</v>
      </c>
      <c r="AA259" t="s" s="0">
        <v>94</v>
      </c>
      <c r="AB259" t="s" s="0">
        <v>81</v>
      </c>
      <c r="AC259" t="s" s="0">
        <v>81</v>
      </c>
      <c r="AD259" t="s" s="0">
        <v>81</v>
      </c>
      <c r="AE259" t="s" s="0">
        <v>81</v>
      </c>
      <c r="AF259" t="s" s="0">
        <v>81</v>
      </c>
      <c r="AG259" t="s" s="0">
        <v>6252</v>
      </c>
      <c r="AH259" t="s" s="0">
        <v>6253</v>
      </c>
      <c r="AI259" t="s" s="0">
        <v>6254</v>
      </c>
      <c r="AJ259" t="s" s="0">
        <v>6255</v>
      </c>
      <c r="AK259" t="s" s="0">
        <v>81</v>
      </c>
      <c r="AL259" t="s" s="0">
        <v>361</v>
      </c>
      <c r="AM259" t="s" s="0">
        <v>333</v>
      </c>
      <c r="AN259" t="s" s="0">
        <v>333</v>
      </c>
      <c r="AO259" t="s" s="0">
        <v>301</v>
      </c>
      <c r="AP259" t="s" s="0">
        <v>895</v>
      </c>
      <c r="AQ259" t="s" s="0">
        <v>588</v>
      </c>
      <c r="AR259" t="s" s="0">
        <v>589</v>
      </c>
      <c r="AS259" t="s" s="0">
        <v>590</v>
      </c>
      <c r="AT259" t="s" s="0">
        <v>2788</v>
      </c>
      <c r="AU259" t="s" s="0">
        <v>2789</v>
      </c>
      <c r="AV259" t="s" s="0">
        <v>81</v>
      </c>
      <c r="AW259" t="s" s="0">
        <v>2790</v>
      </c>
      <c r="AX259" t="s" s="0">
        <v>2791</v>
      </c>
      <c r="AY259" t="s" s="0">
        <v>111</v>
      </c>
      <c r="AZ259" t="s" s="0">
        <v>111</v>
      </c>
      <c r="BA259" t="s" s="0">
        <v>461</v>
      </c>
      <c r="BB259" t="s" s="0">
        <v>81</v>
      </c>
      <c r="BC259" t="s" s="0">
        <v>81</v>
      </c>
      <c r="BD259" t="s" s="0">
        <v>81</v>
      </c>
      <c r="BE259" t="s" s="0">
        <v>81</v>
      </c>
      <c r="BF259" t="s" s="0">
        <v>81</v>
      </c>
      <c r="BG259" t="s" s="0">
        <v>6256</v>
      </c>
      <c r="BH259" t="s" s="0">
        <v>6257</v>
      </c>
      <c r="BI259" t="s" s="0">
        <v>81</v>
      </c>
      <c r="BJ259" t="s" s="0">
        <v>6258</v>
      </c>
      <c r="BK259" t="s" s="513">
        <f>HYPERLINK("http://dx.doi.org/10.1109/JSTARS.2025.3544865","http://dx.doi.org/10.1109/JSTARS.2025.3544865")</f>
        <v>6259</v>
      </c>
      <c r="BL259" t="s" s="0">
        <v>81</v>
      </c>
      <c r="BM259" t="s" s="0">
        <v>81</v>
      </c>
      <c r="BN259" t="s" s="0">
        <v>1110</v>
      </c>
      <c r="BO259" t="s" s="0">
        <v>2796</v>
      </c>
      <c r="BP259" t="s" s="0">
        <v>2797</v>
      </c>
      <c r="BQ259" t="s" s="0">
        <v>6260</v>
      </c>
      <c r="BR259" t="s" s="0">
        <v>81</v>
      </c>
      <c r="BS259" t="s" s="0">
        <v>6261</v>
      </c>
      <c r="BT259" t="s" s="514">
        <f>HYPERLINK("https://www.webofscience.com/wos/woscc/full-record/WOS:001445060000001","View Record in Web of Science")</f>
        <v>123</v>
      </c>
      <c r="BU259" t="s" s="0">
        <v>191</v>
      </c>
      <c r="BV259" t="s" s="0">
        <v>81</v>
      </c>
      <c r="BW259" t="s" s="0">
        <v>81</v>
      </c>
      <c r="BX259" t="s" s="0">
        <v>124</v>
      </c>
    </row>
    <row r="260">
      <c r="A260" t="s" s="0">
        <v>77</v>
      </c>
      <c r="B260" t="s" s="0">
        <v>77</v>
      </c>
      <c r="C260" t="s" s="0">
        <v>77</v>
      </c>
      <c r="D260" t="s" s="0">
        <v>77</v>
      </c>
      <c r="E260" t="s" s="0">
        <v>6262</v>
      </c>
      <c r="F260" t="s" s="0">
        <v>6263</v>
      </c>
      <c r="G260" t="s" s="0">
        <v>6264</v>
      </c>
      <c r="H260" t="s" s="0">
        <v>81</v>
      </c>
      <c r="I260" t="s" s="0">
        <v>82</v>
      </c>
      <c r="J260" t="s" s="0">
        <v>6265</v>
      </c>
      <c r="K260" t="s" s="0">
        <v>6266</v>
      </c>
      <c r="L260" t="s" s="0">
        <v>81</v>
      </c>
      <c r="M260" t="s" s="0">
        <v>81</v>
      </c>
      <c r="N260" t="s" s="0">
        <v>81</v>
      </c>
      <c r="O260" t="s" s="0">
        <v>6267</v>
      </c>
      <c r="P260" t="s" s="0">
        <v>81</v>
      </c>
      <c r="Q260" t="s" s="0">
        <v>90</v>
      </c>
      <c r="R260" t="s" s="0">
        <v>81</v>
      </c>
      <c r="S260" t="s" s="0">
        <v>81</v>
      </c>
      <c r="T260" t="s" s="0">
        <v>81</v>
      </c>
      <c r="U260" t="s" s="0">
        <v>81</v>
      </c>
      <c r="V260" t="s" s="0">
        <v>6268</v>
      </c>
      <c r="W260" t="s" s="0">
        <v>1254</v>
      </c>
      <c r="X260" t="s" s="0">
        <v>81</v>
      </c>
      <c r="Y260" t="s" s="0">
        <v>81</v>
      </c>
      <c r="Z260" t="s" s="0">
        <v>93</v>
      </c>
      <c r="AA260" t="s" s="0">
        <v>94</v>
      </c>
      <c r="AB260" t="s" s="0">
        <v>81</v>
      </c>
      <c r="AC260" t="s" s="0">
        <v>81</v>
      </c>
      <c r="AD260" t="s" s="0">
        <v>81</v>
      </c>
      <c r="AE260" t="s" s="0">
        <v>81</v>
      </c>
      <c r="AF260" t="s" s="0">
        <v>81</v>
      </c>
      <c r="AG260" t="s" s="0">
        <v>6269</v>
      </c>
      <c r="AH260" t="s" s="0">
        <v>6270</v>
      </c>
      <c r="AI260" t="s" s="0">
        <v>81</v>
      </c>
      <c r="AJ260" t="s" s="0">
        <v>81</v>
      </c>
      <c r="AK260" t="s" s="0">
        <v>81</v>
      </c>
      <c r="AL260" t="s" s="0">
        <v>448</v>
      </c>
      <c r="AM260" t="s" s="0">
        <v>77</v>
      </c>
      <c r="AN260" t="s" s="0">
        <v>77</v>
      </c>
      <c r="AO260" t="s" s="0">
        <v>77</v>
      </c>
      <c r="AP260" t="s" s="0">
        <v>77</v>
      </c>
      <c r="AQ260" t="s" s="0">
        <v>620</v>
      </c>
      <c r="AR260" t="s" s="0">
        <v>621</v>
      </c>
      <c r="AS260" t="s" s="0">
        <v>622</v>
      </c>
      <c r="AT260" t="s" s="0">
        <v>1256</v>
      </c>
      <c r="AU260" t="s" s="0">
        <v>1257</v>
      </c>
      <c r="AV260" t="s" s="0">
        <v>81</v>
      </c>
      <c r="AW260" t="s" s="0">
        <v>1258</v>
      </c>
      <c r="AX260" t="s" s="0">
        <v>1259</v>
      </c>
      <c r="AY260" t="s" s="0">
        <v>3474</v>
      </c>
      <c r="AZ260" t="s" s="0">
        <v>212</v>
      </c>
      <c r="BA260" t="s" s="0">
        <v>2251</v>
      </c>
      <c r="BB260" t="s" s="0">
        <v>81</v>
      </c>
      <c r="BC260" t="s" s="0">
        <v>81</v>
      </c>
      <c r="BD260" t="s" s="0">
        <v>3475</v>
      </c>
      <c r="BE260" t="s" s="0">
        <v>81</v>
      </c>
      <c r="BF260" t="s" s="0">
        <v>81</v>
      </c>
      <c r="BG260" t="s" s="0">
        <v>81</v>
      </c>
      <c r="BH260" t="s" s="0">
        <v>81</v>
      </c>
      <c r="BI260" t="s" s="0">
        <v>6271</v>
      </c>
      <c r="BJ260" t="s" s="0">
        <v>6272</v>
      </c>
      <c r="BK260" t="s" s="515">
        <f>HYPERLINK("http://dx.doi.org/10.1016/j.bspc.2026.110977","http://dx.doi.org/10.1016/j.bspc.2026.110977")</f>
        <v>6273</v>
      </c>
      <c r="BL260" t="s" s="0">
        <v>81</v>
      </c>
      <c r="BM260" t="s" s="0">
        <v>827</v>
      </c>
      <c r="BN260" t="s" s="0">
        <v>1110</v>
      </c>
      <c r="BO260" t="s" s="0">
        <v>1265</v>
      </c>
      <c r="BP260" t="s" s="0">
        <v>219</v>
      </c>
      <c r="BQ260" t="s" s="0">
        <v>6274</v>
      </c>
      <c r="BR260" t="s" s="0">
        <v>81</v>
      </c>
      <c r="BS260" t="s" s="0">
        <v>6275</v>
      </c>
      <c r="BT260" t="s" s="516">
        <f>HYPERLINK("https://www.webofscience.com/wos/woscc/full-record/WOS:001819971700001","View Record in Web of Science")</f>
        <v>123</v>
      </c>
      <c r="BU260" t="s" s="0">
        <v>81</v>
      </c>
      <c r="BV260" t="s" s="0">
        <v>81</v>
      </c>
      <c r="BW260" t="s" s="0">
        <v>81</v>
      </c>
      <c r="BX260" t="s" s="0">
        <v>124</v>
      </c>
    </row>
    <row r="261">
      <c r="A261" t="s" s="0">
        <v>77</v>
      </c>
      <c r="B261" t="s" s="0">
        <v>77</v>
      </c>
      <c r="C261" t="s" s="0">
        <v>77</v>
      </c>
      <c r="D261" t="s" s="0">
        <v>77</v>
      </c>
      <c r="E261" t="s" s="0">
        <v>6276</v>
      </c>
      <c r="F261" t="s" s="0">
        <v>6277</v>
      </c>
      <c r="G261" t="s" s="0">
        <v>6278</v>
      </c>
      <c r="H261" t="s" s="0">
        <v>81</v>
      </c>
      <c r="I261" t="s" s="0">
        <v>82</v>
      </c>
      <c r="J261" t="s" s="0">
        <v>6279</v>
      </c>
      <c r="K261" t="s" s="0">
        <v>6280</v>
      </c>
      <c r="L261" t="s" s="0">
        <v>6281</v>
      </c>
      <c r="M261" t="s" s="0">
        <v>6282</v>
      </c>
      <c r="N261" t="s" s="0">
        <v>6283</v>
      </c>
      <c r="O261" t="s" s="0">
        <v>6284</v>
      </c>
      <c r="P261" t="s" s="0">
        <v>6285</v>
      </c>
      <c r="Q261" t="s" s="0">
        <v>90</v>
      </c>
      <c r="R261" t="s" s="0">
        <v>81</v>
      </c>
      <c r="S261" t="s" s="0">
        <v>81</v>
      </c>
      <c r="T261" t="s" s="0">
        <v>81</v>
      </c>
      <c r="U261" t="s" s="0">
        <v>81</v>
      </c>
      <c r="V261" t="s" s="0">
        <v>6286</v>
      </c>
      <c r="W261" t="s" s="0">
        <v>5606</v>
      </c>
      <c r="X261" t="s" s="0">
        <v>81</v>
      </c>
      <c r="Y261" t="s" s="0">
        <v>81</v>
      </c>
      <c r="Z261" t="s" s="0">
        <v>93</v>
      </c>
      <c r="AA261" t="s" s="0">
        <v>94</v>
      </c>
      <c r="AB261" t="s" s="0">
        <v>81</v>
      </c>
      <c r="AC261" t="s" s="0">
        <v>81</v>
      </c>
      <c r="AD261" t="s" s="0">
        <v>81</v>
      </c>
      <c r="AE261" t="s" s="0">
        <v>81</v>
      </c>
      <c r="AF261" t="s" s="0">
        <v>81</v>
      </c>
      <c r="AG261" t="s" s="0">
        <v>81</v>
      </c>
      <c r="AH261" t="s" s="0">
        <v>6287</v>
      </c>
      <c r="AI261" t="s" s="0">
        <v>81</v>
      </c>
      <c r="AJ261" t="s" s="0">
        <v>81</v>
      </c>
      <c r="AK261" t="s" s="0">
        <v>81</v>
      </c>
      <c r="AL261" t="s" s="0">
        <v>2525</v>
      </c>
      <c r="AM261" t="s" s="0">
        <v>77</v>
      </c>
      <c r="AN261" t="s" s="0">
        <v>77</v>
      </c>
      <c r="AO261" t="s" s="0">
        <v>137</v>
      </c>
      <c r="AP261" t="s" s="0">
        <v>137</v>
      </c>
      <c r="AQ261" t="s" s="0">
        <v>1569</v>
      </c>
      <c r="AR261" t="s" s="0">
        <v>1570</v>
      </c>
      <c r="AS261" t="s" s="0">
        <v>1571</v>
      </c>
      <c r="AT261" t="s" s="0">
        <v>5608</v>
      </c>
      <c r="AU261" t="s" s="0">
        <v>5609</v>
      </c>
      <c r="AV261" t="s" s="0">
        <v>81</v>
      </c>
      <c r="AW261" t="s" s="0">
        <v>5610</v>
      </c>
      <c r="AX261" t="s" s="0">
        <v>5611</v>
      </c>
      <c r="AY261" t="s" s="0">
        <v>6288</v>
      </c>
      <c r="AZ261" t="s" s="0">
        <v>212</v>
      </c>
      <c r="BA261" t="s" s="0">
        <v>6289</v>
      </c>
      <c r="BB261" t="s" s="0">
        <v>137</v>
      </c>
      <c r="BC261" t="s" s="0">
        <v>81</v>
      </c>
      <c r="BD261" t="s" s="0">
        <v>81</v>
      </c>
      <c r="BE261" t="s" s="0">
        <v>81</v>
      </c>
      <c r="BF261" t="s" s="0">
        <v>81</v>
      </c>
      <c r="BG261" t="s" s="0">
        <v>81</v>
      </c>
      <c r="BH261" t="s" s="0">
        <v>81</v>
      </c>
      <c r="BI261" t="s" s="0">
        <v>213</v>
      </c>
      <c r="BJ261" t="s" s="0">
        <v>6290</v>
      </c>
      <c r="BK261" t="s" s="517">
        <f>HYPERLINK("http://dx.doi.org/10.3847/1538-4365/ae6cd5","http://dx.doi.org/10.3847/1538-4365/ae6cd5")</f>
        <v>6291</v>
      </c>
      <c r="BL261" t="s" s="0">
        <v>81</v>
      </c>
      <c r="BM261" t="s" s="0">
        <v>81</v>
      </c>
      <c r="BN261" t="s" s="0">
        <v>217</v>
      </c>
      <c r="BO261" t="s" s="0">
        <v>5616</v>
      </c>
      <c r="BP261" t="s" s="0">
        <v>5616</v>
      </c>
      <c r="BQ261" t="s" s="0">
        <v>6292</v>
      </c>
      <c r="BR261" t="s" s="0">
        <v>81</v>
      </c>
      <c r="BS261" t="s" s="0">
        <v>6293</v>
      </c>
      <c r="BT261" t="s" s="518">
        <f>HYPERLINK("https://www.webofscience.com/wos/woscc/full-record/WOS:001804479200001","View Record in Web of Science")</f>
        <v>123</v>
      </c>
      <c r="BU261" t="s" s="0">
        <v>222</v>
      </c>
      <c r="BV261" t="s" s="0">
        <v>81</v>
      </c>
      <c r="BW261" t="s" s="0">
        <v>81</v>
      </c>
      <c r="BX261" t="s" s="0">
        <v>124</v>
      </c>
    </row>
    <row r="262">
      <c r="A262" t="s" s="0">
        <v>101</v>
      </c>
      <c r="B262" t="s" s="0">
        <v>77</v>
      </c>
      <c r="C262" t="s" s="0">
        <v>77</v>
      </c>
      <c r="D262" t="s" s="0">
        <v>77</v>
      </c>
      <c r="E262" t="s" s="0">
        <v>6294</v>
      </c>
      <c r="F262" t="s" s="0">
        <v>6295</v>
      </c>
      <c r="G262" t="s" s="0">
        <v>6296</v>
      </c>
      <c r="H262" t="s" s="0">
        <v>81</v>
      </c>
      <c r="I262" t="s" s="0">
        <v>195</v>
      </c>
      <c r="J262" t="s" s="0">
        <v>6297</v>
      </c>
      <c r="K262" t="s" s="0">
        <v>6298</v>
      </c>
      <c r="L262" t="s" s="0">
        <v>6299</v>
      </c>
      <c r="M262" t="s" s="0">
        <v>6300</v>
      </c>
      <c r="N262" t="s" s="0">
        <v>6301</v>
      </c>
      <c r="O262" t="s" s="0">
        <v>6302</v>
      </c>
      <c r="P262" t="s" s="0">
        <v>81</v>
      </c>
      <c r="Q262" t="s" s="0">
        <v>90</v>
      </c>
      <c r="R262" t="s" s="0">
        <v>81</v>
      </c>
      <c r="S262" t="s" s="0">
        <v>81</v>
      </c>
      <c r="T262" t="s" s="0">
        <v>81</v>
      </c>
      <c r="U262" t="s" s="0">
        <v>81</v>
      </c>
      <c r="V262" t="s" s="0">
        <v>6303</v>
      </c>
      <c r="W262" t="s" s="0">
        <v>6304</v>
      </c>
      <c r="X262" t="s" s="0">
        <v>81</v>
      </c>
      <c r="Y262" t="s" s="0">
        <v>81</v>
      </c>
      <c r="Z262" t="s" s="0">
        <v>93</v>
      </c>
      <c r="AA262" t="s" s="0">
        <v>94</v>
      </c>
      <c r="AB262" t="s" s="0">
        <v>81</v>
      </c>
      <c r="AC262" t="s" s="0">
        <v>81</v>
      </c>
      <c r="AD262" t="s" s="0">
        <v>81</v>
      </c>
      <c r="AE262" t="s" s="0">
        <v>81</v>
      </c>
      <c r="AF262" t="s" s="0">
        <v>81</v>
      </c>
      <c r="AG262" t="s" s="0">
        <v>6305</v>
      </c>
      <c r="AH262" t="s" s="0">
        <v>81</v>
      </c>
      <c r="AI262" t="s" s="0">
        <v>6306</v>
      </c>
      <c r="AJ262" t="s" s="0">
        <v>81</v>
      </c>
      <c r="AK262" t="s" s="0">
        <v>81</v>
      </c>
      <c r="AL262" t="s" s="0">
        <v>595</v>
      </c>
      <c r="AM262" t="s" s="0">
        <v>100</v>
      </c>
      <c r="AN262" t="s" s="0">
        <v>183</v>
      </c>
      <c r="AO262" t="s" s="0">
        <v>100</v>
      </c>
      <c r="AP262" t="s" s="0">
        <v>158</v>
      </c>
      <c r="AQ262" t="s" s="0">
        <v>140</v>
      </c>
      <c r="AR262" t="s" s="0">
        <v>141</v>
      </c>
      <c r="AS262" t="s" s="0">
        <v>142</v>
      </c>
      <c r="AT262" t="s" s="0">
        <v>81</v>
      </c>
      <c r="AU262" t="s" s="0">
        <v>6307</v>
      </c>
      <c r="AV262" t="s" s="0">
        <v>81</v>
      </c>
      <c r="AW262" t="s" s="0">
        <v>6304</v>
      </c>
      <c r="AX262" t="s" s="0">
        <v>6308</v>
      </c>
      <c r="AY262" t="s" s="0">
        <v>110</v>
      </c>
      <c r="AZ262" t="s" s="0">
        <v>111</v>
      </c>
      <c r="BA262" t="s" s="0">
        <v>301</v>
      </c>
      <c r="BB262" t="s" s="0">
        <v>100</v>
      </c>
      <c r="BC262" t="s" s="0">
        <v>81</v>
      </c>
      <c r="BD262" t="s" s="0">
        <v>81</v>
      </c>
      <c r="BE262" t="s" s="0">
        <v>81</v>
      </c>
      <c r="BF262" t="s" s="0">
        <v>81</v>
      </c>
      <c r="BG262" t="s" s="0">
        <v>81</v>
      </c>
      <c r="BH262" t="s" s="0">
        <v>81</v>
      </c>
      <c r="BI262" t="s" s="0">
        <v>6309</v>
      </c>
      <c r="BJ262" t="s" s="0">
        <v>6310</v>
      </c>
      <c r="BK262" t="s" s="519">
        <f>HYPERLINK("http://dx.doi.org/10.1016/j.iliver.2025.100181","http://dx.doi.org/10.1016/j.iliver.2025.100181")</f>
        <v>6311</v>
      </c>
      <c r="BL262" t="s" s="0">
        <v>81</v>
      </c>
      <c r="BM262" t="s" s="0">
        <v>81</v>
      </c>
      <c r="BN262" t="s" s="0">
        <v>399</v>
      </c>
      <c r="BO262" t="s" s="0">
        <v>2503</v>
      </c>
      <c r="BP262" t="s" s="0">
        <v>2503</v>
      </c>
      <c r="BQ262" t="s" s="0">
        <v>6312</v>
      </c>
      <c r="BR262" t="s" s="0">
        <v>6313</v>
      </c>
      <c r="BS262" t="s" s="0">
        <v>6314</v>
      </c>
      <c r="BT262" t="s" s="520">
        <f>HYPERLINK("https://www.webofscience.com/wos/woscc/full-record/WOS:001716518500001","View Record in Web of Science")</f>
        <v>123</v>
      </c>
      <c r="BU262" t="s" s="0">
        <v>191</v>
      </c>
      <c r="BV262" t="s" s="0">
        <v>81</v>
      </c>
      <c r="BW262" t="s" s="0">
        <v>81</v>
      </c>
      <c r="BX262" t="s" s="0">
        <v>124</v>
      </c>
    </row>
    <row r="263">
      <c r="A263" t="s" s="0">
        <v>77</v>
      </c>
      <c r="B263" t="s" s="0">
        <v>77</v>
      </c>
      <c r="C263" t="s" s="0">
        <v>77</v>
      </c>
      <c r="D263" t="s" s="0">
        <v>77</v>
      </c>
      <c r="E263" t="s" s="0">
        <v>6315</v>
      </c>
      <c r="F263" t="s" s="0">
        <v>6316</v>
      </c>
      <c r="G263" t="s" s="0">
        <v>6317</v>
      </c>
      <c r="H263" t="s" s="0">
        <v>81</v>
      </c>
      <c r="I263" t="s" s="0">
        <v>82</v>
      </c>
      <c r="J263" t="s" s="0">
        <v>6318</v>
      </c>
      <c r="K263" t="s" s="0">
        <v>6319</v>
      </c>
      <c r="L263" t="s" s="0">
        <v>6320</v>
      </c>
      <c r="M263" t="s" s="0">
        <v>6321</v>
      </c>
      <c r="N263" t="s" s="0">
        <v>6322</v>
      </c>
      <c r="O263" t="s" s="0">
        <v>6323</v>
      </c>
      <c r="P263" t="s" s="0">
        <v>6324</v>
      </c>
      <c r="Q263" t="s" s="0">
        <v>90</v>
      </c>
      <c r="R263" t="s" s="0">
        <v>81</v>
      </c>
      <c r="S263" t="s" s="0">
        <v>81</v>
      </c>
      <c r="T263" t="s" s="0">
        <v>81</v>
      </c>
      <c r="U263" t="s" s="0">
        <v>81</v>
      </c>
      <c r="V263" t="s" s="0">
        <v>6325</v>
      </c>
      <c r="W263" t="s" s="0">
        <v>1210</v>
      </c>
      <c r="X263" t="s" s="0">
        <v>81</v>
      </c>
      <c r="Y263" t="s" s="0">
        <v>81</v>
      </c>
      <c r="Z263" t="s" s="0">
        <v>93</v>
      </c>
      <c r="AA263" t="s" s="0">
        <v>94</v>
      </c>
      <c r="AB263" t="s" s="0">
        <v>81</v>
      </c>
      <c r="AC263" t="s" s="0">
        <v>81</v>
      </c>
      <c r="AD263" t="s" s="0">
        <v>81</v>
      </c>
      <c r="AE263" t="s" s="0">
        <v>81</v>
      </c>
      <c r="AF263" t="s" s="0">
        <v>81</v>
      </c>
      <c r="AG263" t="s" s="0">
        <v>6326</v>
      </c>
      <c r="AH263" t="s" s="0">
        <v>81</v>
      </c>
      <c r="AI263" t="s" s="0">
        <v>6327</v>
      </c>
      <c r="AJ263" t="s" s="0">
        <v>6328</v>
      </c>
      <c r="AK263" t="s" s="0">
        <v>81</v>
      </c>
      <c r="AL263" t="s" s="0">
        <v>3373</v>
      </c>
      <c r="AM263" t="s" s="0">
        <v>101</v>
      </c>
      <c r="AN263" t="s" s="0">
        <v>101</v>
      </c>
      <c r="AO263" t="s" s="0">
        <v>138</v>
      </c>
      <c r="AP263" t="s" s="0">
        <v>171</v>
      </c>
      <c r="AQ263" t="s" s="0">
        <v>140</v>
      </c>
      <c r="AR263" t="s" s="0">
        <v>141</v>
      </c>
      <c r="AS263" t="s" s="0">
        <v>142</v>
      </c>
      <c r="AT263" t="s" s="0">
        <v>1212</v>
      </c>
      <c r="AU263" t="s" s="0">
        <v>1213</v>
      </c>
      <c r="AV263" t="s" s="0">
        <v>81</v>
      </c>
      <c r="AW263" t="s" s="0">
        <v>1214</v>
      </c>
      <c r="AX263" t="s" s="0">
        <v>1215</v>
      </c>
      <c r="AY263" t="s" s="0">
        <v>1861</v>
      </c>
      <c r="AZ263" t="s" s="0">
        <v>111</v>
      </c>
      <c r="BA263" t="s" s="0">
        <v>1882</v>
      </c>
      <c r="BB263" t="s" s="0">
        <v>81</v>
      </c>
      <c r="BC263" t="s" s="0">
        <v>81</v>
      </c>
      <c r="BD263" t="s" s="0">
        <v>81</v>
      </c>
      <c r="BE263" t="s" s="0">
        <v>81</v>
      </c>
      <c r="BF263" t="s" s="0">
        <v>81</v>
      </c>
      <c r="BG263" t="s" s="0">
        <v>6329</v>
      </c>
      <c r="BH263" t="s" s="0">
        <v>6330</v>
      </c>
      <c r="BI263" t="s" s="0">
        <v>81</v>
      </c>
      <c r="BJ263" t="s" s="0">
        <v>6331</v>
      </c>
      <c r="BK263" t="s" s="521">
        <f>HYPERLINK("http://dx.doi.org/10.1016/j.aej.2024.12.052","http://dx.doi.org/10.1016/j.aej.2024.12.052")</f>
        <v>6332</v>
      </c>
      <c r="BL263" t="s" s="0">
        <v>81</v>
      </c>
      <c r="BM263" t="s" s="0">
        <v>116</v>
      </c>
      <c r="BN263" t="s" s="0">
        <v>182</v>
      </c>
      <c r="BO263" t="s" s="0">
        <v>218</v>
      </c>
      <c r="BP263" t="s" s="0">
        <v>219</v>
      </c>
      <c r="BQ263" t="s" s="0">
        <v>6333</v>
      </c>
      <c r="BR263" t="s" s="0">
        <v>81</v>
      </c>
      <c r="BS263" t="s" s="0">
        <v>6334</v>
      </c>
      <c r="BT263" t="s" s="522">
        <f>HYPERLINK("https://www.webofscience.com/wos/woscc/full-record/WOS:001409683900001","View Record in Web of Science")</f>
        <v>123</v>
      </c>
      <c r="BU263" t="s" s="0">
        <v>191</v>
      </c>
      <c r="BV263" t="s" s="0">
        <v>81</v>
      </c>
      <c r="BW263" t="s" s="0">
        <v>81</v>
      </c>
      <c r="BX263" t="s" s="0">
        <v>124</v>
      </c>
    </row>
    <row r="264">
      <c r="A264" t="s" s="0">
        <v>77</v>
      </c>
      <c r="B264" t="s" s="0">
        <v>77</v>
      </c>
      <c r="C264" t="s" s="0">
        <v>137</v>
      </c>
      <c r="D264" t="s" s="0">
        <v>77</v>
      </c>
      <c r="E264" t="s" s="0">
        <v>6335</v>
      </c>
      <c r="F264" t="s" s="0">
        <v>6336</v>
      </c>
      <c r="G264" t="s" s="0">
        <v>6337</v>
      </c>
      <c r="H264" t="s" s="0">
        <v>81</v>
      </c>
      <c r="I264" t="s" s="0">
        <v>82</v>
      </c>
      <c r="J264" t="s" s="0">
        <v>6338</v>
      </c>
      <c r="K264" t="s" s="0">
        <v>6339</v>
      </c>
      <c r="L264" t="s" s="0">
        <v>6340</v>
      </c>
      <c r="M264" t="s" s="0">
        <v>6341</v>
      </c>
      <c r="N264" t="s" s="0">
        <v>6342</v>
      </c>
      <c r="O264" t="s" s="0">
        <v>6343</v>
      </c>
      <c r="P264" t="s" s="0">
        <v>6344</v>
      </c>
      <c r="Q264" t="s" s="0">
        <v>90</v>
      </c>
      <c r="R264" t="s" s="0">
        <v>81</v>
      </c>
      <c r="S264" t="s" s="0">
        <v>81</v>
      </c>
      <c r="T264" t="s" s="0">
        <v>81</v>
      </c>
      <c r="U264" t="s" s="0">
        <v>81</v>
      </c>
      <c r="V264" t="s" s="0">
        <v>6345</v>
      </c>
      <c r="W264" t="s" s="0">
        <v>3200</v>
      </c>
      <c r="X264" t="s" s="0">
        <v>81</v>
      </c>
      <c r="Y264" t="s" s="0">
        <v>81</v>
      </c>
      <c r="Z264" t="s" s="0">
        <v>93</v>
      </c>
      <c r="AA264" t="s" s="0">
        <v>94</v>
      </c>
      <c r="AB264" t="s" s="0">
        <v>81</v>
      </c>
      <c r="AC264" t="s" s="0">
        <v>81</v>
      </c>
      <c r="AD264" t="s" s="0">
        <v>81</v>
      </c>
      <c r="AE264" t="s" s="0">
        <v>81</v>
      </c>
      <c r="AF264" t="s" s="0">
        <v>81</v>
      </c>
      <c r="AG264" t="s" s="0">
        <v>6346</v>
      </c>
      <c r="AH264" t="s" s="0">
        <v>6347</v>
      </c>
      <c r="AI264" t="s" s="0">
        <v>6348</v>
      </c>
      <c r="AJ264" t="s" s="0">
        <v>6349</v>
      </c>
      <c r="AK264" t="s" s="0">
        <v>81</v>
      </c>
      <c r="AL264" t="s" s="0">
        <v>1217</v>
      </c>
      <c r="AM264" t="s" s="0">
        <v>138</v>
      </c>
      <c r="AN264" t="s" s="0">
        <v>399</v>
      </c>
      <c r="AO264" t="s" s="0">
        <v>158</v>
      </c>
      <c r="AP264" t="s" s="0">
        <v>420</v>
      </c>
      <c r="AQ264" t="s" s="0">
        <v>786</v>
      </c>
      <c r="AR264" t="s" s="0">
        <v>787</v>
      </c>
      <c r="AS264" t="s" s="0">
        <v>788</v>
      </c>
      <c r="AT264" t="s" s="0">
        <v>3205</v>
      </c>
      <c r="AU264" t="s" s="0">
        <v>3206</v>
      </c>
      <c r="AV264" t="s" s="0">
        <v>81</v>
      </c>
      <c r="AW264" t="s" s="0">
        <v>3207</v>
      </c>
      <c r="AX264" t="s" s="0">
        <v>3208</v>
      </c>
      <c r="AY264" t="s" s="0">
        <v>793</v>
      </c>
      <c r="AZ264" t="s" s="0">
        <v>309</v>
      </c>
      <c r="BA264" t="s" s="0">
        <v>245</v>
      </c>
      <c r="BB264" t="s" s="0">
        <v>81</v>
      </c>
      <c r="BC264" t="s" s="0">
        <v>81</v>
      </c>
      <c r="BD264" t="s" s="0">
        <v>628</v>
      </c>
      <c r="BE264" t="s" s="0">
        <v>81</v>
      </c>
      <c r="BF264" t="s" s="0">
        <v>81</v>
      </c>
      <c r="BG264" t="s" s="0">
        <v>81</v>
      </c>
      <c r="BH264" t="s" s="0">
        <v>81</v>
      </c>
      <c r="BI264" t="s" s="0">
        <v>5698</v>
      </c>
      <c r="BJ264" t="s" s="0">
        <v>6350</v>
      </c>
      <c r="BK264" t="s" s="523">
        <f>HYPERLINK("http://dx.doi.org/10.1016/j.engappai.2024.108057","http://dx.doi.org/10.1016/j.engappai.2024.108057")</f>
        <v>6351</v>
      </c>
      <c r="BL264" t="s" s="0">
        <v>81</v>
      </c>
      <c r="BM264" t="s" s="0">
        <v>1904</v>
      </c>
      <c r="BN264" t="s" s="0">
        <v>102</v>
      </c>
      <c r="BO264" t="s" s="0">
        <v>3214</v>
      </c>
      <c r="BP264" t="s" s="0">
        <v>3215</v>
      </c>
      <c r="BQ264" t="s" s="0">
        <v>6352</v>
      </c>
      <c r="BR264" t="s" s="0">
        <v>81</v>
      </c>
      <c r="BS264" t="s" s="0">
        <v>6353</v>
      </c>
      <c r="BT264" t="s" s="524">
        <f>HYPERLINK("https://www.webofscience.com/wos/woscc/full-record/WOS:001198446400001","View Record in Web of Science")</f>
        <v>123</v>
      </c>
      <c r="BU264" t="s" s="0">
        <v>81</v>
      </c>
      <c r="BV264" t="s" s="0">
        <v>81</v>
      </c>
      <c r="BW264" t="s" s="0">
        <v>81</v>
      </c>
      <c r="BX264" t="s" s="0">
        <v>124</v>
      </c>
    </row>
    <row r="265">
      <c r="A265" t="s" s="0">
        <v>77</v>
      </c>
      <c r="B265" t="s" s="0">
        <v>77</v>
      </c>
      <c r="C265" t="s" s="0">
        <v>77</v>
      </c>
      <c r="D265" t="s" s="0">
        <v>77</v>
      </c>
      <c r="E265" t="s" s="0">
        <v>6354</v>
      </c>
      <c r="F265" t="s" s="0">
        <v>6355</v>
      </c>
      <c r="G265" t="s" s="0">
        <v>6356</v>
      </c>
      <c r="H265" t="s" s="0">
        <v>81</v>
      </c>
      <c r="I265" t="s" s="0">
        <v>2724</v>
      </c>
      <c r="J265" t="s" s="0">
        <v>6357</v>
      </c>
      <c r="K265" t="s" s="0">
        <v>6358</v>
      </c>
      <c r="L265" t="s" s="0">
        <v>6359</v>
      </c>
      <c r="M265" t="s" s="0">
        <v>6360</v>
      </c>
      <c r="N265" t="s" s="0">
        <v>6361</v>
      </c>
      <c r="O265" t="s" s="0">
        <v>6362</v>
      </c>
      <c r="P265" t="s" s="0">
        <v>6363</v>
      </c>
      <c r="Q265" t="s" s="0">
        <v>90</v>
      </c>
      <c r="R265" t="s" s="0">
        <v>81</v>
      </c>
      <c r="S265" t="s" s="0">
        <v>81</v>
      </c>
      <c r="T265" t="s" s="0">
        <v>81</v>
      </c>
      <c r="U265" t="s" s="0">
        <v>81</v>
      </c>
      <c r="V265" t="s" s="0">
        <v>6364</v>
      </c>
      <c r="W265" t="s" s="0">
        <v>6365</v>
      </c>
      <c r="X265" t="s" s="0">
        <v>81</v>
      </c>
      <c r="Y265" t="s" s="0">
        <v>81</v>
      </c>
      <c r="Z265" t="s" s="0">
        <v>93</v>
      </c>
      <c r="AA265" t="s" s="0">
        <v>330</v>
      </c>
      <c r="AB265" t="s" s="0">
        <v>81</v>
      </c>
      <c r="AC265" t="s" s="0">
        <v>81</v>
      </c>
      <c r="AD265" t="s" s="0">
        <v>81</v>
      </c>
      <c r="AE265" t="s" s="0">
        <v>81</v>
      </c>
      <c r="AF265" t="s" s="0">
        <v>81</v>
      </c>
      <c r="AG265" t="s" s="0">
        <v>6366</v>
      </c>
      <c r="AH265" t="s" s="0">
        <v>81</v>
      </c>
      <c r="AI265" t="s" s="0">
        <v>6367</v>
      </c>
      <c r="AJ265" t="s" s="0">
        <v>81</v>
      </c>
      <c r="AK265" t="s" s="0">
        <v>81</v>
      </c>
      <c r="AL265" t="s" s="0">
        <v>478</v>
      </c>
      <c r="AM265" t="s" s="0">
        <v>77</v>
      </c>
      <c r="AN265" t="s" s="0">
        <v>77</v>
      </c>
      <c r="AO265" t="s" s="0">
        <v>77</v>
      </c>
      <c r="AP265" t="s" s="0">
        <v>77</v>
      </c>
      <c r="AQ265" t="s" s="0">
        <v>5359</v>
      </c>
      <c r="AR265" t="s" s="0">
        <v>5360</v>
      </c>
      <c r="AS265" t="s" s="0">
        <v>5361</v>
      </c>
      <c r="AT265" t="s" s="0">
        <v>6368</v>
      </c>
      <c r="AU265" t="s" s="0">
        <v>6369</v>
      </c>
      <c r="AV265" t="s" s="0">
        <v>81</v>
      </c>
      <c r="AW265" t="s" s="0">
        <v>6370</v>
      </c>
      <c r="AX265" t="s" s="0">
        <v>6371</v>
      </c>
      <c r="AY265" t="s" s="0">
        <v>81</v>
      </c>
      <c r="AZ265" t="s" s="0">
        <v>212</v>
      </c>
      <c r="BA265" t="s" s="0">
        <v>81</v>
      </c>
      <c r="BB265" t="s" s="0">
        <v>81</v>
      </c>
      <c r="BC265" t="s" s="0">
        <v>81</v>
      </c>
      <c r="BD265" t="s" s="0">
        <v>81</v>
      </c>
      <c r="BE265" t="s" s="0">
        <v>81</v>
      </c>
      <c r="BF265" t="s" s="0">
        <v>81</v>
      </c>
      <c r="BG265" t="s" s="0">
        <v>81</v>
      </c>
      <c r="BH265" t="s" s="0">
        <v>81</v>
      </c>
      <c r="BI265" t="s" s="0">
        <v>81</v>
      </c>
      <c r="BJ265" t="s" s="0">
        <v>6372</v>
      </c>
      <c r="BK265" t="s" s="525">
        <f>HYPERLINK("http://dx.doi.org/10.1080/0144929X.2026.2658719","http://dx.doi.org/10.1080/0144929X.2026.2658719")</f>
        <v>6373</v>
      </c>
      <c r="BL265" t="s" s="0">
        <v>81</v>
      </c>
      <c r="BM265" t="s" s="0">
        <v>279</v>
      </c>
      <c r="BN265" t="s" s="0">
        <v>213</v>
      </c>
      <c r="BO265" t="s" s="0">
        <v>6374</v>
      </c>
      <c r="BP265" t="s" s="0">
        <v>633</v>
      </c>
      <c r="BQ265" t="s" s="0">
        <v>6375</v>
      </c>
      <c r="BR265" t="s" s="0">
        <v>81</v>
      </c>
      <c r="BS265" t="s" s="0">
        <v>6376</v>
      </c>
      <c r="BT265" t="s" s="526">
        <f>HYPERLINK("https://www.webofscience.com/wos/woscc/full-record/WOS:001745957300001","View Record in Web of Science")</f>
        <v>123</v>
      </c>
      <c r="BU265" t="s" s="0">
        <v>81</v>
      </c>
      <c r="BV265" t="s" s="0">
        <v>81</v>
      </c>
      <c r="BW265" t="s" s="0">
        <v>81</v>
      </c>
      <c r="BX265" t="s" s="0">
        <v>124</v>
      </c>
    </row>
    <row r="266">
      <c r="A266" t="s" s="0">
        <v>77</v>
      </c>
      <c r="B266" t="s" s="0">
        <v>77</v>
      </c>
      <c r="C266" t="s" s="0">
        <v>77</v>
      </c>
      <c r="D266" t="s" s="0">
        <v>77</v>
      </c>
      <c r="E266" t="s" s="0">
        <v>6377</v>
      </c>
      <c r="F266" t="s" s="0">
        <v>6378</v>
      </c>
      <c r="G266" t="s" s="0">
        <v>6379</v>
      </c>
      <c r="H266" t="s" s="0">
        <v>81</v>
      </c>
      <c r="I266" t="s" s="0">
        <v>82</v>
      </c>
      <c r="J266" t="s" s="0">
        <v>6380</v>
      </c>
      <c r="K266" t="s" s="0">
        <v>6381</v>
      </c>
      <c r="L266" t="s" s="0">
        <v>6382</v>
      </c>
      <c r="M266" t="s" s="0">
        <v>6382</v>
      </c>
      <c r="N266" t="s" s="0">
        <v>6383</v>
      </c>
      <c r="O266" t="s" s="0">
        <v>6384</v>
      </c>
      <c r="P266" t="s" s="0">
        <v>6385</v>
      </c>
      <c r="Q266" t="s" s="0">
        <v>90</v>
      </c>
      <c r="R266" t="s" s="0">
        <v>81</v>
      </c>
      <c r="S266" t="s" s="0">
        <v>81</v>
      </c>
      <c r="T266" t="s" s="0">
        <v>81</v>
      </c>
      <c r="U266" t="s" s="0">
        <v>81</v>
      </c>
      <c r="V266" t="s" s="0">
        <v>6386</v>
      </c>
      <c r="W266" t="s" s="0">
        <v>6387</v>
      </c>
      <c r="X266" t="s" s="0">
        <v>81</v>
      </c>
      <c r="Y266" t="s" s="0">
        <v>81</v>
      </c>
      <c r="Z266" t="s" s="0">
        <v>93</v>
      </c>
      <c r="AA266" t="s" s="0">
        <v>94</v>
      </c>
      <c r="AB266" t="s" s="0">
        <v>81</v>
      </c>
      <c r="AC266" t="s" s="0">
        <v>81</v>
      </c>
      <c r="AD266" t="s" s="0">
        <v>81</v>
      </c>
      <c r="AE266" t="s" s="0">
        <v>81</v>
      </c>
      <c r="AF266" t="s" s="0">
        <v>81</v>
      </c>
      <c r="AG266" t="s" s="0">
        <v>6388</v>
      </c>
      <c r="AH266" t="s" s="0">
        <v>6389</v>
      </c>
      <c r="AI266" t="s" s="0">
        <v>6390</v>
      </c>
      <c r="AJ266" t="s" s="0">
        <v>6391</v>
      </c>
      <c r="AK266" t="s" s="0">
        <v>81</v>
      </c>
      <c r="AL266" t="s" s="0">
        <v>171</v>
      </c>
      <c r="AM266" t="s" s="0">
        <v>138</v>
      </c>
      <c r="AN266" t="s" s="0">
        <v>138</v>
      </c>
      <c r="AO266" t="s" s="0">
        <v>100</v>
      </c>
      <c r="AP266" t="s" s="0">
        <v>886</v>
      </c>
      <c r="AQ266" t="s" s="0">
        <v>505</v>
      </c>
      <c r="AR266" t="s" s="0">
        <v>1064</v>
      </c>
      <c r="AS266" t="s" s="0">
        <v>1065</v>
      </c>
      <c r="AT266" t="s" s="0">
        <v>6392</v>
      </c>
      <c r="AU266" t="s" s="0">
        <v>6393</v>
      </c>
      <c r="AV266" t="s" s="0">
        <v>81</v>
      </c>
      <c r="AW266" t="s" s="0">
        <v>6394</v>
      </c>
      <c r="AX266" t="s" s="0">
        <v>6395</v>
      </c>
      <c r="AY266" t="s" s="0">
        <v>763</v>
      </c>
      <c r="AZ266" t="s" s="0">
        <v>212</v>
      </c>
      <c r="BA266" t="s" s="0">
        <v>513</v>
      </c>
      <c r="BB266" t="s" s="0">
        <v>137</v>
      </c>
      <c r="BC266" t="s" s="0">
        <v>81</v>
      </c>
      <c r="BD266" t="s" s="0">
        <v>81</v>
      </c>
      <c r="BE266" t="s" s="0">
        <v>81</v>
      </c>
      <c r="BF266" t="s" s="0">
        <v>81</v>
      </c>
      <c r="BG266" t="s" s="0">
        <v>6396</v>
      </c>
      <c r="BH266" t="s" s="0">
        <v>6397</v>
      </c>
      <c r="BI266" t="s" s="0">
        <v>81</v>
      </c>
      <c r="BJ266" t="s" s="0">
        <v>6398</v>
      </c>
      <c r="BK266" t="s" s="527">
        <f>HYPERLINK("http://dx.doi.org/10.1007/s10845-024-02544-7","http://dx.doi.org/10.1007/s10845-024-02544-7")</f>
        <v>6399</v>
      </c>
      <c r="BL266" t="s" s="0">
        <v>81</v>
      </c>
      <c r="BM266" t="s" s="0">
        <v>2431</v>
      </c>
      <c r="BN266" t="s" s="0">
        <v>267</v>
      </c>
      <c r="BO266" t="s" s="0">
        <v>6400</v>
      </c>
      <c r="BP266" t="s" s="0">
        <v>633</v>
      </c>
      <c r="BQ266" t="s" s="0">
        <v>6401</v>
      </c>
      <c r="BR266" t="s" s="0">
        <v>81</v>
      </c>
      <c r="BS266" t="s" s="0">
        <v>6402</v>
      </c>
      <c r="BT266" t="s" s="528">
        <f>HYPERLINK("https://www.webofscience.com/wos/woscc/full-record/WOS:001377507400001","View Record in Web of Science")</f>
        <v>123</v>
      </c>
      <c r="BU266" t="s" s="0">
        <v>81</v>
      </c>
      <c r="BV266" t="s" s="0">
        <v>81</v>
      </c>
      <c r="BW266" t="s" s="0">
        <v>81</v>
      </c>
      <c r="BX266" t="s" s="0">
        <v>124</v>
      </c>
    </row>
    <row r="267">
      <c r="A267" t="s" s="0">
        <v>77</v>
      </c>
      <c r="B267" t="s" s="0">
        <v>77</v>
      </c>
      <c r="C267" t="s" s="0">
        <v>77</v>
      </c>
      <c r="D267" t="s" s="0">
        <v>77</v>
      </c>
      <c r="E267" t="s" s="0">
        <v>6403</v>
      </c>
      <c r="F267" t="s" s="0">
        <v>6404</v>
      </c>
      <c r="G267" t="s" s="0">
        <v>6405</v>
      </c>
      <c r="H267" t="s" s="0">
        <v>81</v>
      </c>
      <c r="I267" t="s" s="0">
        <v>82</v>
      </c>
      <c r="J267" t="s" s="0">
        <v>6406</v>
      </c>
      <c r="K267" t="s" s="0">
        <v>6407</v>
      </c>
      <c r="L267" t="s" s="0">
        <v>6408</v>
      </c>
      <c r="M267" t="s" s="0">
        <v>6409</v>
      </c>
      <c r="N267" t="s" s="0">
        <v>6410</v>
      </c>
      <c r="O267" t="s" s="0">
        <v>6411</v>
      </c>
      <c r="P267" t="s" s="0">
        <v>4447</v>
      </c>
      <c r="Q267" t="s" s="0">
        <v>90</v>
      </c>
      <c r="R267" t="s" s="0">
        <v>81</v>
      </c>
      <c r="S267" t="s" s="0">
        <v>81</v>
      </c>
      <c r="T267" t="s" s="0">
        <v>81</v>
      </c>
      <c r="U267" t="s" s="0">
        <v>81</v>
      </c>
      <c r="V267" t="s" s="0">
        <v>6412</v>
      </c>
      <c r="W267" t="s" s="0">
        <v>234</v>
      </c>
      <c r="X267" t="s" s="0">
        <v>81</v>
      </c>
      <c r="Y267" t="s" s="0">
        <v>81</v>
      </c>
      <c r="Z267" t="s" s="0">
        <v>93</v>
      </c>
      <c r="AA267" t="s" s="0">
        <v>94</v>
      </c>
      <c r="AB267" t="s" s="0">
        <v>81</v>
      </c>
      <c r="AC267" t="s" s="0">
        <v>81</v>
      </c>
      <c r="AD267" t="s" s="0">
        <v>81</v>
      </c>
      <c r="AE267" t="s" s="0">
        <v>81</v>
      </c>
      <c r="AF267" t="s" s="0">
        <v>81</v>
      </c>
      <c r="AG267" t="s" s="0">
        <v>6413</v>
      </c>
      <c r="AH267" t="s" s="0">
        <v>81</v>
      </c>
      <c r="AI267" t="s" s="0">
        <v>6414</v>
      </c>
      <c r="AJ267" t="s" s="0">
        <v>6415</v>
      </c>
      <c r="AK267" t="s" s="0">
        <v>81</v>
      </c>
      <c r="AL267" t="s" s="0">
        <v>732</v>
      </c>
      <c r="AM267" t="s" s="0">
        <v>137</v>
      </c>
      <c r="AN267" t="s" s="0">
        <v>137</v>
      </c>
      <c r="AO267" t="s" s="0">
        <v>100</v>
      </c>
      <c r="AP267" t="s" s="0">
        <v>213</v>
      </c>
      <c r="AQ267" t="s" s="0">
        <v>140</v>
      </c>
      <c r="AR267" t="s" s="0">
        <v>141</v>
      </c>
      <c r="AS267" t="s" s="0">
        <v>142</v>
      </c>
      <c r="AT267" t="s" s="0">
        <v>240</v>
      </c>
      <c r="AU267" t="s" s="0">
        <v>241</v>
      </c>
      <c r="AV267" t="s" s="0">
        <v>81</v>
      </c>
      <c r="AW267" t="s" s="0">
        <v>242</v>
      </c>
      <c r="AX267" t="s" s="0">
        <v>243</v>
      </c>
      <c r="AY267" t="s" s="0">
        <v>1221</v>
      </c>
      <c r="AZ267" t="s" s="0">
        <v>212</v>
      </c>
      <c r="BA267" t="s" s="0">
        <v>2251</v>
      </c>
      <c r="BB267" t="s" s="0">
        <v>81</v>
      </c>
      <c r="BC267" t="s" s="0">
        <v>81</v>
      </c>
      <c r="BD267" t="s" s="0">
        <v>628</v>
      </c>
      <c r="BE267" t="s" s="0">
        <v>81</v>
      </c>
      <c r="BF267" t="s" s="0">
        <v>81</v>
      </c>
      <c r="BG267" t="s" s="0">
        <v>81</v>
      </c>
      <c r="BH267" t="s" s="0">
        <v>81</v>
      </c>
      <c r="BI267" t="s" s="0">
        <v>6416</v>
      </c>
      <c r="BJ267" t="s" s="0">
        <v>6417</v>
      </c>
      <c r="BK267" t="s" s="529">
        <f>HYPERLINK("http://dx.doi.org/10.1016/j.inffus.2025.103530","http://dx.doi.org/10.1016/j.inffus.2025.103530")</f>
        <v>6418</v>
      </c>
      <c r="BL267" t="s" s="0">
        <v>81</v>
      </c>
      <c r="BM267" t="s" s="0">
        <v>147</v>
      </c>
      <c r="BN267" t="s" s="0">
        <v>117</v>
      </c>
      <c r="BO267" t="s" s="0">
        <v>249</v>
      </c>
      <c r="BP267" t="s" s="0">
        <v>250</v>
      </c>
      <c r="BQ267" t="s" s="0">
        <v>6419</v>
      </c>
      <c r="BR267" t="s" s="0">
        <v>81</v>
      </c>
      <c r="BS267" t="s" s="0">
        <v>6420</v>
      </c>
      <c r="BT267" t="s" s="530">
        <f>HYPERLINK("https://www.webofscience.com/wos/woscc/full-record/WOS:001542725700002","View Record in Web of Science")</f>
        <v>123</v>
      </c>
      <c r="BU267" t="s" s="0">
        <v>81</v>
      </c>
      <c r="BV267" t="s" s="0">
        <v>81</v>
      </c>
      <c r="BW267" t="s" s="0">
        <v>81</v>
      </c>
      <c r="BX267" t="s" s="0">
        <v>124</v>
      </c>
    </row>
    <row r="268">
      <c r="A268" t="s" s="0">
        <v>137</v>
      </c>
      <c r="B268" t="s" s="0">
        <v>77</v>
      </c>
      <c r="C268" t="s" s="0">
        <v>77</v>
      </c>
      <c r="D268" t="s" s="0">
        <v>77</v>
      </c>
      <c r="E268" t="s" s="0">
        <v>6421</v>
      </c>
      <c r="F268" t="s" s="0">
        <v>6422</v>
      </c>
      <c r="G268" t="s" s="0">
        <v>6423</v>
      </c>
      <c r="H268" t="s" s="0">
        <v>81</v>
      </c>
      <c r="I268" t="s" s="0">
        <v>82</v>
      </c>
      <c r="J268" t="s" s="0">
        <v>6424</v>
      </c>
      <c r="K268" t="s" s="0">
        <v>6425</v>
      </c>
      <c r="L268" t="s" s="0">
        <v>6426</v>
      </c>
      <c r="M268" t="s" s="0">
        <v>6427</v>
      </c>
      <c r="N268" t="s" s="0">
        <v>6428</v>
      </c>
      <c r="O268" t="s" s="0">
        <v>6429</v>
      </c>
      <c r="P268" t="s" s="0">
        <v>6430</v>
      </c>
      <c r="Q268" t="s" s="0">
        <v>90</v>
      </c>
      <c r="R268" t="s" s="0">
        <v>81</v>
      </c>
      <c r="S268" t="s" s="0">
        <v>81</v>
      </c>
      <c r="T268" t="s" s="0">
        <v>81</v>
      </c>
      <c r="U268" t="s" s="0">
        <v>81</v>
      </c>
      <c r="V268" t="s" s="0">
        <v>6431</v>
      </c>
      <c r="W268" t="s" s="0">
        <v>6432</v>
      </c>
      <c r="X268" t="s" s="0">
        <v>81</v>
      </c>
      <c r="Y268" t="s" s="0">
        <v>81</v>
      </c>
      <c r="Z268" t="s" s="0">
        <v>93</v>
      </c>
      <c r="AA268" t="s" s="0">
        <v>94</v>
      </c>
      <c r="AB268" t="s" s="0">
        <v>81</v>
      </c>
      <c r="AC268" t="s" s="0">
        <v>81</v>
      </c>
      <c r="AD268" t="s" s="0">
        <v>81</v>
      </c>
      <c r="AE268" t="s" s="0">
        <v>81</v>
      </c>
      <c r="AF268" t="s" s="0">
        <v>81</v>
      </c>
      <c r="AG268" t="s" s="0">
        <v>6433</v>
      </c>
      <c r="AH268" t="s" s="0">
        <v>81</v>
      </c>
      <c r="AI268" t="s" s="0">
        <v>6434</v>
      </c>
      <c r="AJ268" t="s" s="0">
        <v>81</v>
      </c>
      <c r="AK268" t="s" s="0">
        <v>81</v>
      </c>
      <c r="AL268" t="s" s="0">
        <v>267</v>
      </c>
      <c r="AM268" t="s" s="0">
        <v>158</v>
      </c>
      <c r="AN268" t="s" s="0">
        <v>183</v>
      </c>
      <c r="AO268" t="s" s="0">
        <v>77</v>
      </c>
      <c r="AP268" t="s" s="0">
        <v>182</v>
      </c>
      <c r="AQ268" t="s" s="0">
        <v>786</v>
      </c>
      <c r="AR268" t="s" s="0">
        <v>787</v>
      </c>
      <c r="AS268" t="s" s="0">
        <v>788</v>
      </c>
      <c r="AT268" t="s" s="0">
        <v>6435</v>
      </c>
      <c r="AU268" t="s" s="0">
        <v>6436</v>
      </c>
      <c r="AV268" t="s" s="0">
        <v>81</v>
      </c>
      <c r="AW268" t="s" s="0">
        <v>6437</v>
      </c>
      <c r="AX268" t="s" s="0">
        <v>6438</v>
      </c>
      <c r="AY268" t="s" s="0">
        <v>6439</v>
      </c>
      <c r="AZ268" t="s" s="0">
        <v>678</v>
      </c>
      <c r="BA268" t="s" s="0">
        <v>6440</v>
      </c>
      <c r="BB268" t="s" s="0">
        <v>81</v>
      </c>
      <c r="BC268" t="s" s="0">
        <v>81</v>
      </c>
      <c r="BD268" t="s" s="0">
        <v>81</v>
      </c>
      <c r="BE268" t="s" s="0">
        <v>81</v>
      </c>
      <c r="BF268" t="s" s="0">
        <v>81</v>
      </c>
      <c r="BG268" t="s" s="0">
        <v>81</v>
      </c>
      <c r="BH268" t="s" s="0">
        <v>81</v>
      </c>
      <c r="BI268" t="s" s="0">
        <v>6441</v>
      </c>
      <c r="BJ268" t="s" s="0">
        <v>6442</v>
      </c>
      <c r="BK268" t="s" s="531">
        <f>HYPERLINK("http://dx.doi.org/10.1016/j.compeleceng.2022.108127","http://dx.doi.org/10.1016/j.compeleceng.2022.108127")</f>
        <v>6443</v>
      </c>
      <c r="BL268" t="s" s="0">
        <v>81</v>
      </c>
      <c r="BM268" t="s" s="0">
        <v>6444</v>
      </c>
      <c r="BN268" t="s" s="0">
        <v>117</v>
      </c>
      <c r="BO268" t="s" s="0">
        <v>6445</v>
      </c>
      <c r="BP268" t="s" s="0">
        <v>633</v>
      </c>
      <c r="BQ268" t="s" s="0">
        <v>6446</v>
      </c>
      <c r="BR268" t="s" s="0">
        <v>81</v>
      </c>
      <c r="BS268" t="s" s="0">
        <v>6447</v>
      </c>
      <c r="BT268" t="s" s="532">
        <f>HYPERLINK("https://www.webofscience.com/wos/woscc/full-record/WOS:000841077000002","View Record in Web of Science")</f>
        <v>123</v>
      </c>
      <c r="BU268" t="s" s="0">
        <v>81</v>
      </c>
      <c r="BV268" t="s" s="0">
        <v>81</v>
      </c>
      <c r="BW268" t="s" s="0">
        <v>81</v>
      </c>
      <c r="BX268" t="s" s="0">
        <v>124</v>
      </c>
    </row>
    <row r="269">
      <c r="A269" t="s" s="0">
        <v>77</v>
      </c>
      <c r="B269" t="s" s="0">
        <v>77</v>
      </c>
      <c r="C269" t="s" s="0">
        <v>77</v>
      </c>
      <c r="D269" t="s" s="0">
        <v>77</v>
      </c>
      <c r="E269" t="s" s="0">
        <v>6448</v>
      </c>
      <c r="F269" t="s" s="0">
        <v>6449</v>
      </c>
      <c r="G269" t="s" s="0">
        <v>6450</v>
      </c>
      <c r="H269" t="s" s="0">
        <v>81</v>
      </c>
      <c r="I269" t="s" s="0">
        <v>82</v>
      </c>
      <c r="J269" t="s" s="0">
        <v>6451</v>
      </c>
      <c r="K269" t="s" s="0">
        <v>6452</v>
      </c>
      <c r="L269" t="s" s="0">
        <v>6453</v>
      </c>
      <c r="M269" t="s" s="0">
        <v>6454</v>
      </c>
      <c r="N269" t="s" s="0">
        <v>6455</v>
      </c>
      <c r="O269" t="s" s="0">
        <v>6456</v>
      </c>
      <c r="P269" t="s" s="0">
        <v>6457</v>
      </c>
      <c r="Q269" t="s" s="0">
        <v>90</v>
      </c>
      <c r="R269" t="s" s="0">
        <v>81</v>
      </c>
      <c r="S269" t="s" s="0">
        <v>81</v>
      </c>
      <c r="T269" t="s" s="0">
        <v>81</v>
      </c>
      <c r="U269" t="s" s="0">
        <v>81</v>
      </c>
      <c r="V269" t="s" s="0">
        <v>6458</v>
      </c>
      <c r="W269" t="s" s="0">
        <v>1792</v>
      </c>
      <c r="X269" t="s" s="0">
        <v>81</v>
      </c>
      <c r="Y269" t="s" s="0">
        <v>81</v>
      </c>
      <c r="Z269" t="s" s="0">
        <v>93</v>
      </c>
      <c r="AA269" t="s" s="0">
        <v>94</v>
      </c>
      <c r="AB269" t="s" s="0">
        <v>81</v>
      </c>
      <c r="AC269" t="s" s="0">
        <v>81</v>
      </c>
      <c r="AD269" t="s" s="0">
        <v>81</v>
      </c>
      <c r="AE269" t="s" s="0">
        <v>81</v>
      </c>
      <c r="AF269" t="s" s="0">
        <v>81</v>
      </c>
      <c r="AG269" t="s" s="0">
        <v>6459</v>
      </c>
      <c r="AH269" t="s" s="0">
        <v>81</v>
      </c>
      <c r="AI269" t="s" s="0">
        <v>81</v>
      </c>
      <c r="AJ269" t="s" s="0">
        <v>81</v>
      </c>
      <c r="AK269" t="s" s="0">
        <v>81</v>
      </c>
      <c r="AL269" t="s" s="0">
        <v>1330</v>
      </c>
      <c r="AM269" t="s" s="0">
        <v>77</v>
      </c>
      <c r="AN269" t="s" s="0">
        <v>77</v>
      </c>
      <c r="AO269" t="s" s="0">
        <v>77</v>
      </c>
      <c r="AP269" t="s" s="0">
        <v>77</v>
      </c>
      <c r="AQ269" t="s" s="0">
        <v>786</v>
      </c>
      <c r="AR269" t="s" s="0">
        <v>787</v>
      </c>
      <c r="AS269" t="s" s="0">
        <v>788</v>
      </c>
      <c r="AT269" t="s" s="0">
        <v>1796</v>
      </c>
      <c r="AU269" t="s" s="0">
        <v>1797</v>
      </c>
      <c r="AV269" t="s" s="0">
        <v>81</v>
      </c>
      <c r="AW269" t="s" s="0">
        <v>1798</v>
      </c>
      <c r="AX269" t="s" s="0">
        <v>1799</v>
      </c>
      <c r="AY269" t="s" s="0">
        <v>4017</v>
      </c>
      <c r="AZ269" t="s" s="0">
        <v>4018</v>
      </c>
      <c r="BA269" t="s" s="0">
        <v>6460</v>
      </c>
      <c r="BB269" t="s" s="0">
        <v>81</v>
      </c>
      <c r="BC269" t="s" s="0">
        <v>81</v>
      </c>
      <c r="BD269" t="s" s="0">
        <v>2620</v>
      </c>
      <c r="BE269" t="s" s="0">
        <v>81</v>
      </c>
      <c r="BF269" t="s" s="0">
        <v>81</v>
      </c>
      <c r="BG269" t="s" s="0">
        <v>81</v>
      </c>
      <c r="BH269" t="s" s="0">
        <v>81</v>
      </c>
      <c r="BI269" t="s" s="0">
        <v>6461</v>
      </c>
      <c r="BJ269" t="s" s="0">
        <v>6462</v>
      </c>
      <c r="BK269" t="s" s="533">
        <f>HYPERLINK("http://dx.doi.org/10.1016/j.eswa.2026.133978","http://dx.doi.org/10.1016/j.eswa.2026.133978")</f>
        <v>6463</v>
      </c>
      <c r="BL269" t="s" s="0">
        <v>81</v>
      </c>
      <c r="BM269" t="s" s="0">
        <v>81</v>
      </c>
      <c r="BN269" t="s" s="0">
        <v>461</v>
      </c>
      <c r="BO269" t="s" s="0">
        <v>1805</v>
      </c>
      <c r="BP269" t="s" s="0">
        <v>1806</v>
      </c>
      <c r="BQ269" t="s" s="0">
        <v>6464</v>
      </c>
      <c r="BR269" t="s" s="0">
        <v>81</v>
      </c>
      <c r="BS269" t="s" s="0">
        <v>6465</v>
      </c>
      <c r="BT269" t="s" s="534">
        <f>HYPERLINK("https://www.webofscience.com/wos/woscc/full-record/WOS:001850612400001","View Record in Web of Science")</f>
        <v>123</v>
      </c>
      <c r="BU269" t="s" s="0">
        <v>81</v>
      </c>
      <c r="BV269" t="s" s="0">
        <v>81</v>
      </c>
      <c r="BW269" t="s" s="0">
        <v>81</v>
      </c>
      <c r="BX269" t="s" s="0">
        <v>124</v>
      </c>
    </row>
    <row r="270">
      <c r="A270" t="s" s="0">
        <v>77</v>
      </c>
      <c r="B270" t="s" s="0">
        <v>77</v>
      </c>
      <c r="C270" t="s" s="0">
        <v>77</v>
      </c>
      <c r="D270" t="s" s="0">
        <v>77</v>
      </c>
      <c r="E270" t="s" s="0">
        <v>6466</v>
      </c>
      <c r="F270" t="s" s="0">
        <v>6467</v>
      </c>
      <c r="G270" t="s" s="0">
        <v>6468</v>
      </c>
      <c r="H270" t="s" s="0">
        <v>81</v>
      </c>
      <c r="I270" t="s" s="0">
        <v>195</v>
      </c>
      <c r="J270" t="s" s="0">
        <v>6469</v>
      </c>
      <c r="K270" t="s" s="0">
        <v>6470</v>
      </c>
      <c r="L270" t="s" s="0">
        <v>6471</v>
      </c>
      <c r="M270" t="s" s="0">
        <v>6472</v>
      </c>
      <c r="N270" t="s" s="0">
        <v>6473</v>
      </c>
      <c r="O270" t="s" s="0">
        <v>6474</v>
      </c>
      <c r="P270" t="s" s="0">
        <v>6475</v>
      </c>
      <c r="Q270" t="s" s="0">
        <v>90</v>
      </c>
      <c r="R270" t="s" s="0">
        <v>81</v>
      </c>
      <c r="S270" t="s" s="0">
        <v>81</v>
      </c>
      <c r="T270" t="s" s="0">
        <v>81</v>
      </c>
      <c r="U270" t="s" s="0">
        <v>81</v>
      </c>
      <c r="V270" t="s" s="0">
        <v>6476</v>
      </c>
      <c r="W270" t="s" s="0">
        <v>3743</v>
      </c>
      <c r="X270" t="s" s="0">
        <v>81</v>
      </c>
      <c r="Y270" t="s" s="0">
        <v>81</v>
      </c>
      <c r="Z270" t="s" s="0">
        <v>93</v>
      </c>
      <c r="AA270" t="s" s="0">
        <v>94</v>
      </c>
      <c r="AB270" t="s" s="0">
        <v>81</v>
      </c>
      <c r="AC270" t="s" s="0">
        <v>81</v>
      </c>
      <c r="AD270" t="s" s="0">
        <v>81</v>
      </c>
      <c r="AE270" t="s" s="0">
        <v>81</v>
      </c>
      <c r="AF270" t="s" s="0">
        <v>81</v>
      </c>
      <c r="AG270" t="s" s="0">
        <v>6477</v>
      </c>
      <c r="AH270" t="s" s="0">
        <v>81</v>
      </c>
      <c r="AI270" t="s" s="0">
        <v>81</v>
      </c>
      <c r="AJ270" t="s" s="0">
        <v>81</v>
      </c>
      <c r="AK270" t="s" s="0">
        <v>81</v>
      </c>
      <c r="AL270" t="s" s="0">
        <v>513</v>
      </c>
      <c r="AM270" t="s" s="0">
        <v>77</v>
      </c>
      <c r="AN270" t="s" s="0">
        <v>77</v>
      </c>
      <c r="AO270" t="s" s="0">
        <v>77</v>
      </c>
      <c r="AP270" t="s" s="0">
        <v>77</v>
      </c>
      <c r="AQ270" t="s" s="0">
        <v>1569</v>
      </c>
      <c r="AR270" t="s" s="0">
        <v>1570</v>
      </c>
      <c r="AS270" t="s" s="0">
        <v>1571</v>
      </c>
      <c r="AT270" t="s" s="0">
        <v>3747</v>
      </c>
      <c r="AU270" t="s" s="0">
        <v>81</v>
      </c>
      <c r="AV270" t="s" s="0">
        <v>81</v>
      </c>
      <c r="AW270" t="s" s="0">
        <v>3748</v>
      </c>
      <c r="AX270" t="s" s="0">
        <v>3749</v>
      </c>
      <c r="AY270" t="s" s="0">
        <v>6478</v>
      </c>
      <c r="AZ270" t="s" s="0">
        <v>212</v>
      </c>
      <c r="BA270" t="s" s="0">
        <v>138</v>
      </c>
      <c r="BB270" t="s" s="0">
        <v>172</v>
      </c>
      <c r="BC270" t="s" s="0">
        <v>81</v>
      </c>
      <c r="BD270" t="s" s="0">
        <v>81</v>
      </c>
      <c r="BE270" t="s" s="0">
        <v>81</v>
      </c>
      <c r="BF270" t="s" s="0">
        <v>81</v>
      </c>
      <c r="BG270" t="s" s="0">
        <v>81</v>
      </c>
      <c r="BH270" t="s" s="0">
        <v>81</v>
      </c>
      <c r="BI270" t="s" s="0">
        <v>6479</v>
      </c>
      <c r="BJ270" t="s" s="0">
        <v>6480</v>
      </c>
      <c r="BK270" t="s" s="535">
        <f>HYPERLINK("http://dx.doi.org/10.1088/2631-8695/ae6b04","http://dx.doi.org/10.1088/2631-8695/ae6b04")</f>
        <v>6481</v>
      </c>
      <c r="BL270" t="s" s="0">
        <v>81</v>
      </c>
      <c r="BM270" t="s" s="0">
        <v>81</v>
      </c>
      <c r="BN270" t="s" s="0">
        <v>267</v>
      </c>
      <c r="BO270" t="s" s="0">
        <v>218</v>
      </c>
      <c r="BP270" t="s" s="0">
        <v>219</v>
      </c>
      <c r="BQ270" t="s" s="0">
        <v>6482</v>
      </c>
      <c r="BR270" t="s" s="0">
        <v>81</v>
      </c>
      <c r="BS270" t="s" s="0">
        <v>6483</v>
      </c>
      <c r="BT270" t="s" s="536">
        <f>HYPERLINK("https://www.webofscience.com/wos/woscc/full-record/WOS:001828317000001","View Record in Web of Science")</f>
        <v>123</v>
      </c>
      <c r="BU270" t="s" s="0">
        <v>81</v>
      </c>
      <c r="BV270" t="s" s="0">
        <v>81</v>
      </c>
      <c r="BW270" t="s" s="0">
        <v>81</v>
      </c>
      <c r="BX270" t="s" s="0">
        <v>124</v>
      </c>
    </row>
    <row r="271">
      <c r="A271" t="s" s="0">
        <v>77</v>
      </c>
      <c r="B271" t="s" s="0">
        <v>77</v>
      </c>
      <c r="C271" t="s" s="0">
        <v>77</v>
      </c>
      <c r="D271" t="s" s="0">
        <v>77</v>
      </c>
      <c r="E271" t="s" s="0">
        <v>6484</v>
      </c>
      <c r="F271" t="s" s="0">
        <v>6485</v>
      </c>
      <c r="G271" t="s" s="0">
        <v>6486</v>
      </c>
      <c r="H271" t="s" s="0">
        <v>81</v>
      </c>
      <c r="I271" t="s" s="0">
        <v>82</v>
      </c>
      <c r="J271" t="s" s="0">
        <v>6487</v>
      </c>
      <c r="K271" t="s" s="0">
        <v>6488</v>
      </c>
      <c r="L271" t="s" s="0">
        <v>6489</v>
      </c>
      <c r="M271" t="s" s="0">
        <v>6490</v>
      </c>
      <c r="N271" t="s" s="0">
        <v>6491</v>
      </c>
      <c r="O271" t="s" s="0">
        <v>6492</v>
      </c>
      <c r="P271" t="s" s="0">
        <v>6493</v>
      </c>
      <c r="Q271" t="s" s="0">
        <v>90</v>
      </c>
      <c r="R271" t="s" s="0">
        <v>81</v>
      </c>
      <c r="S271" t="s" s="0">
        <v>81</v>
      </c>
      <c r="T271" t="s" s="0">
        <v>81</v>
      </c>
      <c r="U271" t="s" s="0">
        <v>81</v>
      </c>
      <c r="V271" t="s" s="0">
        <v>6494</v>
      </c>
      <c r="W271" t="s" s="0">
        <v>501</v>
      </c>
      <c r="X271" t="s" s="0">
        <v>81</v>
      </c>
      <c r="Y271" t="s" s="0">
        <v>81</v>
      </c>
      <c r="Z271" t="s" s="0">
        <v>93</v>
      </c>
      <c r="AA271" t="s" s="0">
        <v>330</v>
      </c>
      <c r="AB271" t="s" s="0">
        <v>81</v>
      </c>
      <c r="AC271" t="s" s="0">
        <v>81</v>
      </c>
      <c r="AD271" t="s" s="0">
        <v>81</v>
      </c>
      <c r="AE271" t="s" s="0">
        <v>81</v>
      </c>
      <c r="AF271" t="s" s="0">
        <v>81</v>
      </c>
      <c r="AG271" t="s" s="0">
        <v>6495</v>
      </c>
      <c r="AH271" t="s" s="0">
        <v>6496</v>
      </c>
      <c r="AI271" t="s" s="0">
        <v>6497</v>
      </c>
      <c r="AJ271" t="s" s="0">
        <v>6498</v>
      </c>
      <c r="AK271" t="s" s="0">
        <v>81</v>
      </c>
      <c r="AL271" t="s" s="0">
        <v>732</v>
      </c>
      <c r="AM271" t="s" s="0">
        <v>77</v>
      </c>
      <c r="AN271" t="s" s="0">
        <v>77</v>
      </c>
      <c r="AO271" t="s" s="0">
        <v>100</v>
      </c>
      <c r="AP271" t="s" s="0">
        <v>100</v>
      </c>
      <c r="AQ271" t="s" s="0">
        <v>505</v>
      </c>
      <c r="AR271" t="s" s="0">
        <v>506</v>
      </c>
      <c r="AS271" t="s" s="0">
        <v>507</v>
      </c>
      <c r="AT271" t="s" s="0">
        <v>508</v>
      </c>
      <c r="AU271" t="s" s="0">
        <v>509</v>
      </c>
      <c r="AV271" t="s" s="0">
        <v>81</v>
      </c>
      <c r="AW271" t="s" s="0">
        <v>510</v>
      </c>
      <c r="AX271" t="s" s="0">
        <v>511</v>
      </c>
      <c r="AY271" t="s" s="0">
        <v>81</v>
      </c>
      <c r="AZ271" t="s" s="0">
        <v>212</v>
      </c>
      <c r="BA271" t="s" s="0">
        <v>81</v>
      </c>
      <c r="BB271" t="s" s="0">
        <v>81</v>
      </c>
      <c r="BC271" t="s" s="0">
        <v>81</v>
      </c>
      <c r="BD271" t="s" s="0">
        <v>81</v>
      </c>
      <c r="BE271" t="s" s="0">
        <v>81</v>
      </c>
      <c r="BF271" t="s" s="0">
        <v>81</v>
      </c>
      <c r="BG271" t="s" s="0">
        <v>81</v>
      </c>
      <c r="BH271" t="s" s="0">
        <v>81</v>
      </c>
      <c r="BI271" t="s" s="0">
        <v>81</v>
      </c>
      <c r="BJ271" t="s" s="0">
        <v>6499</v>
      </c>
      <c r="BK271" t="s" s="537">
        <f>HYPERLINK("http://dx.doi.org/10.1007/s10278-025-01831-w","http://dx.doi.org/10.1007/s10278-025-01831-w")</f>
        <v>6500</v>
      </c>
      <c r="BL271" t="s" s="0">
        <v>81</v>
      </c>
      <c r="BM271" t="s" s="0">
        <v>763</v>
      </c>
      <c r="BN271" t="s" s="0">
        <v>1110</v>
      </c>
      <c r="BO271" t="s" s="0">
        <v>519</v>
      </c>
      <c r="BP271" t="s" s="0">
        <v>519</v>
      </c>
      <c r="BQ271" t="s" s="0">
        <v>6501</v>
      </c>
      <c r="BR271" t="s" s="0">
        <v>6502</v>
      </c>
      <c r="BS271" t="s" s="0">
        <v>6503</v>
      </c>
      <c r="BT271" t="s" s="538">
        <f>HYPERLINK("https://www.webofscience.com/wos/woscc/full-record/WOS:001665562800001","View Record in Web of Science")</f>
        <v>123</v>
      </c>
      <c r="BU271" t="s" s="0">
        <v>523</v>
      </c>
      <c r="BV271" t="s" s="0">
        <v>81</v>
      </c>
      <c r="BW271" t="s" s="0">
        <v>81</v>
      </c>
      <c r="BX271" t="s" s="0">
        <v>124</v>
      </c>
    </row>
    <row r="272">
      <c r="A272" t="s" s="0">
        <v>77</v>
      </c>
      <c r="B272" t="s" s="0">
        <v>77</v>
      </c>
      <c r="C272" t="s" s="0">
        <v>77</v>
      </c>
      <c r="D272" t="s" s="0">
        <v>77</v>
      </c>
      <c r="E272" t="s" s="0">
        <v>6504</v>
      </c>
      <c r="F272" t="s" s="0">
        <v>6505</v>
      </c>
      <c r="G272" t="s" s="0">
        <v>6506</v>
      </c>
      <c r="H272" t="s" s="0">
        <v>81</v>
      </c>
      <c r="I272" t="s" s="0">
        <v>82</v>
      </c>
      <c r="J272" t="s" s="0">
        <v>6507</v>
      </c>
      <c r="K272" t="s" s="0">
        <v>6508</v>
      </c>
      <c r="L272" t="s" s="0">
        <v>6509</v>
      </c>
      <c r="M272" t="s" s="0">
        <v>6510</v>
      </c>
      <c r="N272" t="s" s="0">
        <v>6511</v>
      </c>
      <c r="O272" t="s" s="0">
        <v>6512</v>
      </c>
      <c r="P272" t="s" s="0">
        <v>6513</v>
      </c>
      <c r="Q272" t="s" s="0">
        <v>90</v>
      </c>
      <c r="R272" t="s" s="0">
        <v>81</v>
      </c>
      <c r="S272" t="s" s="0">
        <v>81</v>
      </c>
      <c r="T272" t="s" s="0">
        <v>81</v>
      </c>
      <c r="U272" t="s" s="0">
        <v>81</v>
      </c>
      <c r="V272" t="s" s="0">
        <v>6514</v>
      </c>
      <c r="W272" t="s" s="0">
        <v>6515</v>
      </c>
      <c r="X272" t="s" s="0">
        <v>81</v>
      </c>
      <c r="Y272" t="s" s="0">
        <v>81</v>
      </c>
      <c r="Z272" t="s" s="0">
        <v>93</v>
      </c>
      <c r="AA272" t="s" s="0">
        <v>330</v>
      </c>
      <c r="AB272" t="s" s="0">
        <v>81</v>
      </c>
      <c r="AC272" t="s" s="0">
        <v>81</v>
      </c>
      <c r="AD272" t="s" s="0">
        <v>81</v>
      </c>
      <c r="AE272" t="s" s="0">
        <v>81</v>
      </c>
      <c r="AF272" t="s" s="0">
        <v>81</v>
      </c>
      <c r="AG272" t="s" s="0">
        <v>6516</v>
      </c>
      <c r="AH272" t="s" s="0">
        <v>81</v>
      </c>
      <c r="AI272" t="s" s="0">
        <v>81</v>
      </c>
      <c r="AJ272" t="s" s="0">
        <v>81</v>
      </c>
      <c r="AK272" t="s" s="0">
        <v>81</v>
      </c>
      <c r="AL272" t="s" s="0">
        <v>2520</v>
      </c>
      <c r="AM272" t="s" s="0">
        <v>77</v>
      </c>
      <c r="AN272" t="s" s="0">
        <v>77</v>
      </c>
      <c r="AO272" t="s" s="0">
        <v>77</v>
      </c>
      <c r="AP272" t="s" s="0">
        <v>77</v>
      </c>
      <c r="AQ272" t="s" s="0">
        <v>505</v>
      </c>
      <c r="AR272" t="s" s="0">
        <v>1064</v>
      </c>
      <c r="AS272" t="s" s="0">
        <v>1065</v>
      </c>
      <c r="AT272" t="s" s="0">
        <v>6517</v>
      </c>
      <c r="AU272" t="s" s="0">
        <v>6518</v>
      </c>
      <c r="AV272" t="s" s="0">
        <v>81</v>
      </c>
      <c r="AW272" t="s" s="0">
        <v>6519</v>
      </c>
      <c r="AX272" t="s" s="0">
        <v>6520</v>
      </c>
      <c r="AY272" t="s" s="0">
        <v>81</v>
      </c>
      <c r="AZ272" t="s" s="0">
        <v>212</v>
      </c>
      <c r="BA272" t="s" s="0">
        <v>81</v>
      </c>
      <c r="BB272" t="s" s="0">
        <v>81</v>
      </c>
      <c r="BC272" t="s" s="0">
        <v>81</v>
      </c>
      <c r="BD272" t="s" s="0">
        <v>81</v>
      </c>
      <c r="BE272" t="s" s="0">
        <v>81</v>
      </c>
      <c r="BF272" t="s" s="0">
        <v>81</v>
      </c>
      <c r="BG272" t="s" s="0">
        <v>81</v>
      </c>
      <c r="BH272" t="s" s="0">
        <v>81</v>
      </c>
      <c r="BI272" t="s" s="0">
        <v>81</v>
      </c>
      <c r="BJ272" t="s" s="0">
        <v>6521</v>
      </c>
      <c r="BK272" t="s" s="539">
        <f>HYPERLINK("http://dx.doi.org/10.1007/s11030-026-11699-9","http://dx.doi.org/10.1007/s11030-026-11699-9")</f>
        <v>6522</v>
      </c>
      <c r="BL272" t="s" s="0">
        <v>81</v>
      </c>
      <c r="BM272" t="s" s="0">
        <v>1967</v>
      </c>
      <c r="BN272" t="s" s="0">
        <v>217</v>
      </c>
      <c r="BO272" t="s" s="0">
        <v>6523</v>
      </c>
      <c r="BP272" t="s" s="0">
        <v>4719</v>
      </c>
      <c r="BQ272" t="s" s="0">
        <v>6524</v>
      </c>
      <c r="BR272" t="s" s="0">
        <v>6525</v>
      </c>
      <c r="BS272" t="s" s="0">
        <v>6526</v>
      </c>
      <c r="BT272" t="s" s="540">
        <f>HYPERLINK("https://www.webofscience.com/wos/woscc/full-record/WOS:001854274100001","View Record in Web of Science")</f>
        <v>123</v>
      </c>
      <c r="BU272" t="s" s="0">
        <v>81</v>
      </c>
      <c r="BV272" t="s" s="0">
        <v>81</v>
      </c>
      <c r="BW272" t="s" s="0">
        <v>81</v>
      </c>
      <c r="BX272" t="s" s="0">
        <v>124</v>
      </c>
    </row>
    <row r="273">
      <c r="A273" t="s" s="0">
        <v>77</v>
      </c>
      <c r="B273" t="s" s="0">
        <v>77</v>
      </c>
      <c r="C273" t="s" s="0">
        <v>77</v>
      </c>
      <c r="D273" t="s" s="0">
        <v>77</v>
      </c>
      <c r="E273" t="s" s="0">
        <v>6527</v>
      </c>
      <c r="F273" t="s" s="0">
        <v>6528</v>
      </c>
      <c r="G273" t="s" s="0">
        <v>6529</v>
      </c>
      <c r="H273" t="s" s="0">
        <v>81</v>
      </c>
      <c r="I273" t="s" s="0">
        <v>82</v>
      </c>
      <c r="J273" t="s" s="0">
        <v>6530</v>
      </c>
      <c r="K273" t="s" s="0">
        <v>6531</v>
      </c>
      <c r="L273" t="s" s="0">
        <v>6532</v>
      </c>
      <c r="M273" t="s" s="0">
        <v>199</v>
      </c>
      <c r="N273" t="s" s="0">
        <v>6533</v>
      </c>
      <c r="O273" t="s" s="0">
        <v>6534</v>
      </c>
      <c r="P273" t="s" s="0">
        <v>6535</v>
      </c>
      <c r="Q273" t="s" s="0">
        <v>90</v>
      </c>
      <c r="R273" t="s" s="0">
        <v>81</v>
      </c>
      <c r="S273" t="s" s="0">
        <v>81</v>
      </c>
      <c r="T273" t="s" s="0">
        <v>81</v>
      </c>
      <c r="U273" t="s" s="0">
        <v>81</v>
      </c>
      <c r="V273" t="s" s="0">
        <v>6536</v>
      </c>
      <c r="W273" t="s" s="0">
        <v>474</v>
      </c>
      <c r="X273" t="s" s="0">
        <v>81</v>
      </c>
      <c r="Y273" t="s" s="0">
        <v>81</v>
      </c>
      <c r="Z273" t="s" s="0">
        <v>93</v>
      </c>
      <c r="AA273" t="s" s="0">
        <v>94</v>
      </c>
      <c r="AB273" t="s" s="0">
        <v>81</v>
      </c>
      <c r="AC273" t="s" s="0">
        <v>81</v>
      </c>
      <c r="AD273" t="s" s="0">
        <v>81</v>
      </c>
      <c r="AE273" t="s" s="0">
        <v>81</v>
      </c>
      <c r="AF273" t="s" s="0">
        <v>81</v>
      </c>
      <c r="AG273" t="s" s="0">
        <v>6537</v>
      </c>
      <c r="AH273" t="s" s="0">
        <v>6538</v>
      </c>
      <c r="AI273" t="s" s="0">
        <v>81</v>
      </c>
      <c r="AJ273" t="s" s="0">
        <v>81</v>
      </c>
      <c r="AK273" t="s" s="0">
        <v>81</v>
      </c>
      <c r="AL273" t="s" s="0">
        <v>6539</v>
      </c>
      <c r="AM273" t="s" s="0">
        <v>77</v>
      </c>
      <c r="AN273" t="s" s="0">
        <v>77</v>
      </c>
      <c r="AO273" t="s" s="0">
        <v>158</v>
      </c>
      <c r="AP273" t="s" s="0">
        <v>183</v>
      </c>
      <c r="AQ273" t="s" s="0">
        <v>140</v>
      </c>
      <c r="AR273" t="s" s="0">
        <v>141</v>
      </c>
      <c r="AS273" t="s" s="0">
        <v>142</v>
      </c>
      <c r="AT273" t="s" s="0">
        <v>479</v>
      </c>
      <c r="AU273" t="s" s="0">
        <v>480</v>
      </c>
      <c r="AV273" t="s" s="0">
        <v>81</v>
      </c>
      <c r="AW273" t="s" s="0">
        <v>481</v>
      </c>
      <c r="AX273" t="s" s="0">
        <v>482</v>
      </c>
      <c r="AY273" t="s" s="0">
        <v>3040</v>
      </c>
      <c r="AZ273" t="s" s="0">
        <v>212</v>
      </c>
      <c r="BA273" t="s" s="0">
        <v>6330</v>
      </c>
      <c r="BB273" t="s" s="0">
        <v>81</v>
      </c>
      <c r="BC273" t="s" s="0">
        <v>81</v>
      </c>
      <c r="BD273" t="s" s="0">
        <v>81</v>
      </c>
      <c r="BE273" t="s" s="0">
        <v>81</v>
      </c>
      <c r="BF273" t="s" s="0">
        <v>81</v>
      </c>
      <c r="BG273" t="s" s="0">
        <v>81</v>
      </c>
      <c r="BH273" t="s" s="0">
        <v>81</v>
      </c>
      <c r="BI273" t="s" s="0">
        <v>6540</v>
      </c>
      <c r="BJ273" t="s" s="0">
        <v>6541</v>
      </c>
      <c r="BK273" t="s" s="541">
        <f>HYPERLINK("http://dx.doi.org/10.1016/j.knosys.2026.115336","http://dx.doi.org/10.1016/j.knosys.2026.115336")</f>
        <v>6542</v>
      </c>
      <c r="BL273" t="s" s="0">
        <v>81</v>
      </c>
      <c r="BM273" t="s" s="0">
        <v>763</v>
      </c>
      <c r="BN273" t="s" s="0">
        <v>275</v>
      </c>
      <c r="BO273" t="s" s="0">
        <v>488</v>
      </c>
      <c r="BP273" t="s" s="0">
        <v>250</v>
      </c>
      <c r="BQ273" t="s" s="0">
        <v>6543</v>
      </c>
      <c r="BR273" t="s" s="0">
        <v>81</v>
      </c>
      <c r="BS273" t="s" s="0">
        <v>6544</v>
      </c>
      <c r="BT273" t="s" s="542">
        <f>HYPERLINK("https://www.webofscience.com/wos/woscc/full-record/WOS:001675093000001","View Record in Web of Science")</f>
        <v>123</v>
      </c>
      <c r="BU273" t="s" s="0">
        <v>81</v>
      </c>
      <c r="BV273" t="s" s="0">
        <v>81</v>
      </c>
      <c r="BW273" t="s" s="0">
        <v>81</v>
      </c>
      <c r="BX273" t="s" s="0">
        <v>124</v>
      </c>
    </row>
    <row r="274">
      <c r="A274" t="s" s="0">
        <v>77</v>
      </c>
      <c r="B274" t="s" s="0">
        <v>77</v>
      </c>
      <c r="C274" t="s" s="0">
        <v>77</v>
      </c>
      <c r="D274" t="s" s="0">
        <v>77</v>
      </c>
      <c r="E274" t="s" s="0">
        <v>6545</v>
      </c>
      <c r="F274" t="s" s="0">
        <v>6546</v>
      </c>
      <c r="G274" t="s" s="0">
        <v>6547</v>
      </c>
      <c r="H274" t="s" s="0">
        <v>81</v>
      </c>
      <c r="I274" t="s" s="0">
        <v>82</v>
      </c>
      <c r="J274" t="s" s="0">
        <v>6548</v>
      </c>
      <c r="K274" t="s" s="0">
        <v>6549</v>
      </c>
      <c r="L274" t="s" s="0">
        <v>6550</v>
      </c>
      <c r="M274" t="s" s="0">
        <v>199</v>
      </c>
      <c r="N274" t="s" s="0">
        <v>6551</v>
      </c>
      <c r="O274" t="s" s="0">
        <v>6552</v>
      </c>
      <c r="P274" t="s" s="0">
        <v>6553</v>
      </c>
      <c r="Q274" t="s" s="0">
        <v>90</v>
      </c>
      <c r="R274" t="s" s="0">
        <v>81</v>
      </c>
      <c r="S274" t="s" s="0">
        <v>81</v>
      </c>
      <c r="T274" t="s" s="0">
        <v>81</v>
      </c>
      <c r="U274" t="s" s="0">
        <v>81</v>
      </c>
      <c r="V274" t="s" s="0">
        <v>6554</v>
      </c>
      <c r="W274" t="s" s="0">
        <v>615</v>
      </c>
      <c r="X274" t="s" s="0">
        <v>81</v>
      </c>
      <c r="Y274" t="s" s="0">
        <v>81</v>
      </c>
      <c r="Z274" t="s" s="0">
        <v>93</v>
      </c>
      <c r="AA274" t="s" s="0">
        <v>94</v>
      </c>
      <c r="AB274" t="s" s="0">
        <v>81</v>
      </c>
      <c r="AC274" t="s" s="0">
        <v>81</v>
      </c>
      <c r="AD274" t="s" s="0">
        <v>81</v>
      </c>
      <c r="AE274" t="s" s="0">
        <v>81</v>
      </c>
      <c r="AF274" t="s" s="0">
        <v>81</v>
      </c>
      <c r="AG274" t="s" s="0">
        <v>6555</v>
      </c>
      <c r="AH274" t="s" s="0">
        <v>81</v>
      </c>
      <c r="AI274" t="s" s="0">
        <v>81</v>
      </c>
      <c r="AJ274" t="s" s="0">
        <v>81</v>
      </c>
      <c r="AK274" t="s" s="0">
        <v>81</v>
      </c>
      <c r="AL274" t="s" s="0">
        <v>851</v>
      </c>
      <c r="AM274" t="s" s="0">
        <v>137</v>
      </c>
      <c r="AN274" t="s" s="0">
        <v>137</v>
      </c>
      <c r="AO274" t="s" s="0">
        <v>137</v>
      </c>
      <c r="AP274" t="s" s="0">
        <v>137</v>
      </c>
      <c r="AQ274" t="s" s="0">
        <v>620</v>
      </c>
      <c r="AR274" t="s" s="0">
        <v>621</v>
      </c>
      <c r="AS274" t="s" s="0">
        <v>622</v>
      </c>
      <c r="AT274" t="s" s="0">
        <v>623</v>
      </c>
      <c r="AU274" t="s" s="0">
        <v>624</v>
      </c>
      <c r="AV274" t="s" s="0">
        <v>81</v>
      </c>
      <c r="AW274" t="s" s="0">
        <v>625</v>
      </c>
      <c r="AX274" t="s" s="0">
        <v>626</v>
      </c>
      <c r="AY274" t="s" s="0">
        <v>244</v>
      </c>
      <c r="AZ274" t="s" s="0">
        <v>212</v>
      </c>
      <c r="BA274" t="s" s="0">
        <v>6556</v>
      </c>
      <c r="BB274" t="s" s="0">
        <v>81</v>
      </c>
      <c r="BC274" t="s" s="0">
        <v>81</v>
      </c>
      <c r="BD274" t="s" s="0">
        <v>81</v>
      </c>
      <c r="BE274" t="s" s="0">
        <v>81</v>
      </c>
      <c r="BF274" t="s" s="0">
        <v>81</v>
      </c>
      <c r="BG274" t="s" s="0">
        <v>81</v>
      </c>
      <c r="BH274" t="s" s="0">
        <v>81</v>
      </c>
      <c r="BI274" t="s" s="0">
        <v>6557</v>
      </c>
      <c r="BJ274" t="s" s="0">
        <v>6558</v>
      </c>
      <c r="BK274" t="s" s="543">
        <f>HYPERLINK("http://dx.doi.org/10.1016/j.patcog.2026.113267","http://dx.doi.org/10.1016/j.patcog.2026.113267")</f>
        <v>6559</v>
      </c>
      <c r="BL274" t="s" s="0">
        <v>81</v>
      </c>
      <c r="BM274" t="s" s="0">
        <v>1221</v>
      </c>
      <c r="BN274" t="s" s="0">
        <v>152</v>
      </c>
      <c r="BO274" t="s" s="0">
        <v>632</v>
      </c>
      <c r="BP274" t="s" s="0">
        <v>633</v>
      </c>
      <c r="BQ274" t="s" s="0">
        <v>6560</v>
      </c>
      <c r="BR274" t="s" s="0">
        <v>81</v>
      </c>
      <c r="BS274" t="s" s="0">
        <v>6561</v>
      </c>
      <c r="BT274" t="s" s="544">
        <f>HYPERLINK("https://www.webofscience.com/wos/woscc/full-record/WOS:001695360600001","View Record in Web of Science")</f>
        <v>123</v>
      </c>
      <c r="BU274" t="s" s="0">
        <v>81</v>
      </c>
      <c r="BV274" t="s" s="0">
        <v>81</v>
      </c>
      <c r="BW274" t="s" s="0">
        <v>81</v>
      </c>
      <c r="BX274" t="s" s="0">
        <v>124</v>
      </c>
    </row>
    <row r="275">
      <c r="A275" t="s" s="0">
        <v>77</v>
      </c>
      <c r="B275" t="s" s="0">
        <v>77</v>
      </c>
      <c r="C275" t="s" s="0">
        <v>77</v>
      </c>
      <c r="D275" t="s" s="0">
        <v>77</v>
      </c>
      <c r="E275" t="s" s="0">
        <v>6562</v>
      </c>
      <c r="F275" t="s" s="0">
        <v>6563</v>
      </c>
      <c r="G275" t="s" s="0">
        <v>6564</v>
      </c>
      <c r="H275" t="s" s="0">
        <v>81</v>
      </c>
      <c r="I275" t="s" s="0">
        <v>82</v>
      </c>
      <c r="J275" t="s" s="0">
        <v>6565</v>
      </c>
      <c r="K275" t="s" s="0">
        <v>6566</v>
      </c>
      <c r="L275" t="s" s="0">
        <v>6567</v>
      </c>
      <c r="M275" t="s" s="0">
        <v>6568</v>
      </c>
      <c r="N275" t="s" s="0">
        <v>6569</v>
      </c>
      <c r="O275" t="s" s="0">
        <v>6570</v>
      </c>
      <c r="P275" t="s" s="0">
        <v>6571</v>
      </c>
      <c r="Q275" t="s" s="0">
        <v>90</v>
      </c>
      <c r="R275" t="s" s="0">
        <v>81</v>
      </c>
      <c r="S275" t="s" s="0">
        <v>81</v>
      </c>
      <c r="T275" t="s" s="0">
        <v>81</v>
      </c>
      <c r="U275" t="s" s="0">
        <v>81</v>
      </c>
      <c r="V275" t="s" s="0">
        <v>6572</v>
      </c>
      <c r="W275" t="s" s="0">
        <v>1375</v>
      </c>
      <c r="X275" t="s" s="0">
        <v>81</v>
      </c>
      <c r="Y275" t="s" s="0">
        <v>81</v>
      </c>
      <c r="Z275" t="s" s="0">
        <v>93</v>
      </c>
      <c r="AA275" t="s" s="0">
        <v>94</v>
      </c>
      <c r="AB275" t="s" s="0">
        <v>81</v>
      </c>
      <c r="AC275" t="s" s="0">
        <v>81</v>
      </c>
      <c r="AD275" t="s" s="0">
        <v>81</v>
      </c>
      <c r="AE275" t="s" s="0">
        <v>81</v>
      </c>
      <c r="AF275" t="s" s="0">
        <v>81</v>
      </c>
      <c r="AG275" t="s" s="0">
        <v>6573</v>
      </c>
      <c r="AH275" t="s" s="0">
        <v>6574</v>
      </c>
      <c r="AI275" t="s" s="0">
        <v>81</v>
      </c>
      <c r="AJ275" t="s" s="0">
        <v>81</v>
      </c>
      <c r="AK275" t="s" s="0">
        <v>81</v>
      </c>
      <c r="AL275" t="s" s="0">
        <v>398</v>
      </c>
      <c r="AM275" t="s" s="0">
        <v>77</v>
      </c>
      <c r="AN275" t="s" s="0">
        <v>77</v>
      </c>
      <c r="AO275" t="s" s="0">
        <v>137</v>
      </c>
      <c r="AP275" t="s" s="0">
        <v>183</v>
      </c>
      <c r="AQ275" t="s" s="0">
        <v>505</v>
      </c>
      <c r="AR275" t="s" s="0">
        <v>506</v>
      </c>
      <c r="AS275" t="s" s="0">
        <v>507</v>
      </c>
      <c r="AT275" t="s" s="0">
        <v>1377</v>
      </c>
      <c r="AU275" t="s" s="0">
        <v>1378</v>
      </c>
      <c r="AV275" t="s" s="0">
        <v>81</v>
      </c>
      <c r="AW275" t="s" s="0">
        <v>1379</v>
      </c>
      <c r="AX275" t="s" s="0">
        <v>1380</v>
      </c>
      <c r="AY275" t="s" s="0">
        <v>6575</v>
      </c>
      <c r="AZ275" t="s" s="0">
        <v>111</v>
      </c>
      <c r="BA275" t="s" s="0">
        <v>1085</v>
      </c>
      <c r="BB275" t="s" s="0">
        <v>333</v>
      </c>
      <c r="BC275" t="s" s="0">
        <v>81</v>
      </c>
      <c r="BD275" t="s" s="0">
        <v>81</v>
      </c>
      <c r="BE275" t="s" s="0">
        <v>81</v>
      </c>
      <c r="BF275" t="s" s="0">
        <v>81</v>
      </c>
      <c r="BG275" t="s" s="0">
        <v>81</v>
      </c>
      <c r="BH275" t="s" s="0">
        <v>81</v>
      </c>
      <c r="BI275" t="s" s="0">
        <v>6576</v>
      </c>
      <c r="BJ275" t="s" s="0">
        <v>6577</v>
      </c>
      <c r="BK275" t="s" s="545">
        <f>HYPERLINK("http://dx.doi.org/10.1007/s00530-025-02042-7","http://dx.doi.org/10.1007/s00530-025-02042-7")</f>
        <v>6578</v>
      </c>
      <c r="BL275" t="s" s="0">
        <v>81</v>
      </c>
      <c r="BM275" t="s" s="0">
        <v>81</v>
      </c>
      <c r="BN275" t="s" s="0">
        <v>895</v>
      </c>
      <c r="BO275" t="s" s="0">
        <v>1384</v>
      </c>
      <c r="BP275" t="s" s="0">
        <v>250</v>
      </c>
      <c r="BQ275" t="s" s="0">
        <v>6579</v>
      </c>
      <c r="BR275" t="s" s="0">
        <v>81</v>
      </c>
      <c r="BS275" t="s" s="0">
        <v>6580</v>
      </c>
      <c r="BT275" t="s" s="546">
        <f>HYPERLINK("https://www.webofscience.com/wos/woscc/full-record/WOS:001597070100006","View Record in Web of Science")</f>
        <v>123</v>
      </c>
      <c r="BU275" t="s" s="0">
        <v>81</v>
      </c>
      <c r="BV275" t="s" s="0">
        <v>81</v>
      </c>
      <c r="BW275" t="s" s="0">
        <v>81</v>
      </c>
      <c r="BX275" t="s" s="0">
        <v>124</v>
      </c>
    </row>
    <row r="276">
      <c r="A276" t="s" s="0">
        <v>77</v>
      </c>
      <c r="B276" t="s" s="0">
        <v>77</v>
      </c>
      <c r="C276" t="s" s="0">
        <v>77</v>
      </c>
      <c r="D276" t="s" s="0">
        <v>77</v>
      </c>
      <c r="E276" t="s" s="0">
        <v>6581</v>
      </c>
      <c r="F276" t="s" s="0">
        <v>6582</v>
      </c>
      <c r="G276" t="s" s="0">
        <v>6583</v>
      </c>
      <c r="H276" t="s" s="0">
        <v>81</v>
      </c>
      <c r="I276" t="s" s="0">
        <v>82</v>
      </c>
      <c r="J276" t="s" s="0">
        <v>6584</v>
      </c>
      <c r="K276" t="s" s="0">
        <v>6585</v>
      </c>
      <c r="L276" t="s" s="0">
        <v>6586</v>
      </c>
      <c r="M276" t="s" s="0">
        <v>3663</v>
      </c>
      <c r="N276" t="s" s="0">
        <v>6587</v>
      </c>
      <c r="O276" t="s" s="0">
        <v>6588</v>
      </c>
      <c r="P276" t="s" s="0">
        <v>6589</v>
      </c>
      <c r="Q276" t="s" s="0">
        <v>90</v>
      </c>
      <c r="R276" t="s" s="0">
        <v>81</v>
      </c>
      <c r="S276" t="s" s="0">
        <v>81</v>
      </c>
      <c r="T276" t="s" s="0">
        <v>81</v>
      </c>
      <c r="U276" t="s" s="0">
        <v>81</v>
      </c>
      <c r="V276" t="s" s="0">
        <v>6590</v>
      </c>
      <c r="W276" t="s" s="0">
        <v>2082</v>
      </c>
      <c r="X276" t="s" s="0">
        <v>81</v>
      </c>
      <c r="Y276" t="s" s="0">
        <v>81</v>
      </c>
      <c r="Z276" t="s" s="0">
        <v>93</v>
      </c>
      <c r="AA276" t="s" s="0">
        <v>94</v>
      </c>
      <c r="AB276" t="s" s="0">
        <v>81</v>
      </c>
      <c r="AC276" t="s" s="0">
        <v>81</v>
      </c>
      <c r="AD276" t="s" s="0">
        <v>81</v>
      </c>
      <c r="AE276" t="s" s="0">
        <v>81</v>
      </c>
      <c r="AF276" t="s" s="0">
        <v>81</v>
      </c>
      <c r="AG276" t="s" s="0">
        <v>6591</v>
      </c>
      <c r="AH276" t="s" s="0">
        <v>81</v>
      </c>
      <c r="AI276" t="s" s="0">
        <v>6592</v>
      </c>
      <c r="AJ276" t="s" s="0">
        <v>6593</v>
      </c>
      <c r="AK276" t="s" s="0">
        <v>81</v>
      </c>
      <c r="AL276" t="s" s="0">
        <v>566</v>
      </c>
      <c r="AM276" t="s" s="0">
        <v>77</v>
      </c>
      <c r="AN276" t="s" s="0">
        <v>77</v>
      </c>
      <c r="AO276" t="s" s="0">
        <v>137</v>
      </c>
      <c r="AP276" t="s" s="0">
        <v>301</v>
      </c>
      <c r="AQ276" t="s" s="0">
        <v>588</v>
      </c>
      <c r="AR276" t="s" s="0">
        <v>589</v>
      </c>
      <c r="AS276" t="s" s="0">
        <v>590</v>
      </c>
      <c r="AT276" t="s" s="0">
        <v>2087</v>
      </c>
      <c r="AU276" t="s" s="0">
        <v>81</v>
      </c>
      <c r="AV276" t="s" s="0">
        <v>81</v>
      </c>
      <c r="AW276" t="s" s="0">
        <v>2082</v>
      </c>
      <c r="AX276" t="s" s="0">
        <v>2088</v>
      </c>
      <c r="AY276" t="s" s="0">
        <v>111</v>
      </c>
      <c r="AZ276" t="s" s="0">
        <v>111</v>
      </c>
      <c r="BA276" t="s" s="0">
        <v>117</v>
      </c>
      <c r="BB276" t="s" s="0">
        <v>81</v>
      </c>
      <c r="BC276" t="s" s="0">
        <v>81</v>
      </c>
      <c r="BD276" t="s" s="0">
        <v>81</v>
      </c>
      <c r="BE276" t="s" s="0">
        <v>81</v>
      </c>
      <c r="BF276" t="s" s="0">
        <v>81</v>
      </c>
      <c r="BG276" t="s" s="0">
        <v>6594</v>
      </c>
      <c r="BH276" t="s" s="0">
        <v>6595</v>
      </c>
      <c r="BI276" t="s" s="0">
        <v>81</v>
      </c>
      <c r="BJ276" t="s" s="0">
        <v>6596</v>
      </c>
      <c r="BK276" t="s" s="547">
        <f>HYPERLINK("http://dx.doi.org/10.1109/ACCESS.2025.3620217","http://dx.doi.org/10.1109/ACCESS.2025.3620217")</f>
        <v>6597</v>
      </c>
      <c r="BL276" t="s" s="0">
        <v>81</v>
      </c>
      <c r="BM276" t="s" s="0">
        <v>81</v>
      </c>
      <c r="BN276" t="s" s="0">
        <v>1110</v>
      </c>
      <c r="BO276" t="s" s="0">
        <v>712</v>
      </c>
      <c r="BP276" t="s" s="0">
        <v>713</v>
      </c>
      <c r="BQ276" t="s" s="0">
        <v>6598</v>
      </c>
      <c r="BR276" t="s" s="0">
        <v>81</v>
      </c>
      <c r="BS276" t="s" s="0">
        <v>6599</v>
      </c>
      <c r="BT276" t="s" s="548">
        <f>HYPERLINK("https://www.webofscience.com/wos/woscc/full-record/WOS:001596883500006","View Record in Web of Science")</f>
        <v>123</v>
      </c>
      <c r="BU276" t="s" s="0">
        <v>191</v>
      </c>
      <c r="BV276" t="s" s="0">
        <v>81</v>
      </c>
      <c r="BW276" t="s" s="0">
        <v>81</v>
      </c>
      <c r="BX276" t="s" s="0">
        <v>124</v>
      </c>
    </row>
    <row r="277">
      <c r="A277" t="s" s="0">
        <v>77</v>
      </c>
      <c r="B277" t="s" s="0">
        <v>77</v>
      </c>
      <c r="C277" t="s" s="0">
        <v>77</v>
      </c>
      <c r="D277" t="s" s="0">
        <v>77</v>
      </c>
      <c r="E277" t="s" s="0">
        <v>6600</v>
      </c>
      <c r="F277" t="s" s="0">
        <v>6601</v>
      </c>
      <c r="G277" t="s" s="0">
        <v>6602</v>
      </c>
      <c r="H277" t="s" s="0">
        <v>81</v>
      </c>
      <c r="I277" t="s" s="0">
        <v>82</v>
      </c>
      <c r="J277" t="s" s="0">
        <v>6603</v>
      </c>
      <c r="K277" t="s" s="0">
        <v>6604</v>
      </c>
      <c r="L277" t="s" s="0">
        <v>81</v>
      </c>
      <c r="M277" t="s" s="0">
        <v>81</v>
      </c>
      <c r="N277" t="s" s="0">
        <v>81</v>
      </c>
      <c r="O277" t="s" s="0">
        <v>6605</v>
      </c>
      <c r="P277" t="s" s="0">
        <v>6606</v>
      </c>
      <c r="Q277" t="s" s="0">
        <v>90</v>
      </c>
      <c r="R277" t="s" s="0">
        <v>81</v>
      </c>
      <c r="S277" t="s" s="0">
        <v>81</v>
      </c>
      <c r="T277" t="s" s="0">
        <v>81</v>
      </c>
      <c r="U277" t="s" s="0">
        <v>81</v>
      </c>
      <c r="V277" t="s" s="0">
        <v>6607</v>
      </c>
      <c r="W277" t="s" s="0">
        <v>6608</v>
      </c>
      <c r="X277" t="s" s="0">
        <v>81</v>
      </c>
      <c r="Y277" t="s" s="0">
        <v>81</v>
      </c>
      <c r="Z277" t="s" s="0">
        <v>93</v>
      </c>
      <c r="AA277" t="s" s="0">
        <v>94</v>
      </c>
      <c r="AB277" t="s" s="0">
        <v>81</v>
      </c>
      <c r="AC277" t="s" s="0">
        <v>81</v>
      </c>
      <c r="AD277" t="s" s="0">
        <v>81</v>
      </c>
      <c r="AE277" t="s" s="0">
        <v>81</v>
      </c>
      <c r="AF277" t="s" s="0">
        <v>81</v>
      </c>
      <c r="AG277" t="s" s="0">
        <v>6609</v>
      </c>
      <c r="AH277" t="s" s="0">
        <v>6610</v>
      </c>
      <c r="AI277" t="s" s="0">
        <v>6611</v>
      </c>
      <c r="AJ277" t="s" s="0">
        <v>6612</v>
      </c>
      <c r="AK277" t="s" s="0">
        <v>81</v>
      </c>
      <c r="AL277" t="s" s="0">
        <v>619</v>
      </c>
      <c r="AM277" t="s" s="0">
        <v>137</v>
      </c>
      <c r="AN277" t="s" s="0">
        <v>137</v>
      </c>
      <c r="AO277" t="s" s="0">
        <v>301</v>
      </c>
      <c r="AP277" t="s" s="0">
        <v>301</v>
      </c>
      <c r="AQ277" t="s" s="0">
        <v>174</v>
      </c>
      <c r="AR277" t="s" s="0">
        <v>175</v>
      </c>
      <c r="AS277" t="s" s="0">
        <v>208</v>
      </c>
      <c r="AT277" t="s" s="0">
        <v>81</v>
      </c>
      <c r="AU277" t="s" s="0">
        <v>6613</v>
      </c>
      <c r="AV277" t="s" s="0">
        <v>81</v>
      </c>
      <c r="AW277" t="s" s="0">
        <v>6608</v>
      </c>
      <c r="AX277" t="s" s="0">
        <v>6614</v>
      </c>
      <c r="AY277" t="s" s="0">
        <v>6615</v>
      </c>
      <c r="AZ277" t="s" s="0">
        <v>212</v>
      </c>
      <c r="BA277" t="s" s="0">
        <v>461</v>
      </c>
      <c r="BB277" t="s" s="0">
        <v>301</v>
      </c>
      <c r="BC277" t="s" s="0">
        <v>81</v>
      </c>
      <c r="BD277" t="s" s="0">
        <v>81</v>
      </c>
      <c r="BE277" t="s" s="0">
        <v>81</v>
      </c>
      <c r="BF277" t="s" s="0">
        <v>81</v>
      </c>
      <c r="BG277" t="s" s="0">
        <v>81</v>
      </c>
      <c r="BH277" t="s" s="0">
        <v>81</v>
      </c>
      <c r="BI277" t="s" s="0">
        <v>6616</v>
      </c>
      <c r="BJ277" t="s" s="0">
        <v>6617</v>
      </c>
      <c r="BK277" t="s" s="549">
        <f>HYPERLINK("http://dx.doi.org/10.3390/sym18040556","http://dx.doi.org/10.3390/sym18040556")</f>
        <v>6618</v>
      </c>
      <c r="BL277" t="s" s="0">
        <v>81</v>
      </c>
      <c r="BM277" t="s" s="0">
        <v>343</v>
      </c>
      <c r="BN277" t="s" s="0">
        <v>461</v>
      </c>
      <c r="BO277" t="s" s="0">
        <v>313</v>
      </c>
      <c r="BP277" t="s" s="0">
        <v>314</v>
      </c>
      <c r="BQ277" t="s" s="0">
        <v>6619</v>
      </c>
      <c r="BR277" t="s" s="0">
        <v>81</v>
      </c>
      <c r="BS277" t="s" s="0">
        <v>6620</v>
      </c>
      <c r="BT277" t="s" s="550">
        <f>HYPERLINK("https://www.webofscience.com/wos/woscc/full-record/WOS:001750276400001","View Record in Web of Science")</f>
        <v>123</v>
      </c>
      <c r="BU277" t="s" s="0">
        <v>222</v>
      </c>
      <c r="BV277" t="s" s="0">
        <v>81</v>
      </c>
      <c r="BW277" t="s" s="0">
        <v>81</v>
      </c>
      <c r="BX277" t="s" s="0">
        <v>124</v>
      </c>
    </row>
    <row r="278">
      <c r="A278" t="s" s="0">
        <v>77</v>
      </c>
      <c r="B278" t="s" s="0">
        <v>77</v>
      </c>
      <c r="C278" t="s" s="0">
        <v>77</v>
      </c>
      <c r="D278" t="s" s="0">
        <v>77</v>
      </c>
      <c r="E278" t="s" s="0">
        <v>6621</v>
      </c>
      <c r="F278" t="s" s="0">
        <v>6622</v>
      </c>
      <c r="G278" t="s" s="0">
        <v>6623</v>
      </c>
      <c r="H278" t="s" s="0">
        <v>81</v>
      </c>
      <c r="I278" t="s" s="0">
        <v>82</v>
      </c>
      <c r="J278" t="s" s="0">
        <v>6624</v>
      </c>
      <c r="K278" t="s" s="0">
        <v>6625</v>
      </c>
      <c r="L278" t="s" s="0">
        <v>6626</v>
      </c>
      <c r="M278" t="s" s="0">
        <v>6627</v>
      </c>
      <c r="N278" t="s" s="0">
        <v>6628</v>
      </c>
      <c r="O278" t="s" s="0">
        <v>6629</v>
      </c>
      <c r="P278" t="s" s="0">
        <v>6630</v>
      </c>
      <c r="Q278" t="s" s="0">
        <v>90</v>
      </c>
      <c r="R278" t="s" s="0">
        <v>81</v>
      </c>
      <c r="S278" t="s" s="0">
        <v>81</v>
      </c>
      <c r="T278" t="s" s="0">
        <v>81</v>
      </c>
      <c r="U278" t="s" s="0">
        <v>81</v>
      </c>
      <c r="V278" t="s" s="0">
        <v>6631</v>
      </c>
      <c r="W278" t="s" s="0">
        <v>6632</v>
      </c>
      <c r="X278" t="s" s="0">
        <v>81</v>
      </c>
      <c r="Y278" t="s" s="0">
        <v>81</v>
      </c>
      <c r="Z278" t="s" s="0">
        <v>93</v>
      </c>
      <c r="AA278" t="s" s="0">
        <v>94</v>
      </c>
      <c r="AB278" t="s" s="0">
        <v>81</v>
      </c>
      <c r="AC278" t="s" s="0">
        <v>81</v>
      </c>
      <c r="AD278" t="s" s="0">
        <v>81</v>
      </c>
      <c r="AE278" t="s" s="0">
        <v>81</v>
      </c>
      <c r="AF278" t="s" s="0">
        <v>81</v>
      </c>
      <c r="AG278" t="s" s="0">
        <v>6633</v>
      </c>
      <c r="AH278" t="s" s="0">
        <v>6634</v>
      </c>
      <c r="AI278" t="s" s="0">
        <v>81</v>
      </c>
      <c r="AJ278" t="s" s="0">
        <v>81</v>
      </c>
      <c r="AK278" t="s" s="0">
        <v>81</v>
      </c>
      <c r="AL278" t="s" s="0">
        <v>420</v>
      </c>
      <c r="AM278" t="s" s="0">
        <v>77</v>
      </c>
      <c r="AN278" t="s" s="0">
        <v>77</v>
      </c>
      <c r="AO278" t="s" s="0">
        <v>333</v>
      </c>
      <c r="AP278" t="s" s="0">
        <v>333</v>
      </c>
      <c r="AQ278" t="s" s="0">
        <v>449</v>
      </c>
      <c r="AR278" t="s" s="0">
        <v>450</v>
      </c>
      <c r="AS278" t="s" s="0">
        <v>451</v>
      </c>
      <c r="AT278" t="s" s="0">
        <v>6635</v>
      </c>
      <c r="AU278" t="s" s="0">
        <v>6636</v>
      </c>
      <c r="AV278" t="s" s="0">
        <v>81</v>
      </c>
      <c r="AW278" t="s" s="0">
        <v>6637</v>
      </c>
      <c r="AX278" t="s" s="0">
        <v>6638</v>
      </c>
      <c r="AY278" t="s" s="0">
        <v>1967</v>
      </c>
      <c r="AZ278" t="s" s="0">
        <v>212</v>
      </c>
      <c r="BA278" t="s" s="0">
        <v>1881</v>
      </c>
      <c r="BB278" t="s" s="0">
        <v>405</v>
      </c>
      <c r="BC278" t="s" s="0">
        <v>81</v>
      </c>
      <c r="BD278" t="s" s="0">
        <v>81</v>
      </c>
      <c r="BE278" t="s" s="0">
        <v>81</v>
      </c>
      <c r="BF278" t="s" s="0">
        <v>81</v>
      </c>
      <c r="BG278" t="s" s="0">
        <v>6639</v>
      </c>
      <c r="BH278" t="s" s="0">
        <v>6640</v>
      </c>
      <c r="BI278" t="s" s="0">
        <v>81</v>
      </c>
      <c r="BJ278" t="s" s="0">
        <v>6641</v>
      </c>
      <c r="BK278" t="s" s="551">
        <f>HYPERLINK("http://dx.doi.org/10.1111/bph.70361","http://dx.doi.org/10.1111/bph.70361")</f>
        <v>6642</v>
      </c>
      <c r="BL278" t="s" s="0">
        <v>81</v>
      </c>
      <c r="BM278" t="s" s="0">
        <v>279</v>
      </c>
      <c r="BN278" t="s" s="0">
        <v>173</v>
      </c>
      <c r="BO278" t="s" s="0">
        <v>5462</v>
      </c>
      <c r="BP278" t="s" s="0">
        <v>5462</v>
      </c>
      <c r="BQ278" t="s" s="0">
        <v>6643</v>
      </c>
      <c r="BR278" t="s" s="0">
        <v>6644</v>
      </c>
      <c r="BS278" t="s" s="0">
        <v>6645</v>
      </c>
      <c r="BT278" t="s" s="552">
        <f>HYPERLINK("https://www.webofscience.com/wos/woscc/full-record/WOS:001748437700001","View Record in Web of Science")</f>
        <v>123</v>
      </c>
      <c r="BU278" t="s" s="0">
        <v>81</v>
      </c>
      <c r="BV278" t="s" s="0">
        <v>81</v>
      </c>
      <c r="BW278" t="s" s="0">
        <v>81</v>
      </c>
      <c r="BX278" t="s" s="0">
        <v>124</v>
      </c>
    </row>
    <row r="279">
      <c r="A279" t="s" s="0">
        <v>77</v>
      </c>
      <c r="B279" t="s" s="0">
        <v>77</v>
      </c>
      <c r="C279" t="s" s="0">
        <v>77</v>
      </c>
      <c r="D279" t="s" s="0">
        <v>77</v>
      </c>
      <c r="E279" t="s" s="0">
        <v>6646</v>
      </c>
      <c r="F279" t="s" s="0">
        <v>6647</v>
      </c>
      <c r="G279" t="s" s="0">
        <v>6648</v>
      </c>
      <c r="H279" t="s" s="0">
        <v>81</v>
      </c>
      <c r="I279" t="s" s="0">
        <v>82</v>
      </c>
      <c r="J279" t="s" s="0">
        <v>6649</v>
      </c>
      <c r="K279" t="s" s="0">
        <v>6650</v>
      </c>
      <c r="L279" t="s" s="0">
        <v>6651</v>
      </c>
      <c r="M279" t="s" s="0">
        <v>6652</v>
      </c>
      <c r="N279" t="s" s="0">
        <v>6653</v>
      </c>
      <c r="O279" t="s" s="0">
        <v>6654</v>
      </c>
      <c r="P279" t="s" s="0">
        <v>6655</v>
      </c>
      <c r="Q279" t="s" s="0">
        <v>90</v>
      </c>
      <c r="R279" t="s" s="0">
        <v>81</v>
      </c>
      <c r="S279" t="s" s="0">
        <v>81</v>
      </c>
      <c r="T279" t="s" s="0">
        <v>81</v>
      </c>
      <c r="U279" t="s" s="0">
        <v>81</v>
      </c>
      <c r="V279" t="s" s="0">
        <v>6656</v>
      </c>
      <c r="W279" t="s" s="0">
        <v>6657</v>
      </c>
      <c r="X279" t="s" s="0">
        <v>81</v>
      </c>
      <c r="Y279" t="s" s="0">
        <v>81</v>
      </c>
      <c r="Z279" t="s" s="0">
        <v>93</v>
      </c>
      <c r="AA279" t="s" s="0">
        <v>94</v>
      </c>
      <c r="AB279" t="s" s="0">
        <v>81</v>
      </c>
      <c r="AC279" t="s" s="0">
        <v>81</v>
      </c>
      <c r="AD279" t="s" s="0">
        <v>81</v>
      </c>
      <c r="AE279" t="s" s="0">
        <v>81</v>
      </c>
      <c r="AF279" t="s" s="0">
        <v>81</v>
      </c>
      <c r="AG279" t="s" s="0">
        <v>6658</v>
      </c>
      <c r="AH279" t="s" s="0">
        <v>6659</v>
      </c>
      <c r="AI279" t="s" s="0">
        <v>81</v>
      </c>
      <c r="AJ279" t="s" s="0">
        <v>81</v>
      </c>
      <c r="AK279" t="s" s="0">
        <v>81</v>
      </c>
      <c r="AL279" t="s" s="0">
        <v>960</v>
      </c>
      <c r="AM279" t="s" s="0">
        <v>77</v>
      </c>
      <c r="AN279" t="s" s="0">
        <v>77</v>
      </c>
      <c r="AO279" t="s" s="0">
        <v>333</v>
      </c>
      <c r="AP279" t="s" s="0">
        <v>333</v>
      </c>
      <c r="AQ279" t="s" s="0">
        <v>449</v>
      </c>
      <c r="AR279" t="s" s="0">
        <v>450</v>
      </c>
      <c r="AS279" t="s" s="0">
        <v>451</v>
      </c>
      <c r="AT279" t="s" s="0">
        <v>6660</v>
      </c>
      <c r="AU279" t="s" s="0">
        <v>6661</v>
      </c>
      <c r="AV279" t="s" s="0">
        <v>81</v>
      </c>
      <c r="AW279" t="s" s="0">
        <v>6662</v>
      </c>
      <c r="AX279" t="s" s="0">
        <v>6663</v>
      </c>
      <c r="AY279" t="s" s="0">
        <v>6664</v>
      </c>
      <c r="AZ279" t="s" s="0">
        <v>212</v>
      </c>
      <c r="BA279" t="s" s="0">
        <v>6665</v>
      </c>
      <c r="BB279" t="s" s="0">
        <v>158</v>
      </c>
      <c r="BC279" t="s" s="0">
        <v>81</v>
      </c>
      <c r="BD279" t="s" s="0">
        <v>81</v>
      </c>
      <c r="BE279" t="s" s="0">
        <v>81</v>
      </c>
      <c r="BF279" t="s" s="0">
        <v>81</v>
      </c>
      <c r="BG279" t="s" s="0">
        <v>81</v>
      </c>
      <c r="BH279" t="s" s="0">
        <v>81</v>
      </c>
      <c r="BI279" t="s" s="0">
        <v>6666</v>
      </c>
      <c r="BJ279" t="s" s="0">
        <v>6667</v>
      </c>
      <c r="BK279" t="s" s="553">
        <f>HYPERLINK("http://dx.doi.org/10.1111/jace.70761","http://dx.doi.org/10.1111/jace.70761")</f>
        <v>6668</v>
      </c>
      <c r="BL279" t="s" s="0">
        <v>81</v>
      </c>
      <c r="BM279" t="s" s="0">
        <v>81</v>
      </c>
      <c r="BN279" t="s" s="0">
        <v>267</v>
      </c>
      <c r="BO279" t="s" s="0">
        <v>6669</v>
      </c>
      <c r="BP279" t="s" s="0">
        <v>5369</v>
      </c>
      <c r="BQ279" t="s" s="0">
        <v>6670</v>
      </c>
      <c r="BR279" t="s" s="0">
        <v>81</v>
      </c>
      <c r="BS279" t="s" s="0">
        <v>6671</v>
      </c>
      <c r="BT279" t="s" s="554">
        <f>HYPERLINK("https://www.webofscience.com/wos/woscc/full-record/WOS:001753122700001","View Record in Web of Science")</f>
        <v>123</v>
      </c>
      <c r="BU279" t="s" s="0">
        <v>81</v>
      </c>
      <c r="BV279" t="s" s="0">
        <v>81</v>
      </c>
      <c r="BW279" t="s" s="0">
        <v>81</v>
      </c>
      <c r="BX279" t="s" s="0">
        <v>124</v>
      </c>
    </row>
    <row r="280">
      <c r="A280" t="s" s="0">
        <v>77</v>
      </c>
      <c r="B280" t="s" s="0">
        <v>77</v>
      </c>
      <c r="C280" t="s" s="0">
        <v>77</v>
      </c>
      <c r="D280" t="s" s="0">
        <v>77</v>
      </c>
      <c r="E280" t="s" s="0">
        <v>6672</v>
      </c>
      <c r="F280" t="s" s="0">
        <v>6673</v>
      </c>
      <c r="G280" t="s" s="0">
        <v>6674</v>
      </c>
      <c r="H280" t="s" s="0">
        <v>81</v>
      </c>
      <c r="I280" t="s" s="0">
        <v>82</v>
      </c>
      <c r="J280" t="s" s="0">
        <v>6675</v>
      </c>
      <c r="K280" t="s" s="0">
        <v>6676</v>
      </c>
      <c r="L280" t="s" s="0">
        <v>6677</v>
      </c>
      <c r="M280" t="s" s="0">
        <v>6678</v>
      </c>
      <c r="N280" t="s" s="0">
        <v>6679</v>
      </c>
      <c r="O280" t="s" s="0">
        <v>6680</v>
      </c>
      <c r="P280" t="s" s="0">
        <v>6681</v>
      </c>
      <c r="Q280" t="s" s="0">
        <v>90</v>
      </c>
      <c r="R280" t="s" s="0">
        <v>81</v>
      </c>
      <c r="S280" t="s" s="0">
        <v>81</v>
      </c>
      <c r="T280" t="s" s="0">
        <v>81</v>
      </c>
      <c r="U280" t="s" s="0">
        <v>81</v>
      </c>
      <c r="V280" t="s" s="0">
        <v>6682</v>
      </c>
      <c r="W280" t="s" s="0">
        <v>6683</v>
      </c>
      <c r="X280" t="s" s="0">
        <v>81</v>
      </c>
      <c r="Y280" t="s" s="0">
        <v>81</v>
      </c>
      <c r="Z280" t="s" s="0">
        <v>93</v>
      </c>
      <c r="AA280" t="s" s="0">
        <v>94</v>
      </c>
      <c r="AB280" t="s" s="0">
        <v>81</v>
      </c>
      <c r="AC280" t="s" s="0">
        <v>81</v>
      </c>
      <c r="AD280" t="s" s="0">
        <v>81</v>
      </c>
      <c r="AE280" t="s" s="0">
        <v>81</v>
      </c>
      <c r="AF280" t="s" s="0">
        <v>81</v>
      </c>
      <c r="AG280" t="s" s="0">
        <v>6684</v>
      </c>
      <c r="AH280" t="s" s="0">
        <v>81</v>
      </c>
      <c r="AI280" t="s" s="0">
        <v>81</v>
      </c>
      <c r="AJ280" t="s" s="0">
        <v>81</v>
      </c>
      <c r="AK280" t="s" s="0">
        <v>81</v>
      </c>
      <c r="AL280" t="s" s="0">
        <v>448</v>
      </c>
      <c r="AM280" t="s" s="0">
        <v>77</v>
      </c>
      <c r="AN280" t="s" s="0">
        <v>77</v>
      </c>
      <c r="AO280" t="s" s="0">
        <v>77</v>
      </c>
      <c r="AP280" t="s" s="0">
        <v>77</v>
      </c>
      <c r="AQ280" t="s" s="0">
        <v>449</v>
      </c>
      <c r="AR280" t="s" s="0">
        <v>450</v>
      </c>
      <c r="AS280" t="s" s="0">
        <v>451</v>
      </c>
      <c r="AT280" t="s" s="0">
        <v>6685</v>
      </c>
      <c r="AU280" t="s" s="0">
        <v>81</v>
      </c>
      <c r="AV280" t="s" s="0">
        <v>81</v>
      </c>
      <c r="AW280" t="s" s="0">
        <v>6686</v>
      </c>
      <c r="AX280" t="s" s="0">
        <v>6687</v>
      </c>
      <c r="AY280" t="s" s="0">
        <v>6688</v>
      </c>
      <c r="AZ280" t="s" s="0">
        <v>212</v>
      </c>
      <c r="BA280" t="s" s="0">
        <v>405</v>
      </c>
      <c r="BB280" t="s" s="0">
        <v>138</v>
      </c>
      <c r="BC280" t="s" s="0">
        <v>81</v>
      </c>
      <c r="BD280" t="s" s="0">
        <v>81</v>
      </c>
      <c r="BE280" t="s" s="0">
        <v>81</v>
      </c>
      <c r="BF280" t="s" s="0">
        <v>81</v>
      </c>
      <c r="BG280" t="s" s="0">
        <v>81</v>
      </c>
      <c r="BH280" t="s" s="0">
        <v>81</v>
      </c>
      <c r="BI280" t="s" s="0">
        <v>6689</v>
      </c>
      <c r="BJ280" t="s" s="0">
        <v>6690</v>
      </c>
      <c r="BK280" t="s" s="555">
        <f>HYPERLINK("http://dx.doi.org/10.1002/cam4.72182","http://dx.doi.org/10.1002/cam4.72182")</f>
        <v>6691</v>
      </c>
      <c r="BL280" t="s" s="0">
        <v>81</v>
      </c>
      <c r="BM280" t="s" s="0">
        <v>81</v>
      </c>
      <c r="BN280" t="s" s="0">
        <v>152</v>
      </c>
      <c r="BO280" t="s" s="0">
        <v>1047</v>
      </c>
      <c r="BP280" t="s" s="0">
        <v>1047</v>
      </c>
      <c r="BQ280" t="s" s="0">
        <v>6692</v>
      </c>
      <c r="BR280" t="s" s="0">
        <v>6693</v>
      </c>
      <c r="BS280" t="s" s="0">
        <v>6694</v>
      </c>
      <c r="BT280" t="s" s="556">
        <f>HYPERLINK("https://www.webofscience.com/wos/woscc/full-record/WOS:001845514000001","View Record in Web of Science")</f>
        <v>123</v>
      </c>
      <c r="BU280" t="s" s="0">
        <v>191</v>
      </c>
      <c r="BV280" t="s" s="0">
        <v>81</v>
      </c>
      <c r="BW280" t="s" s="0">
        <v>81</v>
      </c>
      <c r="BX280" t="s" s="0">
        <v>124</v>
      </c>
    </row>
    <row r="281">
      <c r="A281" t="s" s="0">
        <v>77</v>
      </c>
      <c r="B281" t="s" s="0">
        <v>77</v>
      </c>
      <c r="C281" t="s" s="0">
        <v>137</v>
      </c>
      <c r="D281" t="s" s="0">
        <v>77</v>
      </c>
      <c r="E281" t="s" s="0">
        <v>6695</v>
      </c>
      <c r="F281" t="s" s="0">
        <v>6696</v>
      </c>
      <c r="G281" t="s" s="0">
        <v>6697</v>
      </c>
      <c r="H281" t="s" s="0">
        <v>81</v>
      </c>
      <c r="I281" t="s" s="0">
        <v>82</v>
      </c>
      <c r="J281" t="s" s="0">
        <v>6698</v>
      </c>
      <c r="K281" t="s" s="0">
        <v>6699</v>
      </c>
      <c r="L281" t="s" s="0">
        <v>6700</v>
      </c>
      <c r="M281" t="s" s="0">
        <v>6701</v>
      </c>
      <c r="N281" t="s" s="0">
        <v>6702</v>
      </c>
      <c r="O281" t="s" s="0">
        <v>6703</v>
      </c>
      <c r="P281" t="s" s="0">
        <v>6704</v>
      </c>
      <c r="Q281" t="s" s="0">
        <v>90</v>
      </c>
      <c r="R281" t="s" s="0">
        <v>81</v>
      </c>
      <c r="S281" t="s" s="0">
        <v>81</v>
      </c>
      <c r="T281" t="s" s="0">
        <v>81</v>
      </c>
      <c r="U281" t="s" s="0">
        <v>81</v>
      </c>
      <c r="V281" t="s" s="0">
        <v>6705</v>
      </c>
      <c r="W281" t="s" s="0">
        <v>6706</v>
      </c>
      <c r="X281" t="s" s="0">
        <v>81</v>
      </c>
      <c r="Y281" t="s" s="0">
        <v>81</v>
      </c>
      <c r="Z281" t="s" s="0">
        <v>93</v>
      </c>
      <c r="AA281" t="s" s="0">
        <v>94</v>
      </c>
      <c r="AB281" t="s" s="0">
        <v>81</v>
      </c>
      <c r="AC281" t="s" s="0">
        <v>81</v>
      </c>
      <c r="AD281" t="s" s="0">
        <v>81</v>
      </c>
      <c r="AE281" t="s" s="0">
        <v>81</v>
      </c>
      <c r="AF281" t="s" s="0">
        <v>81</v>
      </c>
      <c r="AG281" t="s" s="0">
        <v>6707</v>
      </c>
      <c r="AH281" t="s" s="0">
        <v>6708</v>
      </c>
      <c r="AI281" t="s" s="0">
        <v>6709</v>
      </c>
      <c r="AJ281" t="s" s="0">
        <v>6710</v>
      </c>
      <c r="AK281" t="s" s="0">
        <v>81</v>
      </c>
      <c r="AL281" t="s" s="0">
        <v>851</v>
      </c>
      <c r="AM281" t="s" s="0">
        <v>183</v>
      </c>
      <c r="AN281" t="s" s="0">
        <v>399</v>
      </c>
      <c r="AO281" t="s" s="0">
        <v>101</v>
      </c>
      <c r="AP281" t="s" s="0">
        <v>117</v>
      </c>
      <c r="AQ281" t="s" s="0">
        <v>588</v>
      </c>
      <c r="AR281" t="s" s="0">
        <v>589</v>
      </c>
      <c r="AS281" t="s" s="0">
        <v>590</v>
      </c>
      <c r="AT281" t="s" s="0">
        <v>6711</v>
      </c>
      <c r="AU281" t="s" s="0">
        <v>6712</v>
      </c>
      <c r="AV281" t="s" s="0">
        <v>81</v>
      </c>
      <c r="AW281" t="s" s="0">
        <v>6713</v>
      </c>
      <c r="AX281" t="s" s="0">
        <v>6714</v>
      </c>
      <c r="AY281" t="s" s="0">
        <v>678</v>
      </c>
      <c r="AZ281" t="s" s="0">
        <v>678</v>
      </c>
      <c r="BA281" t="s" s="0">
        <v>566</v>
      </c>
      <c r="BB281" t="s" s="0">
        <v>81</v>
      </c>
      <c r="BC281" t="s" s="0">
        <v>81</v>
      </c>
      <c r="BD281" t="s" s="0">
        <v>81</v>
      </c>
      <c r="BE281" t="s" s="0">
        <v>81</v>
      </c>
      <c r="BF281" t="s" s="0">
        <v>81</v>
      </c>
      <c r="BG281" t="s" s="0">
        <v>6715</v>
      </c>
      <c r="BH281" t="s" s="0">
        <v>6716</v>
      </c>
      <c r="BI281" t="s" s="0">
        <v>81</v>
      </c>
      <c r="BJ281" t="s" s="0">
        <v>6717</v>
      </c>
      <c r="BK281" t="s" s="557">
        <f>HYPERLINK("http://dx.doi.org/10.1109/LSP.2022.3184636","http://dx.doi.org/10.1109/LSP.2022.3184636")</f>
        <v>6718</v>
      </c>
      <c r="BL281" t="s" s="0">
        <v>81</v>
      </c>
      <c r="BM281" t="s" s="0">
        <v>81</v>
      </c>
      <c r="BN281" t="s" s="0">
        <v>158</v>
      </c>
      <c r="BO281" t="s" s="0">
        <v>1147</v>
      </c>
      <c r="BP281" t="s" s="0">
        <v>219</v>
      </c>
      <c r="BQ281" t="s" s="0">
        <v>6719</v>
      </c>
      <c r="BR281" t="s" s="0">
        <v>81</v>
      </c>
      <c r="BS281" t="s" s="0">
        <v>6720</v>
      </c>
      <c r="BT281" t="s" s="558">
        <f>HYPERLINK("https://www.webofscience.com/wos/woscc/full-record/WOS:000916256100015","View Record in Web of Science")</f>
        <v>123</v>
      </c>
      <c r="BU281" t="s" s="0">
        <v>523</v>
      </c>
      <c r="BV281" t="s" s="0">
        <v>81</v>
      </c>
      <c r="BW281" t="s" s="0">
        <v>81</v>
      </c>
      <c r="BX281" t="s" s="0">
        <v>124</v>
      </c>
    </row>
    <row r="282">
      <c r="A282" t="s" s="0">
        <v>77</v>
      </c>
      <c r="B282" t="s" s="0">
        <v>77</v>
      </c>
      <c r="C282" t="s" s="0">
        <v>77</v>
      </c>
      <c r="D282" t="s" s="0">
        <v>77</v>
      </c>
      <c r="E282" t="s" s="0">
        <v>6721</v>
      </c>
      <c r="F282" t="s" s="0">
        <v>6722</v>
      </c>
      <c r="G282" t="s" s="0">
        <v>6723</v>
      </c>
      <c r="H282" t="s" s="0">
        <v>81</v>
      </c>
      <c r="I282" t="s" s="0">
        <v>82</v>
      </c>
      <c r="J282" t="s" s="0">
        <v>6724</v>
      </c>
      <c r="K282" t="s" s="0">
        <v>6725</v>
      </c>
      <c r="L282" t="s" s="0">
        <v>6726</v>
      </c>
      <c r="M282" t="s" s="0">
        <v>6727</v>
      </c>
      <c r="N282" t="s" s="0">
        <v>6728</v>
      </c>
      <c r="O282" t="s" s="0">
        <v>6729</v>
      </c>
      <c r="P282" t="s" s="0">
        <v>6730</v>
      </c>
      <c r="Q282" t="s" s="0">
        <v>90</v>
      </c>
      <c r="R282" t="s" s="0">
        <v>81</v>
      </c>
      <c r="S282" t="s" s="0">
        <v>81</v>
      </c>
      <c r="T282" t="s" s="0">
        <v>81</v>
      </c>
      <c r="U282" t="s" s="0">
        <v>81</v>
      </c>
      <c r="V282" t="s" s="0">
        <v>6731</v>
      </c>
      <c r="W282" t="s" s="0">
        <v>6732</v>
      </c>
      <c r="X282" t="s" s="0">
        <v>81</v>
      </c>
      <c r="Y282" t="s" s="0">
        <v>81</v>
      </c>
      <c r="Z282" t="s" s="0">
        <v>93</v>
      </c>
      <c r="AA282" t="s" s="0">
        <v>94</v>
      </c>
      <c r="AB282" t="s" s="0">
        <v>81</v>
      </c>
      <c r="AC282" t="s" s="0">
        <v>81</v>
      </c>
      <c r="AD282" t="s" s="0">
        <v>81</v>
      </c>
      <c r="AE282" t="s" s="0">
        <v>81</v>
      </c>
      <c r="AF282" t="s" s="0">
        <v>81</v>
      </c>
      <c r="AG282" t="s" s="0">
        <v>81</v>
      </c>
      <c r="AH282" t="s" s="0">
        <v>6733</v>
      </c>
      <c r="AI282" t="s" s="0">
        <v>6734</v>
      </c>
      <c r="AJ282" t="s" s="0">
        <v>6735</v>
      </c>
      <c r="AK282" t="s" s="0">
        <v>81</v>
      </c>
      <c r="AL282" t="s" s="0">
        <v>171</v>
      </c>
      <c r="AM282" t="s" s="0">
        <v>137</v>
      </c>
      <c r="AN282" t="s" s="0">
        <v>137</v>
      </c>
      <c r="AO282" t="s" s="0">
        <v>301</v>
      </c>
      <c r="AP282" t="s" s="0">
        <v>158</v>
      </c>
      <c r="AQ282" t="s" s="0">
        <v>6736</v>
      </c>
      <c r="AR282" t="s" s="0">
        <v>6737</v>
      </c>
      <c r="AS282" t="s" s="0">
        <v>6738</v>
      </c>
      <c r="AT282" t="s" s="0">
        <v>6739</v>
      </c>
      <c r="AU282" t="s" s="0">
        <v>81</v>
      </c>
      <c r="AV282" t="s" s="0">
        <v>81</v>
      </c>
      <c r="AW282" t="s" s="0">
        <v>6732</v>
      </c>
      <c r="AX282" t="s" s="0">
        <v>6740</v>
      </c>
      <c r="AY282" t="s" s="0">
        <v>920</v>
      </c>
      <c r="AZ282" t="s" s="0">
        <v>111</v>
      </c>
      <c r="BA282" t="s" s="0">
        <v>1012</v>
      </c>
      <c r="BB282" t="s" s="0">
        <v>158</v>
      </c>
      <c r="BC282" t="s" s="0">
        <v>81</v>
      </c>
      <c r="BD282" t="s" s="0">
        <v>81</v>
      </c>
      <c r="BE282" t="s" s="0">
        <v>81</v>
      </c>
      <c r="BF282" t="s" s="0">
        <v>81</v>
      </c>
      <c r="BG282" t="s" s="0">
        <v>6741</v>
      </c>
      <c r="BH282" t="s" s="0">
        <v>6742</v>
      </c>
      <c r="BI282" t="s" s="0">
        <v>81</v>
      </c>
      <c r="BJ282" t="s" s="0">
        <v>6743</v>
      </c>
      <c r="BK282" t="s" s="559">
        <f>HYPERLINK("http://dx.doi.org/10.30632/PJV66N5-2025a4","http://dx.doi.org/10.30632/PJV66N5-2025a4")</f>
        <v>6744</v>
      </c>
      <c r="BL282" t="s" s="0">
        <v>81</v>
      </c>
      <c r="BM282" t="s" s="0">
        <v>81</v>
      </c>
      <c r="BN282" t="s" s="0">
        <v>173</v>
      </c>
      <c r="BO282" t="s" s="0">
        <v>6745</v>
      </c>
      <c r="BP282" t="s" s="0">
        <v>6746</v>
      </c>
      <c r="BQ282" t="s" s="0">
        <v>6747</v>
      </c>
      <c r="BR282" t="s" s="0">
        <v>81</v>
      </c>
      <c r="BS282" t="s" s="0">
        <v>6748</v>
      </c>
      <c r="BT282" t="s" s="560">
        <f>HYPERLINK("https://www.webofscience.com/wos/woscc/full-record/WOS:001620595700004","View Record in Web of Science")</f>
        <v>123</v>
      </c>
      <c r="BU282" t="s" s="0">
        <v>81</v>
      </c>
      <c r="BV282" t="s" s="0">
        <v>81</v>
      </c>
      <c r="BW282" t="s" s="0">
        <v>81</v>
      </c>
      <c r="BX282" t="s" s="0">
        <v>124</v>
      </c>
    </row>
    <row r="283">
      <c r="A283" t="s" s="0">
        <v>77</v>
      </c>
      <c r="B283" t="s" s="0">
        <v>77</v>
      </c>
      <c r="C283" t="s" s="0">
        <v>77</v>
      </c>
      <c r="D283" t="s" s="0">
        <v>77</v>
      </c>
      <c r="E283" t="s" s="0">
        <v>6749</v>
      </c>
      <c r="F283" t="s" s="0">
        <v>6750</v>
      </c>
      <c r="G283" t="s" s="0">
        <v>6751</v>
      </c>
      <c r="H283" t="s" s="0">
        <v>81</v>
      </c>
      <c r="I283" t="s" s="0">
        <v>195</v>
      </c>
      <c r="J283" t="s" s="0">
        <v>6752</v>
      </c>
      <c r="K283" t="s" s="0">
        <v>6753</v>
      </c>
      <c r="L283" t="s" s="0">
        <v>6754</v>
      </c>
      <c r="M283" t="s" s="0">
        <v>6754</v>
      </c>
      <c r="N283" t="s" s="0">
        <v>6755</v>
      </c>
      <c r="O283" t="s" s="0">
        <v>6756</v>
      </c>
      <c r="P283" t="s" s="0">
        <v>6754</v>
      </c>
      <c r="Q283" t="s" s="0">
        <v>90</v>
      </c>
      <c r="R283" t="s" s="0">
        <v>81</v>
      </c>
      <c r="S283" t="s" s="0">
        <v>81</v>
      </c>
      <c r="T283" t="s" s="0">
        <v>81</v>
      </c>
      <c r="U283" t="s" s="0">
        <v>81</v>
      </c>
      <c r="V283" t="s" s="0">
        <v>6757</v>
      </c>
      <c r="W283" t="s" s="0">
        <v>6758</v>
      </c>
      <c r="X283" t="s" s="0">
        <v>81</v>
      </c>
      <c r="Y283" t="s" s="0">
        <v>81</v>
      </c>
      <c r="Z283" t="s" s="0">
        <v>93</v>
      </c>
      <c r="AA283" t="s" s="0">
        <v>94</v>
      </c>
      <c r="AB283" t="s" s="0">
        <v>81</v>
      </c>
      <c r="AC283" t="s" s="0">
        <v>81</v>
      </c>
      <c r="AD283" t="s" s="0">
        <v>81</v>
      </c>
      <c r="AE283" t="s" s="0">
        <v>81</v>
      </c>
      <c r="AF283" t="s" s="0">
        <v>81</v>
      </c>
      <c r="AG283" t="s" s="0">
        <v>6759</v>
      </c>
      <c r="AH283" t="s" s="0">
        <v>6760</v>
      </c>
      <c r="AI283" t="s" s="0">
        <v>6761</v>
      </c>
      <c r="AJ283" t="s" s="0">
        <v>6762</v>
      </c>
      <c r="AK283" t="s" s="0">
        <v>81</v>
      </c>
      <c r="AL283" t="s" s="0">
        <v>732</v>
      </c>
      <c r="AM283" t="s" s="0">
        <v>137</v>
      </c>
      <c r="AN283" t="s" s="0">
        <v>137</v>
      </c>
      <c r="AO283" t="s" s="0">
        <v>100</v>
      </c>
      <c r="AP283" t="s" s="0">
        <v>100</v>
      </c>
      <c r="AQ283" t="s" s="0">
        <v>4843</v>
      </c>
      <c r="AR283" t="s" s="0">
        <v>269</v>
      </c>
      <c r="AS283" t="s" s="0">
        <v>4844</v>
      </c>
      <c r="AT283" t="s" s="0">
        <v>6763</v>
      </c>
      <c r="AU283" t="s" s="0">
        <v>6764</v>
      </c>
      <c r="AV283" t="s" s="0">
        <v>81</v>
      </c>
      <c r="AW283" t="s" s="0">
        <v>6765</v>
      </c>
      <c r="AX283" t="s" s="0">
        <v>6766</v>
      </c>
      <c r="AY283" t="s" s="0">
        <v>343</v>
      </c>
      <c r="AZ283" t="s" s="0">
        <v>212</v>
      </c>
      <c r="BA283" t="s" s="0">
        <v>152</v>
      </c>
      <c r="BB283" t="s" s="0">
        <v>100</v>
      </c>
      <c r="BC283" t="s" s="0">
        <v>81</v>
      </c>
      <c r="BD283" t="s" s="0">
        <v>81</v>
      </c>
      <c r="BE283" t="s" s="0">
        <v>81</v>
      </c>
      <c r="BF283" t="s" s="0">
        <v>81</v>
      </c>
      <c r="BG283" t="s" s="0">
        <v>6767</v>
      </c>
      <c r="BH283" t="s" s="0">
        <v>6768</v>
      </c>
      <c r="BI283" t="s" s="0">
        <v>81</v>
      </c>
      <c r="BJ283" t="s" s="0">
        <v>6769</v>
      </c>
      <c r="BK283" t="s" s="561">
        <f>HYPERLINK("http://dx.doi.org/10.1007/s40964-025-01496-5","http://dx.doi.org/10.1007/s40964-025-01496-5")</f>
        <v>6770</v>
      </c>
      <c r="BL283" t="s" s="0">
        <v>81</v>
      </c>
      <c r="BM283" t="s" s="0">
        <v>763</v>
      </c>
      <c r="BN283" t="s" s="0">
        <v>213</v>
      </c>
      <c r="BO283" t="s" s="0">
        <v>6771</v>
      </c>
      <c r="BP283" t="s" s="0">
        <v>6772</v>
      </c>
      <c r="BQ283" t="s" s="0">
        <v>6773</v>
      </c>
      <c r="BR283" t="s" s="0">
        <v>81</v>
      </c>
      <c r="BS283" t="s" s="0">
        <v>6774</v>
      </c>
      <c r="BT283" t="s" s="562">
        <f>HYPERLINK("https://www.webofscience.com/wos/woscc/full-record/WOS:001658365000001","View Record in Web of Science")</f>
        <v>123</v>
      </c>
      <c r="BU283" t="s" s="0">
        <v>81</v>
      </c>
      <c r="BV283" t="s" s="0">
        <v>81</v>
      </c>
      <c r="BW283" t="s" s="0">
        <v>81</v>
      </c>
      <c r="BX283" t="s" s="0">
        <v>124</v>
      </c>
    </row>
    <row r="284">
      <c r="A284" t="s" s="0">
        <v>137</v>
      </c>
      <c r="B284" t="s" s="0">
        <v>77</v>
      </c>
      <c r="C284" t="s" s="0">
        <v>183</v>
      </c>
      <c r="D284" t="s" s="0">
        <v>77</v>
      </c>
      <c r="E284" t="s" s="0">
        <v>6775</v>
      </c>
      <c r="F284" t="s" s="0">
        <v>6776</v>
      </c>
      <c r="G284" t="s" s="0">
        <v>6777</v>
      </c>
      <c r="H284" t="s" s="0">
        <v>81</v>
      </c>
      <c r="I284" t="s" s="0">
        <v>82</v>
      </c>
      <c r="J284" t="s" s="0">
        <v>6778</v>
      </c>
      <c r="K284" t="s" s="0">
        <v>6779</v>
      </c>
      <c r="L284" t="s" s="0">
        <v>6780</v>
      </c>
      <c r="M284" t="s" s="0">
        <v>6781</v>
      </c>
      <c r="N284" t="s" s="0">
        <v>6782</v>
      </c>
      <c r="O284" t="s" s="0">
        <v>6783</v>
      </c>
      <c r="P284" t="s" s="0">
        <v>6784</v>
      </c>
      <c r="Q284" t="s" s="0">
        <v>90</v>
      </c>
      <c r="R284" t="s" s="0">
        <v>81</v>
      </c>
      <c r="S284" t="s" s="0">
        <v>81</v>
      </c>
      <c r="T284" t="s" s="0">
        <v>81</v>
      </c>
      <c r="U284" t="s" s="0">
        <v>81</v>
      </c>
      <c r="V284" t="s" s="0">
        <v>6785</v>
      </c>
      <c r="W284" t="s" s="0">
        <v>6786</v>
      </c>
      <c r="X284" t="s" s="0">
        <v>81</v>
      </c>
      <c r="Y284" t="s" s="0">
        <v>81</v>
      </c>
      <c r="Z284" t="s" s="0">
        <v>93</v>
      </c>
      <c r="AA284" t="s" s="0">
        <v>94</v>
      </c>
      <c r="AB284" t="s" s="0">
        <v>81</v>
      </c>
      <c r="AC284" t="s" s="0">
        <v>81</v>
      </c>
      <c r="AD284" t="s" s="0">
        <v>81</v>
      </c>
      <c r="AE284" t="s" s="0">
        <v>81</v>
      </c>
      <c r="AF284" t="s" s="0">
        <v>81</v>
      </c>
      <c r="AG284" t="s" s="0">
        <v>6787</v>
      </c>
      <c r="AH284" t="s" s="0">
        <v>6788</v>
      </c>
      <c r="AI284" t="s" s="0">
        <v>6789</v>
      </c>
      <c r="AJ284" t="s" s="0">
        <v>6790</v>
      </c>
      <c r="AK284" t="s" s="0">
        <v>81</v>
      </c>
      <c r="AL284" t="s" s="0">
        <v>785</v>
      </c>
      <c r="AM284" t="s" s="0">
        <v>405</v>
      </c>
      <c r="AN284" t="s" s="0">
        <v>1110</v>
      </c>
      <c r="AO284" t="s" s="0">
        <v>850</v>
      </c>
      <c r="AP284" t="s" s="0">
        <v>6791</v>
      </c>
      <c r="AQ284" t="s" s="0">
        <v>6792</v>
      </c>
      <c r="AR284" t="s" s="0">
        <v>1545</v>
      </c>
      <c r="AS284" t="s" s="0">
        <v>6793</v>
      </c>
      <c r="AT284" t="s" s="0">
        <v>6794</v>
      </c>
      <c r="AU284" t="s" s="0">
        <v>6795</v>
      </c>
      <c r="AV284" t="s" s="0">
        <v>81</v>
      </c>
      <c r="AW284" t="s" s="0">
        <v>6796</v>
      </c>
      <c r="AX284" t="s" s="0">
        <v>6797</v>
      </c>
      <c r="AY284" t="s" s="0">
        <v>6798</v>
      </c>
      <c r="AZ284" t="s" s="0">
        <v>111</v>
      </c>
      <c r="BA284" t="s" s="0">
        <v>732</v>
      </c>
      <c r="BB284" t="s" s="0">
        <v>886</v>
      </c>
      <c r="BC284" t="s" s="0">
        <v>81</v>
      </c>
      <c r="BD284" t="s" s="0">
        <v>81</v>
      </c>
      <c r="BE284" t="s" s="0">
        <v>81</v>
      </c>
      <c r="BF284" t="s" s="0">
        <v>81</v>
      </c>
      <c r="BG284" t="s" s="0">
        <v>6799</v>
      </c>
      <c r="BH284" t="s" s="0">
        <v>6800</v>
      </c>
      <c r="BI284" t="s" s="0">
        <v>81</v>
      </c>
      <c r="BJ284" t="s" s="0">
        <v>6801</v>
      </c>
      <c r="BK284" t="s" s="563">
        <f>HYPERLINK("http://dx.doi.org/10.1021/acs.est.5c04143","http://dx.doi.org/10.1021/acs.est.5c04143")</f>
        <v>6802</v>
      </c>
      <c r="BL284" t="s" s="0">
        <v>81</v>
      </c>
      <c r="BM284" t="s" s="0">
        <v>741</v>
      </c>
      <c r="BN284" t="s" s="0">
        <v>117</v>
      </c>
      <c r="BO284" t="s" s="0">
        <v>6803</v>
      </c>
      <c r="BP284" t="s" s="0">
        <v>6804</v>
      </c>
      <c r="BQ284" t="s" s="0">
        <v>6805</v>
      </c>
      <c r="BR284" t="s" s="0">
        <v>6806</v>
      </c>
      <c r="BS284" t="s" s="0">
        <v>6807</v>
      </c>
      <c r="BT284" t="s" s="564">
        <f>HYPERLINK("https://www.webofscience.com/wos/woscc/full-record/WOS:001507412300001","View Record in Web of Science")</f>
        <v>123</v>
      </c>
      <c r="BU284" t="s" s="0">
        <v>81</v>
      </c>
      <c r="BV284" t="s" s="0">
        <v>81</v>
      </c>
      <c r="BW284" t="s" s="0">
        <v>81</v>
      </c>
      <c r="BX284" t="s" s="0">
        <v>124</v>
      </c>
    </row>
    <row r="285">
      <c r="A285" t="s" s="0">
        <v>77</v>
      </c>
      <c r="B285" t="s" s="0">
        <v>77</v>
      </c>
      <c r="C285" t="s" s="0">
        <v>77</v>
      </c>
      <c r="D285" t="s" s="0">
        <v>77</v>
      </c>
      <c r="E285" t="s" s="0">
        <v>6808</v>
      </c>
      <c r="F285" t="s" s="0">
        <v>6809</v>
      </c>
      <c r="G285" t="s" s="0">
        <v>6810</v>
      </c>
      <c r="H285" t="s" s="0">
        <v>81</v>
      </c>
      <c r="I285" t="s" s="0">
        <v>82</v>
      </c>
      <c r="J285" t="s" s="0">
        <v>6811</v>
      </c>
      <c r="K285" t="s" s="0">
        <v>6812</v>
      </c>
      <c r="L285" t="s" s="0">
        <v>6813</v>
      </c>
      <c r="M285" t="s" s="0">
        <v>6814</v>
      </c>
      <c r="N285" t="s" s="0">
        <v>6815</v>
      </c>
      <c r="O285" t="s" s="0">
        <v>6816</v>
      </c>
      <c r="P285" t="s" s="0">
        <v>6817</v>
      </c>
      <c r="Q285" t="s" s="0">
        <v>90</v>
      </c>
      <c r="R285" t="s" s="0">
        <v>81</v>
      </c>
      <c r="S285" t="s" s="0">
        <v>81</v>
      </c>
      <c r="T285" t="s" s="0">
        <v>81</v>
      </c>
      <c r="U285" t="s" s="0">
        <v>81</v>
      </c>
      <c r="V285" t="s" s="0">
        <v>6818</v>
      </c>
      <c r="W285" t="s" s="0">
        <v>6819</v>
      </c>
      <c r="X285" t="s" s="0">
        <v>81</v>
      </c>
      <c r="Y285" t="s" s="0">
        <v>81</v>
      </c>
      <c r="Z285" t="s" s="0">
        <v>93</v>
      </c>
      <c r="AA285" t="s" s="0">
        <v>94</v>
      </c>
      <c r="AB285" t="s" s="0">
        <v>81</v>
      </c>
      <c r="AC285" t="s" s="0">
        <v>81</v>
      </c>
      <c r="AD285" t="s" s="0">
        <v>81</v>
      </c>
      <c r="AE285" t="s" s="0">
        <v>81</v>
      </c>
      <c r="AF285" t="s" s="0">
        <v>81</v>
      </c>
      <c r="AG285" t="s" s="0">
        <v>6820</v>
      </c>
      <c r="AH285" t="s" s="0">
        <v>6821</v>
      </c>
      <c r="AI285" t="s" s="0">
        <v>6822</v>
      </c>
      <c r="AJ285" t="s" s="0">
        <v>6823</v>
      </c>
      <c r="AK285" t="s" s="0">
        <v>81</v>
      </c>
      <c r="AL285" t="s" s="0">
        <v>513</v>
      </c>
      <c r="AM285" t="s" s="0">
        <v>77</v>
      </c>
      <c r="AN285" t="s" s="0">
        <v>77</v>
      </c>
      <c r="AO285" t="s" s="0">
        <v>101</v>
      </c>
      <c r="AP285" t="s" s="0">
        <v>100</v>
      </c>
      <c r="AQ285" t="s" s="0">
        <v>174</v>
      </c>
      <c r="AR285" t="s" s="0">
        <v>175</v>
      </c>
      <c r="AS285" t="s" s="0">
        <v>208</v>
      </c>
      <c r="AT285" t="s" s="0">
        <v>81</v>
      </c>
      <c r="AU285" t="s" s="0">
        <v>6824</v>
      </c>
      <c r="AV285" t="s" s="0">
        <v>81</v>
      </c>
      <c r="AW285" t="s" s="0">
        <v>6825</v>
      </c>
      <c r="AX285" t="s" s="0">
        <v>6826</v>
      </c>
      <c r="AY285" t="s" s="0">
        <v>4459</v>
      </c>
      <c r="AZ285" t="s" s="0">
        <v>212</v>
      </c>
      <c r="BA285" t="s" s="0">
        <v>1443</v>
      </c>
      <c r="BB285" t="s" s="0">
        <v>137</v>
      </c>
      <c r="BC285" t="s" s="0">
        <v>81</v>
      </c>
      <c r="BD285" t="s" s="0">
        <v>81</v>
      </c>
      <c r="BE285" t="s" s="0">
        <v>81</v>
      </c>
      <c r="BF285" t="s" s="0">
        <v>81</v>
      </c>
      <c r="BG285" t="s" s="0">
        <v>81</v>
      </c>
      <c r="BH285" t="s" s="0">
        <v>81</v>
      </c>
      <c r="BI285" t="s" s="0">
        <v>112</v>
      </c>
      <c r="BJ285" t="s" s="0">
        <v>6827</v>
      </c>
      <c r="BK285" t="s" s="565">
        <f>HYPERLINK("http://dx.doi.org/10.3390/s26010269","http://dx.doi.org/10.3390/s26010269")</f>
        <v>6828</v>
      </c>
      <c r="BL285" t="s" s="0">
        <v>81</v>
      </c>
      <c r="BM285" t="s" s="0">
        <v>81</v>
      </c>
      <c r="BN285" t="s" s="0">
        <v>1443</v>
      </c>
      <c r="BO285" t="s" s="0">
        <v>6829</v>
      </c>
      <c r="BP285" t="s" s="0">
        <v>6830</v>
      </c>
      <c r="BQ285" t="s" s="0">
        <v>6831</v>
      </c>
      <c r="BR285" t="s" s="0">
        <v>6832</v>
      </c>
      <c r="BS285" t="s" s="0">
        <v>6833</v>
      </c>
      <c r="BT285" t="s" s="566">
        <f>HYPERLINK("https://www.webofscience.com/wos/woscc/full-record/WOS:001657593100001","View Record in Web of Science")</f>
        <v>123</v>
      </c>
      <c r="BU285" t="s" s="0">
        <v>191</v>
      </c>
      <c r="BV285" t="s" s="0">
        <v>81</v>
      </c>
      <c r="BW285" t="s" s="0">
        <v>81</v>
      </c>
      <c r="BX285" t="s" s="0">
        <v>124</v>
      </c>
    </row>
    <row r="286">
      <c r="A286" t="s" s="0">
        <v>77</v>
      </c>
      <c r="B286" t="s" s="0">
        <v>77</v>
      </c>
      <c r="C286" t="s" s="0">
        <v>77</v>
      </c>
      <c r="D286" t="s" s="0">
        <v>77</v>
      </c>
      <c r="E286" t="s" s="0">
        <v>6834</v>
      </c>
      <c r="F286" t="s" s="0">
        <v>6835</v>
      </c>
      <c r="G286" t="s" s="0">
        <v>6836</v>
      </c>
      <c r="H286" t="s" s="0">
        <v>81</v>
      </c>
      <c r="I286" t="s" s="0">
        <v>195</v>
      </c>
      <c r="J286" t="s" s="0">
        <v>6837</v>
      </c>
      <c r="K286" t="s" s="0">
        <v>6838</v>
      </c>
      <c r="L286" t="s" s="0">
        <v>6839</v>
      </c>
      <c r="M286" t="s" s="0">
        <v>6840</v>
      </c>
      <c r="N286" t="s" s="0">
        <v>6841</v>
      </c>
      <c r="O286" t="s" s="0">
        <v>6842</v>
      </c>
      <c r="P286" t="s" s="0">
        <v>6843</v>
      </c>
      <c r="Q286" t="s" s="0">
        <v>90</v>
      </c>
      <c r="R286" t="s" s="0">
        <v>81</v>
      </c>
      <c r="S286" t="s" s="0">
        <v>81</v>
      </c>
      <c r="T286" t="s" s="0">
        <v>81</v>
      </c>
      <c r="U286" t="s" s="0">
        <v>81</v>
      </c>
      <c r="V286" t="s" s="0">
        <v>6844</v>
      </c>
      <c r="W286" t="s" s="0">
        <v>5671</v>
      </c>
      <c r="X286" t="s" s="0">
        <v>81</v>
      </c>
      <c r="Y286" t="s" s="0">
        <v>81</v>
      </c>
      <c r="Z286" t="s" s="0">
        <v>93</v>
      </c>
      <c r="AA286" t="s" s="0">
        <v>94</v>
      </c>
      <c r="AB286" t="s" s="0">
        <v>81</v>
      </c>
      <c r="AC286" t="s" s="0">
        <v>81</v>
      </c>
      <c r="AD286" t="s" s="0">
        <v>81</v>
      </c>
      <c r="AE286" t="s" s="0">
        <v>81</v>
      </c>
      <c r="AF286" t="s" s="0">
        <v>81</v>
      </c>
      <c r="AG286" t="s" s="0">
        <v>6845</v>
      </c>
      <c r="AH286" t="s" s="0">
        <v>6846</v>
      </c>
      <c r="AI286" t="s" s="0">
        <v>6847</v>
      </c>
      <c r="AJ286" t="s" s="0">
        <v>81</v>
      </c>
      <c r="AK286" t="s" s="0">
        <v>81</v>
      </c>
      <c r="AL286" t="s" s="0">
        <v>4954</v>
      </c>
      <c r="AM286" t="s" s="0">
        <v>77</v>
      </c>
      <c r="AN286" t="s" s="0">
        <v>77</v>
      </c>
      <c r="AO286" t="s" s="0">
        <v>77</v>
      </c>
      <c r="AP286" t="s" s="0">
        <v>77</v>
      </c>
      <c r="AQ286" t="s" s="0">
        <v>140</v>
      </c>
      <c r="AR286" t="s" s="0">
        <v>141</v>
      </c>
      <c r="AS286" t="s" s="0">
        <v>142</v>
      </c>
      <c r="AT286" t="s" s="0">
        <v>81</v>
      </c>
      <c r="AU286" t="s" s="0">
        <v>5674</v>
      </c>
      <c r="AV286" t="s" s="0">
        <v>81</v>
      </c>
      <c r="AW286" t="s" s="0">
        <v>5675</v>
      </c>
      <c r="AX286" t="s" s="0">
        <v>5676</v>
      </c>
      <c r="AY286" t="s" s="0">
        <v>1967</v>
      </c>
      <c r="AZ286" t="s" s="0">
        <v>212</v>
      </c>
      <c r="BA286" t="s" s="0">
        <v>213</v>
      </c>
      <c r="BB286" t="s" s="0">
        <v>81</v>
      </c>
      <c r="BC286" t="s" s="0">
        <v>81</v>
      </c>
      <c r="BD286" t="s" s="0">
        <v>81</v>
      </c>
      <c r="BE286" t="s" s="0">
        <v>81</v>
      </c>
      <c r="BF286" t="s" s="0">
        <v>81</v>
      </c>
      <c r="BG286" t="s" s="0">
        <v>81</v>
      </c>
      <c r="BH286" t="s" s="0">
        <v>81</v>
      </c>
      <c r="BI286" t="s" s="0">
        <v>6848</v>
      </c>
      <c r="BJ286" t="s" s="0">
        <v>6849</v>
      </c>
      <c r="BK286" t="s" s="567">
        <f>HYPERLINK("http://dx.doi.org/10.1016/j.atech.2026.102045","http://dx.doi.org/10.1016/j.atech.2026.102045")</f>
        <v>6850</v>
      </c>
      <c r="BL286" t="s" s="0">
        <v>81</v>
      </c>
      <c r="BM286" t="s" s="0">
        <v>279</v>
      </c>
      <c r="BN286" t="s" s="0">
        <v>1110</v>
      </c>
      <c r="BO286" t="s" s="0">
        <v>5680</v>
      </c>
      <c r="BP286" t="s" s="0">
        <v>5660</v>
      </c>
      <c r="BQ286" t="s" s="0">
        <v>6851</v>
      </c>
      <c r="BR286" t="s" s="0">
        <v>81</v>
      </c>
      <c r="BS286" t="s" s="0">
        <v>6852</v>
      </c>
      <c r="BT286" t="s" s="568">
        <f>HYPERLINK("https://www.webofscience.com/wos/woscc/full-record/WOS:001742392400001","View Record in Web of Science")</f>
        <v>123</v>
      </c>
      <c r="BU286" t="s" s="0">
        <v>222</v>
      </c>
      <c r="BV286" t="s" s="0">
        <v>81</v>
      </c>
      <c r="BW286" t="s" s="0">
        <v>81</v>
      </c>
      <c r="BX286" t="s" s="0">
        <v>124</v>
      </c>
    </row>
    <row r="287">
      <c r="A287" t="s" s="0">
        <v>77</v>
      </c>
      <c r="B287" t="s" s="0">
        <v>77</v>
      </c>
      <c r="C287" t="s" s="0">
        <v>137</v>
      </c>
      <c r="D287" t="s" s="0">
        <v>77</v>
      </c>
      <c r="E287" t="s" s="0">
        <v>6853</v>
      </c>
      <c r="F287" t="s" s="0">
        <v>6854</v>
      </c>
      <c r="G287" t="s" s="0">
        <v>6855</v>
      </c>
      <c r="H287" t="s" s="0">
        <v>81</v>
      </c>
      <c r="I287" t="s" s="0">
        <v>82</v>
      </c>
      <c r="J287" t="s" s="0">
        <v>6856</v>
      </c>
      <c r="K287" t="s" s="0">
        <v>6857</v>
      </c>
      <c r="L287" t="s" s="0">
        <v>6858</v>
      </c>
      <c r="M287" t="s" s="0">
        <v>6859</v>
      </c>
      <c r="N287" t="s" s="0">
        <v>6860</v>
      </c>
      <c r="O287" t="s" s="0">
        <v>6861</v>
      </c>
      <c r="P287" t="s" s="0">
        <v>6862</v>
      </c>
      <c r="Q287" t="s" s="0">
        <v>90</v>
      </c>
      <c r="R287" t="s" s="0">
        <v>81</v>
      </c>
      <c r="S287" t="s" s="0">
        <v>81</v>
      </c>
      <c r="T287" t="s" s="0">
        <v>81</v>
      </c>
      <c r="U287" t="s" s="0">
        <v>81</v>
      </c>
      <c r="V287" t="s" s="0">
        <v>6863</v>
      </c>
      <c r="W287" t="s" s="0">
        <v>6864</v>
      </c>
      <c r="X287" t="s" s="0">
        <v>81</v>
      </c>
      <c r="Y287" t="s" s="0">
        <v>81</v>
      </c>
      <c r="Z287" t="s" s="0">
        <v>93</v>
      </c>
      <c r="AA287" t="s" s="0">
        <v>94</v>
      </c>
      <c r="AB287" t="s" s="0">
        <v>81</v>
      </c>
      <c r="AC287" t="s" s="0">
        <v>81</v>
      </c>
      <c r="AD287" t="s" s="0">
        <v>81</v>
      </c>
      <c r="AE287" t="s" s="0">
        <v>81</v>
      </c>
      <c r="AF287" t="s" s="0">
        <v>81</v>
      </c>
      <c r="AG287" t="s" s="0">
        <v>6865</v>
      </c>
      <c r="AH287" t="s" s="0">
        <v>6866</v>
      </c>
      <c r="AI287" t="s" s="0">
        <v>6867</v>
      </c>
      <c r="AJ287" t="s" s="0">
        <v>6868</v>
      </c>
      <c r="AK287" t="s" s="0">
        <v>81</v>
      </c>
      <c r="AL287" t="s" s="0">
        <v>513</v>
      </c>
      <c r="AM287" t="s" s="0">
        <v>676</v>
      </c>
      <c r="AN287" t="s" s="0">
        <v>895</v>
      </c>
      <c r="AO287" t="s" s="0">
        <v>1443</v>
      </c>
      <c r="AP287" t="s" s="0">
        <v>5771</v>
      </c>
      <c r="AQ287" t="s" s="0">
        <v>588</v>
      </c>
      <c r="AR287" t="s" s="0">
        <v>589</v>
      </c>
      <c r="AS287" t="s" s="0">
        <v>590</v>
      </c>
      <c r="AT287" t="s" s="0">
        <v>6869</v>
      </c>
      <c r="AU287" t="s" s="0">
        <v>6870</v>
      </c>
      <c r="AV287" t="s" s="0">
        <v>81</v>
      </c>
      <c r="AW287" t="s" s="0">
        <v>6871</v>
      </c>
      <c r="AX287" t="s" s="0">
        <v>6872</v>
      </c>
      <c r="AY287" t="s" s="0">
        <v>111</v>
      </c>
      <c r="AZ287" t="s" s="0">
        <v>111</v>
      </c>
      <c r="BA287" t="s" s="0">
        <v>3304</v>
      </c>
      <c r="BB287" t="s" s="0">
        <v>81</v>
      </c>
      <c r="BC287" t="s" s="0">
        <v>81</v>
      </c>
      <c r="BD287" t="s" s="0">
        <v>81</v>
      </c>
      <c r="BE287" t="s" s="0">
        <v>81</v>
      </c>
      <c r="BF287" t="s" s="0">
        <v>81</v>
      </c>
      <c r="BG287" t="s" s="0">
        <v>81</v>
      </c>
      <c r="BH287" t="s" s="0">
        <v>81</v>
      </c>
      <c r="BI287" t="s" s="0">
        <v>6873</v>
      </c>
      <c r="BJ287" t="s" s="0">
        <v>6874</v>
      </c>
      <c r="BK287" t="s" s="569">
        <f>HYPERLINK("http://dx.doi.org/10.1109/TIM.2025.3561438","http://dx.doi.org/10.1109/TIM.2025.3561438")</f>
        <v>6875</v>
      </c>
      <c r="BL287" t="s" s="0">
        <v>81</v>
      </c>
      <c r="BM287" t="s" s="0">
        <v>81</v>
      </c>
      <c r="BN287" t="s" s="0">
        <v>102</v>
      </c>
      <c r="BO287" t="s" s="0">
        <v>5319</v>
      </c>
      <c r="BP287" t="s" s="0">
        <v>4620</v>
      </c>
      <c r="BQ287" t="s" s="0">
        <v>6876</v>
      </c>
      <c r="BR287" t="s" s="0">
        <v>81</v>
      </c>
      <c r="BS287" t="s" s="0">
        <v>6877</v>
      </c>
      <c r="BT287" t="s" s="570">
        <f>HYPERLINK("https://www.webofscience.com/wos/woscc/full-record/WOS:001488105900034","View Record in Web of Science")</f>
        <v>123</v>
      </c>
      <c r="BU287" t="s" s="0">
        <v>81</v>
      </c>
      <c r="BV287" t="s" s="0">
        <v>81</v>
      </c>
      <c r="BW287" t="s" s="0">
        <v>81</v>
      </c>
      <c r="BX287" t="s" s="0">
        <v>124</v>
      </c>
    </row>
    <row r="288">
      <c r="A288" t="s" s="0">
        <v>77</v>
      </c>
      <c r="B288" t="s" s="0">
        <v>77</v>
      </c>
      <c r="C288" t="s" s="0">
        <v>183</v>
      </c>
      <c r="D288" t="s" s="0">
        <v>77</v>
      </c>
      <c r="E288" t="s" s="0">
        <v>6878</v>
      </c>
      <c r="F288" t="s" s="0">
        <v>6879</v>
      </c>
      <c r="G288" t="s" s="0">
        <v>6880</v>
      </c>
      <c r="H288" t="s" s="0">
        <v>81</v>
      </c>
      <c r="I288" t="s" s="0">
        <v>82</v>
      </c>
      <c r="J288" t="s" s="0">
        <v>6881</v>
      </c>
      <c r="K288" t="s" s="0">
        <v>6882</v>
      </c>
      <c r="L288" t="s" s="0">
        <v>81</v>
      </c>
      <c r="M288" t="s" s="0">
        <v>81</v>
      </c>
      <c r="N288" t="s" s="0">
        <v>81</v>
      </c>
      <c r="O288" t="s" s="0">
        <v>6883</v>
      </c>
      <c r="P288" t="s" s="0">
        <v>6884</v>
      </c>
      <c r="Q288" t="s" s="0">
        <v>90</v>
      </c>
      <c r="R288" t="s" s="0">
        <v>81</v>
      </c>
      <c r="S288" t="s" s="0">
        <v>81</v>
      </c>
      <c r="T288" t="s" s="0">
        <v>81</v>
      </c>
      <c r="U288" t="s" s="0">
        <v>81</v>
      </c>
      <c r="V288" t="s" s="0">
        <v>6885</v>
      </c>
      <c r="W288" t="s" s="0">
        <v>474</v>
      </c>
      <c r="X288" t="s" s="0">
        <v>81</v>
      </c>
      <c r="Y288" t="s" s="0">
        <v>81</v>
      </c>
      <c r="Z288" t="s" s="0">
        <v>93</v>
      </c>
      <c r="AA288" t="s" s="0">
        <v>94</v>
      </c>
      <c r="AB288" t="s" s="0">
        <v>81</v>
      </c>
      <c r="AC288" t="s" s="0">
        <v>81</v>
      </c>
      <c r="AD288" t="s" s="0">
        <v>81</v>
      </c>
      <c r="AE288" t="s" s="0">
        <v>81</v>
      </c>
      <c r="AF288" t="s" s="0">
        <v>81</v>
      </c>
      <c r="AG288" t="s" s="0">
        <v>6886</v>
      </c>
      <c r="AH288" t="s" s="0">
        <v>1063</v>
      </c>
      <c r="AI288" t="s" s="0">
        <v>6887</v>
      </c>
      <c r="AJ288" t="s" s="0">
        <v>6888</v>
      </c>
      <c r="AK288" t="s" s="0">
        <v>81</v>
      </c>
      <c r="AL288" t="s" s="0">
        <v>1165</v>
      </c>
      <c r="AM288" t="s" s="0">
        <v>173</v>
      </c>
      <c r="AN288" t="s" s="0">
        <v>676</v>
      </c>
      <c r="AO288" t="s" s="0">
        <v>158</v>
      </c>
      <c r="AP288" t="s" s="0">
        <v>566</v>
      </c>
      <c r="AQ288" t="s" s="0">
        <v>140</v>
      </c>
      <c r="AR288" t="s" s="0">
        <v>141</v>
      </c>
      <c r="AS288" t="s" s="0">
        <v>142</v>
      </c>
      <c r="AT288" t="s" s="0">
        <v>479</v>
      </c>
      <c r="AU288" t="s" s="0">
        <v>480</v>
      </c>
      <c r="AV288" t="s" s="0">
        <v>81</v>
      </c>
      <c r="AW288" t="s" s="0">
        <v>481</v>
      </c>
      <c r="AX288" t="s" s="0">
        <v>482</v>
      </c>
      <c r="AY288" t="s" s="0">
        <v>6889</v>
      </c>
      <c r="AZ288" t="s" s="0">
        <v>181</v>
      </c>
      <c r="BA288" t="s" s="0">
        <v>1238</v>
      </c>
      <c r="BB288" t="s" s="0">
        <v>81</v>
      </c>
      <c r="BC288" t="s" s="0">
        <v>81</v>
      </c>
      <c r="BD288" t="s" s="0">
        <v>81</v>
      </c>
      <c r="BE288" t="s" s="0">
        <v>81</v>
      </c>
      <c r="BF288" t="s" s="0">
        <v>81</v>
      </c>
      <c r="BG288" t="s" s="0">
        <v>81</v>
      </c>
      <c r="BH288" t="s" s="0">
        <v>81</v>
      </c>
      <c r="BI288" t="s" s="0">
        <v>6890</v>
      </c>
      <c r="BJ288" t="s" s="0">
        <v>6891</v>
      </c>
      <c r="BK288" t="s" s="571">
        <f>HYPERLINK("http://dx.doi.org/10.1016/j.knosys.2023.110834","http://dx.doi.org/10.1016/j.knosys.2023.110834")</f>
        <v>6892</v>
      </c>
      <c r="BL288" t="s" s="0">
        <v>81</v>
      </c>
      <c r="BM288" t="s" s="0">
        <v>864</v>
      </c>
      <c r="BN288" t="s" s="0">
        <v>461</v>
      </c>
      <c r="BO288" t="s" s="0">
        <v>488</v>
      </c>
      <c r="BP288" t="s" s="0">
        <v>250</v>
      </c>
      <c r="BQ288" t="s" s="0">
        <v>6893</v>
      </c>
      <c r="BR288" t="s" s="0">
        <v>81</v>
      </c>
      <c r="BS288" t="s" s="0">
        <v>6894</v>
      </c>
      <c r="BT288" t="s" s="572">
        <f>HYPERLINK("https://www.webofscience.com/wos/woscc/full-record/WOS:001052504400001","View Record in Web of Science")</f>
        <v>123</v>
      </c>
      <c r="BU288" t="s" s="0">
        <v>81</v>
      </c>
      <c r="BV288" t="s" s="0">
        <v>81</v>
      </c>
      <c r="BW288" t="s" s="0">
        <v>81</v>
      </c>
      <c r="BX288" t="s" s="0">
        <v>124</v>
      </c>
    </row>
    <row r="289">
      <c r="A289" t="s" s="0">
        <v>77</v>
      </c>
      <c r="B289" t="s" s="0">
        <v>77</v>
      </c>
      <c r="C289" t="s" s="0">
        <v>77</v>
      </c>
      <c r="D289" t="s" s="0">
        <v>77</v>
      </c>
      <c r="E289" t="s" s="0">
        <v>6895</v>
      </c>
      <c r="F289" t="s" s="0">
        <v>6896</v>
      </c>
      <c r="G289" t="s" s="0">
        <v>6897</v>
      </c>
      <c r="H289" t="s" s="0">
        <v>81</v>
      </c>
      <c r="I289" t="s" s="0">
        <v>82</v>
      </c>
      <c r="J289" t="s" s="0">
        <v>6898</v>
      </c>
      <c r="K289" t="s" s="0">
        <v>6899</v>
      </c>
      <c r="L289" t="s" s="0">
        <v>6900</v>
      </c>
      <c r="M289" t="s" s="0">
        <v>6901</v>
      </c>
      <c r="N289" t="s" s="0">
        <v>6902</v>
      </c>
      <c r="O289" t="s" s="0">
        <v>6903</v>
      </c>
      <c r="P289" t="s" s="0">
        <v>4158</v>
      </c>
      <c r="Q289" t="s" s="0">
        <v>90</v>
      </c>
      <c r="R289" t="s" s="0">
        <v>81</v>
      </c>
      <c r="S289" t="s" s="0">
        <v>81</v>
      </c>
      <c r="T289" t="s" s="0">
        <v>81</v>
      </c>
      <c r="U289" t="s" s="0">
        <v>81</v>
      </c>
      <c r="V289" t="s" s="0">
        <v>6904</v>
      </c>
      <c r="W289" t="s" s="0">
        <v>6905</v>
      </c>
      <c r="X289" t="s" s="0">
        <v>81</v>
      </c>
      <c r="Y289" t="s" s="0">
        <v>81</v>
      </c>
      <c r="Z289" t="s" s="0">
        <v>93</v>
      </c>
      <c r="AA289" t="s" s="0">
        <v>94</v>
      </c>
      <c r="AB289" t="s" s="0">
        <v>81</v>
      </c>
      <c r="AC289" t="s" s="0">
        <v>81</v>
      </c>
      <c r="AD289" t="s" s="0">
        <v>81</v>
      </c>
      <c r="AE289" t="s" s="0">
        <v>81</v>
      </c>
      <c r="AF289" t="s" s="0">
        <v>81</v>
      </c>
      <c r="AG289" t="s" s="0">
        <v>6906</v>
      </c>
      <c r="AH289" t="s" s="0">
        <v>6907</v>
      </c>
      <c r="AI289" t="s" s="0">
        <v>6908</v>
      </c>
      <c r="AJ289" t="s" s="0">
        <v>6909</v>
      </c>
      <c r="AK289" t="s" s="0">
        <v>81</v>
      </c>
      <c r="AL289" t="s" s="0">
        <v>851</v>
      </c>
      <c r="AM289" t="s" s="0">
        <v>77</v>
      </c>
      <c r="AN289" t="s" s="0">
        <v>77</v>
      </c>
      <c r="AO289" t="s" s="0">
        <v>100</v>
      </c>
      <c r="AP289" t="s" s="0">
        <v>100</v>
      </c>
      <c r="AQ289" t="s" s="0">
        <v>620</v>
      </c>
      <c r="AR289" t="s" s="0">
        <v>621</v>
      </c>
      <c r="AS289" t="s" s="0">
        <v>622</v>
      </c>
      <c r="AT289" t="s" s="0">
        <v>6910</v>
      </c>
      <c r="AU289" t="s" s="0">
        <v>6911</v>
      </c>
      <c r="AV289" t="s" s="0">
        <v>81</v>
      </c>
      <c r="AW289" t="s" s="0">
        <v>6912</v>
      </c>
      <c r="AX289" t="s" s="0">
        <v>6913</v>
      </c>
      <c r="AY289" t="s" s="0">
        <v>822</v>
      </c>
      <c r="AZ289" t="s" s="0">
        <v>212</v>
      </c>
      <c r="BA289" t="s" s="0">
        <v>6914</v>
      </c>
      <c r="BB289" t="s" s="0">
        <v>81</v>
      </c>
      <c r="BC289" t="s" s="0">
        <v>81</v>
      </c>
      <c r="BD289" t="s" s="0">
        <v>81</v>
      </c>
      <c r="BE289" t="s" s="0">
        <v>81</v>
      </c>
      <c r="BF289" t="s" s="0">
        <v>81</v>
      </c>
      <c r="BG289" t="s" s="0">
        <v>81</v>
      </c>
      <c r="BH289" t="s" s="0">
        <v>81</v>
      </c>
      <c r="BI289" t="s" s="0">
        <v>6915</v>
      </c>
      <c r="BJ289" t="s" s="0">
        <v>6916</v>
      </c>
      <c r="BK289" t="s" s="573">
        <f>HYPERLINK("http://dx.doi.org/10.1016/j.optlastec.2026.115330","http://dx.doi.org/10.1016/j.optlastec.2026.115330")</f>
        <v>6917</v>
      </c>
      <c r="BL289" t="s" s="0">
        <v>81</v>
      </c>
      <c r="BM289" t="s" s="0">
        <v>1174</v>
      </c>
      <c r="BN289" t="s" s="0">
        <v>117</v>
      </c>
      <c r="BO289" t="s" s="0">
        <v>6918</v>
      </c>
      <c r="BP289" t="s" s="0">
        <v>6919</v>
      </c>
      <c r="BQ289" t="s" s="0">
        <v>6920</v>
      </c>
      <c r="BR289" t="s" s="0">
        <v>81</v>
      </c>
      <c r="BS289" t="s" s="0">
        <v>6921</v>
      </c>
      <c r="BT289" t="s" s="574">
        <f>HYPERLINK("https://www.webofscience.com/wos/woscc/full-record/WOS:001762117600001","View Record in Web of Science")</f>
        <v>123</v>
      </c>
      <c r="BU289" t="s" s="0">
        <v>81</v>
      </c>
      <c r="BV289" t="s" s="0">
        <v>81</v>
      </c>
      <c r="BW289" t="s" s="0">
        <v>81</v>
      </c>
      <c r="BX289" t="s" s="0">
        <v>124</v>
      </c>
    </row>
    <row r="290">
      <c r="A290" t="s" s="0">
        <v>137</v>
      </c>
      <c r="B290" t="s" s="0">
        <v>77</v>
      </c>
      <c r="C290" t="s" s="0">
        <v>158</v>
      </c>
      <c r="D290" t="s" s="0">
        <v>77</v>
      </c>
      <c r="E290" t="s" s="0">
        <v>6922</v>
      </c>
      <c r="F290" t="s" s="0">
        <v>6923</v>
      </c>
      <c r="G290" t="s" s="0">
        <v>6924</v>
      </c>
      <c r="H290" t="s" s="0">
        <v>81</v>
      </c>
      <c r="I290" t="s" s="0">
        <v>82</v>
      </c>
      <c r="J290" t="s" s="0">
        <v>6925</v>
      </c>
      <c r="K290" t="s" s="0">
        <v>6926</v>
      </c>
      <c r="L290" t="s" s="0">
        <v>6927</v>
      </c>
      <c r="M290" t="s" s="0">
        <v>6928</v>
      </c>
      <c r="N290" t="s" s="0">
        <v>6929</v>
      </c>
      <c r="O290" t="s" s="0">
        <v>6930</v>
      </c>
      <c r="P290" t="s" s="0">
        <v>6931</v>
      </c>
      <c r="Q290" t="s" s="0">
        <v>90</v>
      </c>
      <c r="R290" t="s" s="0">
        <v>81</v>
      </c>
      <c r="S290" t="s" s="0">
        <v>81</v>
      </c>
      <c r="T290" t="s" s="0">
        <v>81</v>
      </c>
      <c r="U290" t="s" s="0">
        <v>81</v>
      </c>
      <c r="V290" t="s" s="0">
        <v>6932</v>
      </c>
      <c r="W290" t="s" s="0">
        <v>6933</v>
      </c>
      <c r="X290" t="s" s="0">
        <v>81</v>
      </c>
      <c r="Y290" t="s" s="0">
        <v>81</v>
      </c>
      <c r="Z290" t="s" s="0">
        <v>93</v>
      </c>
      <c r="AA290" t="s" s="0">
        <v>94</v>
      </c>
      <c r="AB290" t="s" s="0">
        <v>81</v>
      </c>
      <c r="AC290" t="s" s="0">
        <v>81</v>
      </c>
      <c r="AD290" t="s" s="0">
        <v>81</v>
      </c>
      <c r="AE290" t="s" s="0">
        <v>81</v>
      </c>
      <c r="AF290" t="s" s="0">
        <v>81</v>
      </c>
      <c r="AG290" t="s" s="0">
        <v>6934</v>
      </c>
      <c r="AH290" t="s" s="0">
        <v>6935</v>
      </c>
      <c r="AI290" t="s" s="0">
        <v>6936</v>
      </c>
      <c r="AJ290" t="s" s="0">
        <v>6937</v>
      </c>
      <c r="AK290" t="s" s="0">
        <v>81</v>
      </c>
      <c r="AL290" t="s" s="0">
        <v>2596</v>
      </c>
      <c r="AM290" t="s" s="0">
        <v>152</v>
      </c>
      <c r="AN290" t="s" s="0">
        <v>117</v>
      </c>
      <c r="AO290" t="s" s="0">
        <v>100</v>
      </c>
      <c r="AP290" t="s" s="0">
        <v>6938</v>
      </c>
      <c r="AQ290" t="s" s="0">
        <v>421</v>
      </c>
      <c r="AR290" t="s" s="0">
        <v>422</v>
      </c>
      <c r="AS290" t="s" s="0">
        <v>423</v>
      </c>
      <c r="AT290" t="s" s="0">
        <v>6939</v>
      </c>
      <c r="AU290" t="s" s="0">
        <v>81</v>
      </c>
      <c r="AV290" t="s" s="0">
        <v>81</v>
      </c>
      <c r="AW290" t="s" s="0">
        <v>6940</v>
      </c>
      <c r="AX290" t="s" s="0">
        <v>6941</v>
      </c>
      <c r="AY290" t="s" s="0">
        <v>6942</v>
      </c>
      <c r="AZ290" t="s" s="0">
        <v>181</v>
      </c>
      <c r="BA290" t="s" s="0">
        <v>213</v>
      </c>
      <c r="BB290" t="s" s="0">
        <v>81</v>
      </c>
      <c r="BC290" t="s" s="0">
        <v>81</v>
      </c>
      <c r="BD290" t="s" s="0">
        <v>81</v>
      </c>
      <c r="BE290" t="s" s="0">
        <v>81</v>
      </c>
      <c r="BF290" t="s" s="0">
        <v>81</v>
      </c>
      <c r="BG290" t="s" s="0">
        <v>81</v>
      </c>
      <c r="BH290" t="s" s="0">
        <v>81</v>
      </c>
      <c r="BI290" t="s" s="0">
        <v>6943</v>
      </c>
      <c r="BJ290" t="s" s="0">
        <v>6944</v>
      </c>
      <c r="BK290" t="s" s="575">
        <f>HYPERLINK("http://dx.doi.org/10.3389/fpls.2023.1280365","http://dx.doi.org/10.3389/fpls.2023.1280365")</f>
        <v>6945</v>
      </c>
      <c r="BL290" t="s" s="0">
        <v>81</v>
      </c>
      <c r="BM290" t="s" s="0">
        <v>81</v>
      </c>
      <c r="BN290" t="s" s="0">
        <v>102</v>
      </c>
      <c r="BO290" t="s" s="0">
        <v>6946</v>
      </c>
      <c r="BP290" t="s" s="0">
        <v>6946</v>
      </c>
      <c r="BQ290" t="s" s="0">
        <v>6947</v>
      </c>
      <c r="BR290" t="s" s="0">
        <v>6948</v>
      </c>
      <c r="BS290" t="s" s="0">
        <v>6949</v>
      </c>
      <c r="BT290" t="s" s="576">
        <f>HYPERLINK("https://www.webofscience.com/wos/woscc/full-record/WOS:001118575000001","View Record in Web of Science")</f>
        <v>123</v>
      </c>
      <c r="BU290" t="s" s="0">
        <v>191</v>
      </c>
      <c r="BV290" t="s" s="0">
        <v>81</v>
      </c>
      <c r="BW290" t="s" s="0">
        <v>81</v>
      </c>
      <c r="BX290" t="s" s="0">
        <v>124</v>
      </c>
    </row>
    <row r="291">
      <c r="A291" t="s" s="0">
        <v>77</v>
      </c>
      <c r="B291" t="s" s="0">
        <v>77</v>
      </c>
      <c r="C291" t="s" s="0">
        <v>101</v>
      </c>
      <c r="D291" t="s" s="0">
        <v>77</v>
      </c>
      <c r="E291" t="s" s="0">
        <v>6950</v>
      </c>
      <c r="F291" t="s" s="0">
        <v>6951</v>
      </c>
      <c r="G291" t="s" s="0">
        <v>6952</v>
      </c>
      <c r="H291" t="s" s="0">
        <v>81</v>
      </c>
      <c r="I291" t="s" s="0">
        <v>82</v>
      </c>
      <c r="J291" t="s" s="0">
        <v>6953</v>
      </c>
      <c r="K291" t="s" s="0">
        <v>6954</v>
      </c>
      <c r="L291" t="s" s="0">
        <v>6955</v>
      </c>
      <c r="M291" t="s" s="0">
        <v>6955</v>
      </c>
      <c r="N291" t="s" s="0">
        <v>6956</v>
      </c>
      <c r="O291" t="s" s="0">
        <v>6957</v>
      </c>
      <c r="P291" t="s" s="0">
        <v>6958</v>
      </c>
      <c r="Q291" t="s" s="0">
        <v>90</v>
      </c>
      <c r="R291" t="s" s="0">
        <v>81</v>
      </c>
      <c r="S291" t="s" s="0">
        <v>81</v>
      </c>
      <c r="T291" t="s" s="0">
        <v>81</v>
      </c>
      <c r="U291" t="s" s="0">
        <v>81</v>
      </c>
      <c r="V291" t="s" s="0">
        <v>6959</v>
      </c>
      <c r="W291" t="s" s="0">
        <v>92</v>
      </c>
      <c r="X291" t="s" s="0">
        <v>81</v>
      </c>
      <c r="Y291" t="s" s="0">
        <v>81</v>
      </c>
      <c r="Z291" t="s" s="0">
        <v>93</v>
      </c>
      <c r="AA291" t="s" s="0">
        <v>94</v>
      </c>
      <c r="AB291" t="s" s="0">
        <v>81</v>
      </c>
      <c r="AC291" t="s" s="0">
        <v>81</v>
      </c>
      <c r="AD291" t="s" s="0">
        <v>81</v>
      </c>
      <c r="AE291" t="s" s="0">
        <v>81</v>
      </c>
      <c r="AF291" t="s" s="0">
        <v>81</v>
      </c>
      <c r="AG291" t="s" s="0">
        <v>6960</v>
      </c>
      <c r="AH291" t="s" s="0">
        <v>6961</v>
      </c>
      <c r="AI291" t="s" s="0">
        <v>6962</v>
      </c>
      <c r="AJ291" t="s" s="0">
        <v>6963</v>
      </c>
      <c r="AK291" t="s" s="0">
        <v>81</v>
      </c>
      <c r="AL291" t="s" s="0">
        <v>732</v>
      </c>
      <c r="AM291" t="s" s="0">
        <v>461</v>
      </c>
      <c r="AN291" t="s" s="0">
        <v>652</v>
      </c>
      <c r="AO291" t="s" s="0">
        <v>301</v>
      </c>
      <c r="AP291" t="s" s="0">
        <v>566</v>
      </c>
      <c r="AQ291" t="s" s="0">
        <v>103</v>
      </c>
      <c r="AR291" t="s" s="0">
        <v>104</v>
      </c>
      <c r="AS291" t="s" s="0">
        <v>105</v>
      </c>
      <c r="AT291" t="s" s="0">
        <v>106</v>
      </c>
      <c r="AU291" t="s" s="0">
        <v>107</v>
      </c>
      <c r="AV291" t="s" s="0">
        <v>81</v>
      </c>
      <c r="AW291" t="s" s="0">
        <v>108</v>
      </c>
      <c r="AX291" t="s" s="0">
        <v>109</v>
      </c>
      <c r="AY291" t="s" s="0">
        <v>2431</v>
      </c>
      <c r="AZ291" t="s" s="0">
        <v>309</v>
      </c>
      <c r="BA291" t="s" s="0">
        <v>6964</v>
      </c>
      <c r="BB291" t="s" s="0">
        <v>81</v>
      </c>
      <c r="BC291" t="s" s="0">
        <v>81</v>
      </c>
      <c r="BD291" t="s" s="0">
        <v>81</v>
      </c>
      <c r="BE291" t="s" s="0">
        <v>81</v>
      </c>
      <c r="BF291" t="s" s="0">
        <v>81</v>
      </c>
      <c r="BG291" t="s" s="0">
        <v>81</v>
      </c>
      <c r="BH291" t="s" s="0">
        <v>81</v>
      </c>
      <c r="BI291" t="s" s="0">
        <v>6965</v>
      </c>
      <c r="BJ291" t="s" s="0">
        <v>6966</v>
      </c>
      <c r="BK291" t="s" s="577">
        <f>HYPERLINK("http://dx.doi.org/10.1016/j.cmpb.2024.108455","http://dx.doi.org/10.1016/j.cmpb.2024.108455")</f>
        <v>6967</v>
      </c>
      <c r="BL291" t="s" s="0">
        <v>81</v>
      </c>
      <c r="BM291" t="s" s="0">
        <v>1335</v>
      </c>
      <c r="BN291" t="s" s="0">
        <v>152</v>
      </c>
      <c r="BO291" t="s" s="0">
        <v>118</v>
      </c>
      <c r="BP291" t="s" s="0">
        <v>119</v>
      </c>
      <c r="BQ291" t="s" s="0">
        <v>6968</v>
      </c>
      <c r="BR291" t="s" s="0">
        <v>6969</v>
      </c>
      <c r="BS291" t="s" s="0">
        <v>6970</v>
      </c>
      <c r="BT291" t="s" s="578">
        <f>HYPERLINK("https://www.webofscience.com/wos/woscc/full-record/WOS:001343733800001","View Record in Web of Science")</f>
        <v>123</v>
      </c>
      <c r="BU291" t="s" s="0">
        <v>81</v>
      </c>
      <c r="BV291" t="s" s="0">
        <v>81</v>
      </c>
      <c r="BW291" t="s" s="0">
        <v>81</v>
      </c>
      <c r="BX291" t="s" s="0">
        <v>124</v>
      </c>
    </row>
    <row r="292">
      <c r="A292" t="s" s="0">
        <v>77</v>
      </c>
      <c r="B292" t="s" s="0">
        <v>77</v>
      </c>
      <c r="C292" t="s" s="0">
        <v>100</v>
      </c>
      <c r="D292" t="s" s="0">
        <v>77</v>
      </c>
      <c r="E292" t="s" s="0">
        <v>6971</v>
      </c>
      <c r="F292" t="s" s="0">
        <v>6972</v>
      </c>
      <c r="G292" t="s" s="0">
        <v>6973</v>
      </c>
      <c r="H292" t="s" s="0">
        <v>81</v>
      </c>
      <c r="I292" t="s" s="0">
        <v>82</v>
      </c>
      <c r="J292" t="s" s="0">
        <v>6974</v>
      </c>
      <c r="K292" t="s" s="0">
        <v>6975</v>
      </c>
      <c r="L292" t="s" s="0">
        <v>6976</v>
      </c>
      <c r="M292" t="s" s="0">
        <v>6977</v>
      </c>
      <c r="N292" t="s" s="0">
        <v>6978</v>
      </c>
      <c r="O292" t="s" s="0">
        <v>6979</v>
      </c>
      <c r="P292" t="s" s="0">
        <v>6980</v>
      </c>
      <c r="Q292" t="s" s="0">
        <v>90</v>
      </c>
      <c r="R292" t="s" s="0">
        <v>81</v>
      </c>
      <c r="S292" t="s" s="0">
        <v>81</v>
      </c>
      <c r="T292" t="s" s="0">
        <v>81</v>
      </c>
      <c r="U292" t="s" s="0">
        <v>81</v>
      </c>
      <c r="V292" t="s" s="0">
        <v>6981</v>
      </c>
      <c r="W292" t="s" s="0">
        <v>6982</v>
      </c>
      <c r="X292" t="s" s="0">
        <v>81</v>
      </c>
      <c r="Y292" t="s" s="0">
        <v>81</v>
      </c>
      <c r="Z292" t="s" s="0">
        <v>93</v>
      </c>
      <c r="AA292" t="s" s="0">
        <v>94</v>
      </c>
      <c r="AB292" t="s" s="0">
        <v>81</v>
      </c>
      <c r="AC292" t="s" s="0">
        <v>81</v>
      </c>
      <c r="AD292" t="s" s="0">
        <v>81</v>
      </c>
      <c r="AE292" t="s" s="0">
        <v>81</v>
      </c>
      <c r="AF292" t="s" s="0">
        <v>81</v>
      </c>
      <c r="AG292" t="s" s="0">
        <v>6983</v>
      </c>
      <c r="AH292" t="s" s="0">
        <v>6984</v>
      </c>
      <c r="AI292" t="s" s="0">
        <v>6985</v>
      </c>
      <c r="AJ292" t="s" s="0">
        <v>81</v>
      </c>
      <c r="AK292" t="s" s="0">
        <v>81</v>
      </c>
      <c r="AL292" t="s" s="0">
        <v>2596</v>
      </c>
      <c r="AM292" t="s" s="0">
        <v>100</v>
      </c>
      <c r="AN292" t="s" s="0">
        <v>100</v>
      </c>
      <c r="AO292" t="s" s="0">
        <v>275</v>
      </c>
      <c r="AP292" t="s" s="0">
        <v>171</v>
      </c>
      <c r="AQ292" t="s" s="0">
        <v>140</v>
      </c>
      <c r="AR292" t="s" s="0">
        <v>141</v>
      </c>
      <c r="AS292" t="s" s="0">
        <v>142</v>
      </c>
      <c r="AT292" t="s" s="0">
        <v>81</v>
      </c>
      <c r="AU292" t="s" s="0">
        <v>6986</v>
      </c>
      <c r="AV292" t="s" s="0">
        <v>81</v>
      </c>
      <c r="AW292" t="s" s="0">
        <v>6987</v>
      </c>
      <c r="AX292" t="s" s="0">
        <v>6988</v>
      </c>
      <c r="AY292" t="s" s="0">
        <v>212</v>
      </c>
      <c r="AZ292" t="s" s="0">
        <v>212</v>
      </c>
      <c r="BA292" t="s" s="0">
        <v>182</v>
      </c>
      <c r="BB292" t="s" s="0">
        <v>81</v>
      </c>
      <c r="BC292" t="s" s="0">
        <v>81</v>
      </c>
      <c r="BD292" t="s" s="0">
        <v>81</v>
      </c>
      <c r="BE292" t="s" s="0">
        <v>81</v>
      </c>
      <c r="BF292" t="s" s="0">
        <v>81</v>
      </c>
      <c r="BG292" t="s" s="0">
        <v>81</v>
      </c>
      <c r="BH292" t="s" s="0">
        <v>81</v>
      </c>
      <c r="BI292" t="s" s="0">
        <v>6989</v>
      </c>
      <c r="BJ292" t="s" s="0">
        <v>6990</v>
      </c>
      <c r="BK292" t="s" s="579">
        <f>HYPERLINK("http://dx.doi.org/10.1016/j.crfs.2025.101269","http://dx.doi.org/10.1016/j.crfs.2025.101269")</f>
        <v>6991</v>
      </c>
      <c r="BL292" t="s" s="0">
        <v>81</v>
      </c>
      <c r="BM292" t="s" s="0">
        <v>1283</v>
      </c>
      <c r="BN292" t="s" s="0">
        <v>213</v>
      </c>
      <c r="BO292" t="s" s="0">
        <v>5263</v>
      </c>
      <c r="BP292" t="s" s="0">
        <v>5263</v>
      </c>
      <c r="BQ292" t="s" s="0">
        <v>6992</v>
      </c>
      <c r="BR292" t="s" s="0">
        <v>6993</v>
      </c>
      <c r="BS292" t="s" s="0">
        <v>6994</v>
      </c>
      <c r="BT292" t="s" s="580">
        <f>HYPERLINK("https://www.webofscience.com/wos/woscc/full-record/WOS:001638869800001","View Record in Web of Science")</f>
        <v>123</v>
      </c>
      <c r="BU292" t="s" s="0">
        <v>191</v>
      </c>
      <c r="BV292" t="s" s="0">
        <v>81</v>
      </c>
      <c r="BW292" t="s" s="0">
        <v>81</v>
      </c>
      <c r="BX292" t="s" s="0">
        <v>124</v>
      </c>
    </row>
    <row r="293">
      <c r="A293" t="s" s="0">
        <v>77</v>
      </c>
      <c r="B293" t="s" s="0">
        <v>77</v>
      </c>
      <c r="C293" t="s" s="0">
        <v>77</v>
      </c>
      <c r="D293" t="s" s="0">
        <v>77</v>
      </c>
      <c r="E293" t="s" s="0">
        <v>6995</v>
      </c>
      <c r="F293" t="s" s="0">
        <v>6996</v>
      </c>
      <c r="G293" t="s" s="0">
        <v>6997</v>
      </c>
      <c r="H293" t="s" s="0">
        <v>81</v>
      </c>
      <c r="I293" t="s" s="0">
        <v>82</v>
      </c>
      <c r="J293" t="s" s="0">
        <v>6998</v>
      </c>
      <c r="K293" t="s" s="0">
        <v>6999</v>
      </c>
      <c r="L293" t="s" s="0">
        <v>7000</v>
      </c>
      <c r="M293" t="s" s="0">
        <v>7001</v>
      </c>
      <c r="N293" t="s" s="0">
        <v>7002</v>
      </c>
      <c r="O293" t="s" s="0">
        <v>7003</v>
      </c>
      <c r="P293" t="s" s="0">
        <v>7004</v>
      </c>
      <c r="Q293" t="s" s="0">
        <v>90</v>
      </c>
      <c r="R293" t="s" s="0">
        <v>81</v>
      </c>
      <c r="S293" t="s" s="0">
        <v>81</v>
      </c>
      <c r="T293" t="s" s="0">
        <v>81</v>
      </c>
      <c r="U293" t="s" s="0">
        <v>81</v>
      </c>
      <c r="V293" t="s" s="0">
        <v>7005</v>
      </c>
      <c r="W293" t="s" s="0">
        <v>7006</v>
      </c>
      <c r="X293" t="s" s="0">
        <v>81</v>
      </c>
      <c r="Y293" t="s" s="0">
        <v>81</v>
      </c>
      <c r="Z293" t="s" s="0">
        <v>93</v>
      </c>
      <c r="AA293" t="s" s="0">
        <v>94</v>
      </c>
      <c r="AB293" t="s" s="0">
        <v>81</v>
      </c>
      <c r="AC293" t="s" s="0">
        <v>81</v>
      </c>
      <c r="AD293" t="s" s="0">
        <v>81</v>
      </c>
      <c r="AE293" t="s" s="0">
        <v>81</v>
      </c>
      <c r="AF293" t="s" s="0">
        <v>81</v>
      </c>
      <c r="AG293" t="s" s="0">
        <v>7007</v>
      </c>
      <c r="AH293" t="s" s="0">
        <v>7008</v>
      </c>
      <c r="AI293" t="s" s="0">
        <v>7009</v>
      </c>
      <c r="AJ293" t="s" s="0">
        <v>7010</v>
      </c>
      <c r="AK293" t="s" s="0">
        <v>81</v>
      </c>
      <c r="AL293" t="s" s="0">
        <v>1331</v>
      </c>
      <c r="AM293" t="s" s="0">
        <v>301</v>
      </c>
      <c r="AN293" t="s" s="0">
        <v>301</v>
      </c>
      <c r="AO293" t="s" s="0">
        <v>399</v>
      </c>
      <c r="AP293" t="s" s="0">
        <v>513</v>
      </c>
      <c r="AQ293" t="s" s="0">
        <v>620</v>
      </c>
      <c r="AR293" t="s" s="0">
        <v>621</v>
      </c>
      <c r="AS293" t="s" s="0">
        <v>622</v>
      </c>
      <c r="AT293" t="s" s="0">
        <v>7011</v>
      </c>
      <c r="AU293" t="s" s="0">
        <v>7012</v>
      </c>
      <c r="AV293" t="s" s="0">
        <v>81</v>
      </c>
      <c r="AW293" t="s" s="0">
        <v>7013</v>
      </c>
      <c r="AX293" t="s" s="0">
        <v>7014</v>
      </c>
      <c r="AY293" t="s" s="0">
        <v>547</v>
      </c>
      <c r="AZ293" t="s" s="0">
        <v>111</v>
      </c>
      <c r="BA293" t="s" s="0">
        <v>7015</v>
      </c>
      <c r="BB293" t="s" s="0">
        <v>81</v>
      </c>
      <c r="BC293" t="s" s="0">
        <v>81</v>
      </c>
      <c r="BD293" t="s" s="0">
        <v>81</v>
      </c>
      <c r="BE293" t="s" s="0">
        <v>81</v>
      </c>
      <c r="BF293" t="s" s="0">
        <v>81</v>
      </c>
      <c r="BG293" t="s" s="0">
        <v>81</v>
      </c>
      <c r="BH293" t="s" s="0">
        <v>81</v>
      </c>
      <c r="BI293" t="s" s="0">
        <v>7016</v>
      </c>
      <c r="BJ293" t="s" s="0">
        <v>7017</v>
      </c>
      <c r="BK293" t="s" s="581">
        <f>HYPERLINK("http://dx.doi.org/10.1016/j.compag.2025.110391","http://dx.doi.org/10.1016/j.compag.2025.110391")</f>
        <v>7018</v>
      </c>
      <c r="BL293" t="s" s="0">
        <v>81</v>
      </c>
      <c r="BM293" t="s" s="0">
        <v>1861</v>
      </c>
      <c r="BN293" t="s" s="0">
        <v>1443</v>
      </c>
      <c r="BO293" t="s" s="0">
        <v>7019</v>
      </c>
      <c r="BP293" t="s" s="0">
        <v>7020</v>
      </c>
      <c r="BQ293" t="s" s="0">
        <v>7021</v>
      </c>
      <c r="BR293" t="s" s="0">
        <v>81</v>
      </c>
      <c r="BS293" t="s" s="0">
        <v>7022</v>
      </c>
      <c r="BT293" t="s" s="582">
        <f>HYPERLINK("https://www.webofscience.com/wos/woscc/full-record/WOS:001470845300001","View Record in Web of Science")</f>
        <v>123</v>
      </c>
      <c r="BU293" t="s" s="0">
        <v>81</v>
      </c>
      <c r="BV293" t="s" s="0">
        <v>81</v>
      </c>
      <c r="BW293" t="s" s="0">
        <v>81</v>
      </c>
      <c r="BX293" t="s" s="0">
        <v>124</v>
      </c>
    </row>
    <row r="294"/>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 ref="BK62" r:id="rId121"/>
    <hyperlink ref="BT62" r:id="rId122"/>
    <hyperlink ref="BK63" r:id="rId123"/>
    <hyperlink ref="BT63" r:id="rId124"/>
    <hyperlink ref="BK64" r:id="rId125"/>
    <hyperlink ref="BT64" r:id="rId126"/>
    <hyperlink ref="BK65" r:id="rId127"/>
    <hyperlink ref="BT65" r:id="rId128"/>
    <hyperlink ref="BK66" r:id="rId129"/>
    <hyperlink ref="BT66" r:id="rId130"/>
    <hyperlink ref="BK67" r:id="rId131"/>
    <hyperlink ref="BT67" r:id="rId132"/>
    <hyperlink ref="BK68" r:id="rId133"/>
    <hyperlink ref="BT68" r:id="rId134"/>
    <hyperlink ref="BK69" r:id="rId135"/>
    <hyperlink ref="BT69" r:id="rId136"/>
    <hyperlink ref="BK70" r:id="rId137"/>
    <hyperlink ref="BT70" r:id="rId138"/>
    <hyperlink ref="BK71" r:id="rId139"/>
    <hyperlink ref="BT71" r:id="rId140"/>
    <hyperlink ref="BK72" r:id="rId141"/>
    <hyperlink ref="BT72" r:id="rId142"/>
    <hyperlink ref="BK73" r:id="rId143"/>
    <hyperlink ref="BT73" r:id="rId144"/>
    <hyperlink ref="BK74" r:id="rId145"/>
    <hyperlink ref="BT74" r:id="rId146"/>
    <hyperlink ref="BK75" r:id="rId147"/>
    <hyperlink ref="BT75" r:id="rId148"/>
    <hyperlink ref="BK76" r:id="rId149"/>
    <hyperlink ref="BT76" r:id="rId150"/>
    <hyperlink ref="BK77" r:id="rId151"/>
    <hyperlink ref="BT77" r:id="rId152"/>
    <hyperlink ref="BK78" r:id="rId153"/>
    <hyperlink ref="BT78" r:id="rId154"/>
    <hyperlink ref="BK79" r:id="rId155"/>
    <hyperlink ref="BT79" r:id="rId156"/>
    <hyperlink ref="BK80" r:id="rId157"/>
    <hyperlink ref="BT80" r:id="rId158"/>
    <hyperlink ref="BK81" r:id="rId159"/>
    <hyperlink ref="BT81" r:id="rId160"/>
    <hyperlink ref="BK82" r:id="rId161"/>
    <hyperlink ref="BT82" r:id="rId162"/>
    <hyperlink ref="BK83" r:id="rId163"/>
    <hyperlink ref="BT83" r:id="rId164"/>
    <hyperlink ref="BK84" r:id="rId165"/>
    <hyperlink ref="BT84" r:id="rId166"/>
    <hyperlink ref="BK85" r:id="rId167"/>
    <hyperlink ref="BT85" r:id="rId168"/>
    <hyperlink ref="BK86" r:id="rId169"/>
    <hyperlink ref="BT86" r:id="rId170"/>
    <hyperlink ref="BK87" r:id="rId171"/>
    <hyperlink ref="BT87" r:id="rId172"/>
    <hyperlink ref="BK88" r:id="rId173"/>
    <hyperlink ref="BT88" r:id="rId174"/>
    <hyperlink ref="BK89" r:id="rId175"/>
    <hyperlink ref="BT89" r:id="rId176"/>
    <hyperlink ref="BK90" r:id="rId177"/>
    <hyperlink ref="BT90" r:id="rId178"/>
    <hyperlink ref="BK91" r:id="rId179"/>
    <hyperlink ref="BT91" r:id="rId180"/>
    <hyperlink ref="BK92" r:id="rId181"/>
    <hyperlink ref="BT92" r:id="rId182"/>
    <hyperlink ref="BK93" r:id="rId183"/>
    <hyperlink ref="BT93" r:id="rId184"/>
    <hyperlink ref="BK94" r:id="rId185"/>
    <hyperlink ref="BT94" r:id="rId186"/>
    <hyperlink ref="BK95" r:id="rId187"/>
    <hyperlink ref="BT95" r:id="rId188"/>
    <hyperlink ref="BK96" r:id="rId189"/>
    <hyperlink ref="BT96" r:id="rId190"/>
    <hyperlink ref="BK97" r:id="rId191"/>
    <hyperlink ref="BT97" r:id="rId192"/>
    <hyperlink ref="BK98" r:id="rId193"/>
    <hyperlink ref="BT98" r:id="rId194"/>
    <hyperlink ref="BK99" r:id="rId195"/>
    <hyperlink ref="BT99" r:id="rId196"/>
    <hyperlink ref="BK100" r:id="rId197"/>
    <hyperlink ref="BT100" r:id="rId198"/>
    <hyperlink ref="BK101" r:id="rId199"/>
    <hyperlink ref="BT101" r:id="rId200"/>
    <hyperlink ref="BK102" r:id="rId201"/>
    <hyperlink ref="BT102" r:id="rId202"/>
    <hyperlink ref="BK103" r:id="rId203"/>
    <hyperlink ref="BT103" r:id="rId204"/>
    <hyperlink ref="BK104" r:id="rId205"/>
    <hyperlink ref="BT104" r:id="rId206"/>
    <hyperlink ref="BK105" r:id="rId207"/>
    <hyperlink ref="BT105" r:id="rId208"/>
    <hyperlink ref="BK106" r:id="rId209"/>
    <hyperlink ref="BT106" r:id="rId210"/>
    <hyperlink ref="BK107" r:id="rId211"/>
    <hyperlink ref="BT107" r:id="rId212"/>
    <hyperlink ref="BK108" r:id="rId213"/>
    <hyperlink ref="BT108" r:id="rId214"/>
    <hyperlink ref="BK109" r:id="rId215"/>
    <hyperlink ref="BT109" r:id="rId216"/>
    <hyperlink ref="BK110" r:id="rId217"/>
    <hyperlink ref="BT110" r:id="rId218"/>
    <hyperlink ref="BK111" r:id="rId219"/>
    <hyperlink ref="BT111" r:id="rId220"/>
    <hyperlink ref="BK112" r:id="rId221"/>
    <hyperlink ref="BT112" r:id="rId222"/>
    <hyperlink ref="BK113" r:id="rId223"/>
    <hyperlink ref="BT113" r:id="rId224"/>
    <hyperlink ref="BK114" r:id="rId225"/>
    <hyperlink ref="BT114" r:id="rId226"/>
    <hyperlink ref="BK115" r:id="rId227"/>
    <hyperlink ref="BT115" r:id="rId228"/>
    <hyperlink ref="BK116" r:id="rId229"/>
    <hyperlink ref="BT116" r:id="rId230"/>
    <hyperlink ref="BK117" r:id="rId231"/>
    <hyperlink ref="BT117" r:id="rId232"/>
    <hyperlink ref="BK118" r:id="rId233"/>
    <hyperlink ref="BT118" r:id="rId234"/>
    <hyperlink ref="BK119" r:id="rId235"/>
    <hyperlink ref="BT119" r:id="rId236"/>
    <hyperlink ref="BK120" r:id="rId237"/>
    <hyperlink ref="BT120" r:id="rId238"/>
    <hyperlink ref="BK121" r:id="rId239"/>
    <hyperlink ref="BT121" r:id="rId240"/>
    <hyperlink ref="BK122" r:id="rId241"/>
    <hyperlink ref="BT122" r:id="rId242"/>
    <hyperlink ref="BK123" r:id="rId243"/>
    <hyperlink ref="BT123" r:id="rId244"/>
    <hyperlink ref="BK124" r:id="rId245"/>
    <hyperlink ref="BT124" r:id="rId246"/>
    <hyperlink ref="BK125" r:id="rId247"/>
    <hyperlink ref="BT125" r:id="rId248"/>
    <hyperlink ref="BK126" r:id="rId249"/>
    <hyperlink ref="BT126" r:id="rId250"/>
    <hyperlink ref="BK127" r:id="rId251"/>
    <hyperlink ref="BT127" r:id="rId252"/>
    <hyperlink ref="BT128" r:id="rId253"/>
    <hyperlink ref="BK129" r:id="rId254"/>
    <hyperlink ref="BT129" r:id="rId255"/>
    <hyperlink ref="BK130" r:id="rId256"/>
    <hyperlink ref="BT130" r:id="rId257"/>
    <hyperlink ref="BK131" r:id="rId258"/>
    <hyperlink ref="BT131" r:id="rId259"/>
    <hyperlink ref="BK132" r:id="rId260"/>
    <hyperlink ref="BT132" r:id="rId261"/>
    <hyperlink ref="BK133" r:id="rId262"/>
    <hyperlink ref="BT133" r:id="rId263"/>
    <hyperlink ref="BK134" r:id="rId264"/>
    <hyperlink ref="BT134" r:id="rId265"/>
    <hyperlink ref="BK135" r:id="rId266"/>
    <hyperlink ref="BT135" r:id="rId267"/>
    <hyperlink ref="BK136" r:id="rId268"/>
    <hyperlink ref="BT136" r:id="rId269"/>
    <hyperlink ref="BK137" r:id="rId270"/>
    <hyperlink ref="BT137" r:id="rId271"/>
    <hyperlink ref="BK138" r:id="rId272"/>
    <hyperlink ref="BT138" r:id="rId273"/>
    <hyperlink ref="BK139" r:id="rId274"/>
    <hyperlink ref="BT139" r:id="rId275"/>
    <hyperlink ref="BK140" r:id="rId276"/>
    <hyperlink ref="BT140" r:id="rId277"/>
    <hyperlink ref="BK141" r:id="rId278"/>
    <hyperlink ref="BT141" r:id="rId279"/>
    <hyperlink ref="BK142" r:id="rId280"/>
    <hyperlink ref="BT142" r:id="rId281"/>
    <hyperlink ref="BK143" r:id="rId282"/>
    <hyperlink ref="BT143" r:id="rId283"/>
    <hyperlink ref="BK144" r:id="rId284"/>
    <hyperlink ref="BT144" r:id="rId285"/>
    <hyperlink ref="BK145" r:id="rId286"/>
    <hyperlink ref="BT145" r:id="rId287"/>
    <hyperlink ref="BK146" r:id="rId288"/>
    <hyperlink ref="BT146" r:id="rId289"/>
    <hyperlink ref="BK147" r:id="rId290"/>
    <hyperlink ref="BT147" r:id="rId291"/>
    <hyperlink ref="BK148" r:id="rId292"/>
    <hyperlink ref="BT148" r:id="rId293"/>
    <hyperlink ref="BK149" r:id="rId294"/>
    <hyperlink ref="BT149" r:id="rId295"/>
    <hyperlink ref="BK150" r:id="rId296"/>
    <hyperlink ref="BT150" r:id="rId297"/>
    <hyperlink ref="BT151" r:id="rId298"/>
    <hyperlink ref="BK152" r:id="rId299"/>
    <hyperlink ref="BT152" r:id="rId300"/>
    <hyperlink ref="BK153" r:id="rId301"/>
    <hyperlink ref="BT153" r:id="rId302"/>
    <hyperlink ref="BK154" r:id="rId303"/>
    <hyperlink ref="BT154" r:id="rId304"/>
    <hyperlink ref="BK155" r:id="rId305"/>
    <hyperlink ref="BT155" r:id="rId306"/>
    <hyperlink ref="BK156" r:id="rId307"/>
    <hyperlink ref="BT156" r:id="rId308"/>
    <hyperlink ref="BK157" r:id="rId309"/>
    <hyperlink ref="BT157" r:id="rId310"/>
    <hyperlink ref="BK158" r:id="rId311"/>
    <hyperlink ref="BT158" r:id="rId312"/>
    <hyperlink ref="BK159" r:id="rId313"/>
    <hyperlink ref="BT159" r:id="rId314"/>
    <hyperlink ref="BK160" r:id="rId315"/>
    <hyperlink ref="BT160" r:id="rId316"/>
    <hyperlink ref="BK161" r:id="rId317"/>
    <hyperlink ref="BT161" r:id="rId318"/>
    <hyperlink ref="BK162" r:id="rId319"/>
    <hyperlink ref="BT162" r:id="rId320"/>
    <hyperlink ref="BK163" r:id="rId321"/>
    <hyperlink ref="BT163" r:id="rId322"/>
    <hyperlink ref="BK164" r:id="rId323"/>
    <hyperlink ref="BT164" r:id="rId324"/>
    <hyperlink ref="BK165" r:id="rId325"/>
    <hyperlink ref="BT165" r:id="rId326"/>
    <hyperlink ref="BK166" r:id="rId327"/>
    <hyperlink ref="BT166" r:id="rId328"/>
    <hyperlink ref="BK167" r:id="rId329"/>
    <hyperlink ref="BT167" r:id="rId330"/>
    <hyperlink ref="BK168" r:id="rId331"/>
    <hyperlink ref="BT168" r:id="rId332"/>
    <hyperlink ref="BK169" r:id="rId333"/>
    <hyperlink ref="BT169" r:id="rId334"/>
    <hyperlink ref="BK170" r:id="rId335"/>
    <hyperlink ref="BT170" r:id="rId336"/>
    <hyperlink ref="BK171" r:id="rId337"/>
    <hyperlink ref="BT171" r:id="rId338"/>
    <hyperlink ref="BK172" r:id="rId339"/>
    <hyperlink ref="BT172" r:id="rId340"/>
    <hyperlink ref="BK173" r:id="rId341"/>
    <hyperlink ref="BT173" r:id="rId342"/>
    <hyperlink ref="BK174" r:id="rId343"/>
    <hyperlink ref="BT174" r:id="rId344"/>
    <hyperlink ref="BK175" r:id="rId345"/>
    <hyperlink ref="BT175" r:id="rId346"/>
    <hyperlink ref="BK176" r:id="rId347"/>
    <hyperlink ref="BT176" r:id="rId348"/>
    <hyperlink ref="BK177" r:id="rId349"/>
    <hyperlink ref="BT177" r:id="rId350"/>
    <hyperlink ref="BK178" r:id="rId351"/>
    <hyperlink ref="BT178" r:id="rId352"/>
    <hyperlink ref="BK179" r:id="rId353"/>
    <hyperlink ref="BT179" r:id="rId354"/>
    <hyperlink ref="BK180" r:id="rId355"/>
    <hyperlink ref="BT180" r:id="rId356"/>
    <hyperlink ref="BK181" r:id="rId357"/>
    <hyperlink ref="BT181" r:id="rId358"/>
    <hyperlink ref="BK182" r:id="rId359"/>
    <hyperlink ref="BT182" r:id="rId360"/>
    <hyperlink ref="BK183" r:id="rId361"/>
    <hyperlink ref="BT183" r:id="rId362"/>
    <hyperlink ref="BK184" r:id="rId363"/>
    <hyperlink ref="BT184" r:id="rId364"/>
    <hyperlink ref="BK185" r:id="rId365"/>
    <hyperlink ref="BT185" r:id="rId366"/>
    <hyperlink ref="BK186" r:id="rId367"/>
    <hyperlink ref="BT186" r:id="rId368"/>
    <hyperlink ref="BK187" r:id="rId369"/>
    <hyperlink ref="BT187" r:id="rId370"/>
    <hyperlink ref="BK188" r:id="rId371"/>
    <hyperlink ref="BT188" r:id="rId372"/>
    <hyperlink ref="BK189" r:id="rId373"/>
    <hyperlink ref="BT189" r:id="rId374"/>
    <hyperlink ref="BK190" r:id="rId375"/>
    <hyperlink ref="BT190" r:id="rId376"/>
    <hyperlink ref="BK191" r:id="rId377"/>
    <hyperlink ref="BT191" r:id="rId378"/>
    <hyperlink ref="BK192" r:id="rId379"/>
    <hyperlink ref="BT192" r:id="rId380"/>
    <hyperlink ref="BK193" r:id="rId381"/>
    <hyperlink ref="BT193" r:id="rId382"/>
    <hyperlink ref="BK194" r:id="rId383"/>
    <hyperlink ref="BT194" r:id="rId384"/>
    <hyperlink ref="BK195" r:id="rId385"/>
    <hyperlink ref="BT195" r:id="rId386"/>
    <hyperlink ref="BK196" r:id="rId387"/>
    <hyperlink ref="BT196" r:id="rId388"/>
    <hyperlink ref="BK197" r:id="rId389"/>
    <hyperlink ref="BT197" r:id="rId390"/>
    <hyperlink ref="BK198" r:id="rId391"/>
    <hyperlink ref="BT198" r:id="rId392"/>
    <hyperlink ref="BK199" r:id="rId393"/>
    <hyperlink ref="BT199" r:id="rId394"/>
    <hyperlink ref="BK200" r:id="rId395"/>
    <hyperlink ref="BT200" r:id="rId396"/>
    <hyperlink ref="BK201" r:id="rId397"/>
    <hyperlink ref="BT201" r:id="rId398"/>
    <hyperlink ref="BK202" r:id="rId399"/>
    <hyperlink ref="BT202" r:id="rId400"/>
    <hyperlink ref="BK203" r:id="rId401"/>
    <hyperlink ref="BT203" r:id="rId402"/>
    <hyperlink ref="BK204" r:id="rId403"/>
    <hyperlink ref="BT204" r:id="rId404"/>
    <hyperlink ref="BK205" r:id="rId405"/>
    <hyperlink ref="BT205" r:id="rId406"/>
    <hyperlink ref="BK206" r:id="rId407"/>
    <hyperlink ref="BT206" r:id="rId408"/>
    <hyperlink ref="BK207" r:id="rId409"/>
    <hyperlink ref="BT207" r:id="rId410"/>
    <hyperlink ref="BK208" r:id="rId411"/>
    <hyperlink ref="BT208" r:id="rId412"/>
    <hyperlink ref="BK209" r:id="rId413"/>
    <hyperlink ref="BT209" r:id="rId414"/>
    <hyperlink ref="BK210" r:id="rId415"/>
    <hyperlink ref="BT210" r:id="rId416"/>
    <hyperlink ref="BK211" r:id="rId417"/>
    <hyperlink ref="BT211" r:id="rId418"/>
    <hyperlink ref="BK212" r:id="rId419"/>
    <hyperlink ref="BT212" r:id="rId420"/>
    <hyperlink ref="BK213" r:id="rId421"/>
    <hyperlink ref="BT213" r:id="rId422"/>
    <hyperlink ref="BK214" r:id="rId423"/>
    <hyperlink ref="BT214" r:id="rId424"/>
    <hyperlink ref="BK215" r:id="rId425"/>
    <hyperlink ref="BT215" r:id="rId426"/>
    <hyperlink ref="BK216" r:id="rId427"/>
    <hyperlink ref="BT216" r:id="rId428"/>
    <hyperlink ref="BK217" r:id="rId429"/>
    <hyperlink ref="BT217" r:id="rId430"/>
    <hyperlink ref="BK218" r:id="rId431"/>
    <hyperlink ref="BT218" r:id="rId432"/>
    <hyperlink ref="BK219" r:id="rId433"/>
    <hyperlink ref="BT219" r:id="rId434"/>
    <hyperlink ref="BK220" r:id="rId435"/>
    <hyperlink ref="BT220" r:id="rId436"/>
    <hyperlink ref="BK221" r:id="rId437"/>
    <hyperlink ref="BT221" r:id="rId438"/>
    <hyperlink ref="BK222" r:id="rId439"/>
    <hyperlink ref="BT222" r:id="rId440"/>
    <hyperlink ref="BK223" r:id="rId441"/>
    <hyperlink ref="BT223" r:id="rId442"/>
    <hyperlink ref="BK224" r:id="rId443"/>
    <hyperlink ref="BT224" r:id="rId444"/>
    <hyperlink ref="BK225" r:id="rId445"/>
    <hyperlink ref="BT225" r:id="rId446"/>
    <hyperlink ref="BK226" r:id="rId447"/>
    <hyperlink ref="BT226" r:id="rId448"/>
    <hyperlink ref="BK227" r:id="rId449"/>
    <hyperlink ref="BT227" r:id="rId450"/>
    <hyperlink ref="BK228" r:id="rId451"/>
    <hyperlink ref="BT228" r:id="rId452"/>
    <hyperlink ref="BK229" r:id="rId453"/>
    <hyperlink ref="BT229" r:id="rId454"/>
    <hyperlink ref="BK230" r:id="rId455"/>
    <hyperlink ref="BT230" r:id="rId456"/>
    <hyperlink ref="BK231" r:id="rId457"/>
    <hyperlink ref="BT231" r:id="rId458"/>
    <hyperlink ref="BK232" r:id="rId459"/>
    <hyperlink ref="BT232" r:id="rId460"/>
    <hyperlink ref="BK233" r:id="rId461"/>
    <hyperlink ref="BT233" r:id="rId462"/>
    <hyperlink ref="BK234" r:id="rId463"/>
    <hyperlink ref="BT234" r:id="rId464"/>
    <hyperlink ref="BK235" r:id="rId465"/>
    <hyperlink ref="BT235" r:id="rId466"/>
    <hyperlink ref="BK236" r:id="rId467"/>
    <hyperlink ref="BT236" r:id="rId468"/>
    <hyperlink ref="BK237" r:id="rId469"/>
    <hyperlink ref="BT237" r:id="rId470"/>
    <hyperlink ref="BK238" r:id="rId471"/>
    <hyperlink ref="BT238" r:id="rId472"/>
    <hyperlink ref="BK239" r:id="rId473"/>
    <hyperlink ref="BT239" r:id="rId474"/>
    <hyperlink ref="BK240" r:id="rId475"/>
    <hyperlink ref="BT240" r:id="rId476"/>
    <hyperlink ref="BK241" r:id="rId477"/>
    <hyperlink ref="BT241" r:id="rId478"/>
    <hyperlink ref="BK242" r:id="rId479"/>
    <hyperlink ref="BT242" r:id="rId480"/>
    <hyperlink ref="BK243" r:id="rId481"/>
    <hyperlink ref="BT243" r:id="rId482"/>
    <hyperlink ref="BK244" r:id="rId483"/>
    <hyperlink ref="BT244" r:id="rId484"/>
    <hyperlink ref="BK245" r:id="rId485"/>
    <hyperlink ref="BT245" r:id="rId486"/>
    <hyperlink ref="BK246" r:id="rId487"/>
    <hyperlink ref="BT246" r:id="rId488"/>
    <hyperlink ref="BK247" r:id="rId489"/>
    <hyperlink ref="BT247" r:id="rId490"/>
    <hyperlink ref="BK248" r:id="rId491"/>
    <hyperlink ref="BT248" r:id="rId492"/>
    <hyperlink ref="BK249" r:id="rId493"/>
    <hyperlink ref="BT249" r:id="rId494"/>
    <hyperlink ref="BK250" r:id="rId495"/>
    <hyperlink ref="BT250" r:id="rId496"/>
    <hyperlink ref="BK251" r:id="rId497"/>
    <hyperlink ref="BT251" r:id="rId498"/>
    <hyperlink ref="BK252" r:id="rId499"/>
    <hyperlink ref="BT252" r:id="rId500"/>
    <hyperlink ref="BK253" r:id="rId501"/>
    <hyperlink ref="BT253" r:id="rId502"/>
    <hyperlink ref="BK254" r:id="rId503"/>
    <hyperlink ref="BT254" r:id="rId504"/>
    <hyperlink ref="BK255" r:id="rId505"/>
    <hyperlink ref="BT255" r:id="rId506"/>
    <hyperlink ref="BK256" r:id="rId507"/>
    <hyperlink ref="BT256" r:id="rId508"/>
    <hyperlink ref="BK257" r:id="rId509"/>
    <hyperlink ref="BT257" r:id="rId510"/>
    <hyperlink ref="BK258" r:id="rId511"/>
    <hyperlink ref="BT258" r:id="rId512"/>
    <hyperlink ref="BK259" r:id="rId513"/>
    <hyperlink ref="BT259" r:id="rId514"/>
    <hyperlink ref="BK260" r:id="rId515"/>
    <hyperlink ref="BT260" r:id="rId516"/>
    <hyperlink ref="BK261" r:id="rId517"/>
    <hyperlink ref="BT261" r:id="rId518"/>
    <hyperlink ref="BK262" r:id="rId519"/>
    <hyperlink ref="BT262" r:id="rId520"/>
    <hyperlink ref="BK263" r:id="rId521"/>
    <hyperlink ref="BT263" r:id="rId522"/>
    <hyperlink ref="BK264" r:id="rId523"/>
    <hyperlink ref="BT264" r:id="rId524"/>
    <hyperlink ref="BK265" r:id="rId525"/>
    <hyperlink ref="BT265" r:id="rId526"/>
    <hyperlink ref="BK266" r:id="rId527"/>
    <hyperlink ref="BT266" r:id="rId528"/>
    <hyperlink ref="BK267" r:id="rId529"/>
    <hyperlink ref="BT267" r:id="rId530"/>
    <hyperlink ref="BK268" r:id="rId531"/>
    <hyperlink ref="BT268" r:id="rId532"/>
    <hyperlink ref="BK269" r:id="rId533"/>
    <hyperlink ref="BT269" r:id="rId534"/>
    <hyperlink ref="BK270" r:id="rId535"/>
    <hyperlink ref="BT270" r:id="rId536"/>
    <hyperlink ref="BK271" r:id="rId537"/>
    <hyperlink ref="BT271" r:id="rId538"/>
    <hyperlink ref="BK272" r:id="rId539"/>
    <hyperlink ref="BT272" r:id="rId540"/>
    <hyperlink ref="BK273" r:id="rId541"/>
    <hyperlink ref="BT273" r:id="rId542"/>
    <hyperlink ref="BK274" r:id="rId543"/>
    <hyperlink ref="BT274" r:id="rId544"/>
    <hyperlink ref="BK275" r:id="rId545"/>
    <hyperlink ref="BT275" r:id="rId546"/>
    <hyperlink ref="BK276" r:id="rId547"/>
    <hyperlink ref="BT276" r:id="rId548"/>
    <hyperlink ref="BK277" r:id="rId549"/>
    <hyperlink ref="BT277" r:id="rId550"/>
    <hyperlink ref="BK278" r:id="rId551"/>
    <hyperlink ref="BT278" r:id="rId552"/>
    <hyperlink ref="BK279" r:id="rId553"/>
    <hyperlink ref="BT279" r:id="rId554"/>
    <hyperlink ref="BK280" r:id="rId555"/>
    <hyperlink ref="BT280" r:id="rId556"/>
    <hyperlink ref="BK281" r:id="rId557"/>
    <hyperlink ref="BT281" r:id="rId558"/>
    <hyperlink ref="BK282" r:id="rId559"/>
    <hyperlink ref="BT282" r:id="rId560"/>
    <hyperlink ref="BK283" r:id="rId561"/>
    <hyperlink ref="BT283" r:id="rId562"/>
    <hyperlink ref="BK284" r:id="rId563"/>
    <hyperlink ref="BT284" r:id="rId564"/>
    <hyperlink ref="BK285" r:id="rId565"/>
    <hyperlink ref="BT285" r:id="rId566"/>
    <hyperlink ref="BK286" r:id="rId567"/>
    <hyperlink ref="BT286" r:id="rId568"/>
    <hyperlink ref="BK287" r:id="rId569"/>
    <hyperlink ref="BT287" r:id="rId570"/>
    <hyperlink ref="BK288" r:id="rId571"/>
    <hyperlink ref="BT288" r:id="rId572"/>
    <hyperlink ref="BK289" r:id="rId573"/>
    <hyperlink ref="BT289" r:id="rId574"/>
    <hyperlink ref="BK290" r:id="rId575"/>
    <hyperlink ref="BT290" r:id="rId576"/>
    <hyperlink ref="BK291" r:id="rId577"/>
    <hyperlink ref="BT291" r:id="rId578"/>
    <hyperlink ref="BK292" r:id="rId579"/>
    <hyperlink ref="BT292" r:id="rId580"/>
    <hyperlink ref="BK293" r:id="rId581"/>
    <hyperlink ref="BT293" r:id="rId582"/>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2026-08-26T15:35:23Z</dcterms:created>
  <dc:creator>Apache POI</dc:creator>
</cp:coreProperties>
</file>